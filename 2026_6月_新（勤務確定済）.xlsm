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fileSharing readOnlyRecommended="1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api.box.com/wopi/files/2230922608208/WOPIServiceId_TP_BOX_2/WOPIUserId_-/"/>
    </mc:Choice>
  </mc:AlternateContent>
  <xr:revisionPtr revIDLastSave="48765" documentId="13_ncr:1_{B7709BF7-0E9F-437D-AC0A-99FF1DA9EC2E}" xr6:coauthVersionLast="47" xr6:coauthVersionMax="47" xr10:uidLastSave="{1854BEB5-CF0A-4BA0-AC83-595DEC93A60F}"/>
  <bookViews>
    <workbookView xWindow="-120" yWindow="-16320" windowWidth="29040" windowHeight="15720" tabRatio="738" firstSheet="2" activeTab="14" xr2:uid="{00000000-000D-0000-FFFF-FFFF00000000}"/>
  </bookViews>
  <sheets>
    <sheet name="レギュラー" sheetId="1" r:id="rId1"/>
    <sheet name="月間設定" sheetId="2" r:id="rId2"/>
    <sheet name="一覧" sheetId="3" r:id="rId3"/>
    <sheet name="映像確認" sheetId="17" r:id="rId4"/>
    <sheet name="音声確認" sheetId="6" r:id="rId5"/>
    <sheet name="調整確認" sheetId="7" r:id="rId6"/>
    <sheet name="照明確認" sheetId="4" r:id="rId7"/>
    <sheet name="編集確認" sheetId="5" r:id="rId8"/>
    <sheet name="回線確認" sheetId="18" r:id="rId9"/>
    <sheet name="報道関係" sheetId="8" r:id="rId10"/>
    <sheet name="サイネージ用" sheetId="31" r:id="rId11"/>
    <sheet name="ｽﾀｯﾌﾁｪｯｸ" sheetId="12" r:id="rId12"/>
    <sheet name="新スタッフ表" sheetId="27" r:id="rId13"/>
    <sheet name="予定表・カレンダーの作成" sheetId="25" r:id="rId14"/>
    <sheet name="Outlook予定表CSV" sheetId="30" r:id="rId15"/>
    <sheet name="Sheet1" sheetId="16" r:id="rId16"/>
    <sheet name="スタッフ表" sheetId="13" r:id="rId17"/>
    <sheet name="GoogleカレンダーCSV" sheetId="26" r:id="rId18"/>
    <sheet name="勤務報告書" sheetId="11" r:id="rId19"/>
    <sheet name="勤務報告書作成" sheetId="10" r:id="rId20"/>
    <sheet name="印刷用" sheetId="9" r:id="rId21"/>
    <sheet name="カレンダー作成" sheetId="14" r:id="rId22"/>
    <sheet name="カレンダー" sheetId="15" r:id="rId23"/>
    <sheet name="レギュラー人数" sheetId="28" r:id="rId24"/>
    <sheet name="報道宿泊" sheetId="20" r:id="rId25"/>
  </sheets>
  <definedNames>
    <definedName name="_xlnm.Print_Area" localSheetId="2">一覧!$A$1:$AH$138</definedName>
    <definedName name="_xlnm.Print_Area" localSheetId="8">回線確認!$A$1:$AH$71</definedName>
    <definedName name="_xlnm.Print_Area" localSheetId="18">勤務報告書!$A$1:$V$23</definedName>
    <definedName name="_xlnm.Print_Area" localSheetId="24">報道宿泊!$B$2:$I$37</definedName>
    <definedName name="Report" localSheetId="14">#N/A</definedName>
    <definedName name="Report" localSheetId="21">カレンダー作成!Report</definedName>
    <definedName name="Report" localSheetId="10">サイネージ用!Report</definedName>
    <definedName name="Report" localSheetId="3">映像確認!Report</definedName>
    <definedName name="Report" localSheetId="4">音声確認!Report</definedName>
    <definedName name="Report" localSheetId="8">回線確認!Report</definedName>
    <definedName name="Report" localSheetId="18">勤務報告書!Report</definedName>
    <definedName name="Report" localSheetId="6">照明確認!Report</definedName>
    <definedName name="Report" localSheetId="5">調整確認!Report</definedName>
    <definedName name="Report" localSheetId="7">編集確認!Report</definedName>
    <definedName name="Report">Outlook予定表CSV!Report</definedName>
    <definedName name="rrr" localSheetId="14">#N/A</definedName>
    <definedName name="rrr" localSheetId="21">カレンダー作成!rrr</definedName>
    <definedName name="rrr" localSheetId="10">サイネージ用!rrr</definedName>
    <definedName name="rrr" localSheetId="3">映像確認!rrr</definedName>
    <definedName name="rrr" localSheetId="4">音声確認!rrr</definedName>
    <definedName name="rrr" localSheetId="8">回線確認!rrr</definedName>
    <definedName name="rrr" localSheetId="6">照明確認!rrr</definedName>
    <definedName name="rrr" localSheetId="5">調整確認!rrr</definedName>
    <definedName name="rrr" localSheetId="7">編集確認!rrr</definedName>
    <definedName name="rrr">Outlook予定表CSV!rrr</definedName>
    <definedName name="rrr0" localSheetId="14">#N/A</definedName>
    <definedName name="rrr0" localSheetId="21">カレンダー作成!rrr0</definedName>
    <definedName name="rrr0" localSheetId="10">サイネージ用!rrr0</definedName>
    <definedName name="rrr0" localSheetId="3">映像確認!rrr0</definedName>
    <definedName name="rrr0" localSheetId="4">音声確認!rrr0</definedName>
    <definedName name="rrr0" localSheetId="8">回線確認!rrr0</definedName>
    <definedName name="rrr0" localSheetId="6">照明確認!rrr0</definedName>
    <definedName name="rrr0" localSheetId="5">調整確認!rrr0</definedName>
    <definedName name="rrr0" localSheetId="7">編集確認!rrr0</definedName>
    <definedName name="rrr0">Outlook予定表CSV!rrr0</definedName>
    <definedName name="test">[0]!test</definedName>
    <definedName name="testtest">[0]!testtest</definedName>
    <definedName name="Z_48D17560_CF9A_4AC4_87A5_512F1C94B1E6_.wvu.Cols" localSheetId="18" hidden="1">勤務報告書!$C:$C,勤務報告書!$N:$N</definedName>
    <definedName name="Z_48D17560_CF9A_4AC4_87A5_512F1C94B1E6_.wvu.PrintArea" localSheetId="18" hidden="1">勤務報告書!$A$1:$V$23</definedName>
    <definedName name="サイネ">[0]!サイネ</definedName>
    <definedName name="サイネージ用途">[0]!サイネージ用途</definedName>
    <definedName name="勤務報告書作成ma.Report" localSheetId="14">#N/A</definedName>
    <definedName name="勤務報告書作成ma.Report" localSheetId="21">カレンダー作成!勤務報告書作成ma.Report</definedName>
    <definedName name="勤務報告書作成ma.Report" localSheetId="10">サイネージ用!勤務報告書作成ma.Report</definedName>
    <definedName name="勤務報告書作成ma.Report" localSheetId="3">映像確認!勤務報告書作成ma.Report</definedName>
    <definedName name="勤務報告書作成ma.Report" localSheetId="4">音声確認!勤務報告書作成ma.Report</definedName>
    <definedName name="勤務報告書作成ma.Report" localSheetId="8">回線確認!勤務報告書作成ma.Report</definedName>
    <definedName name="勤務報告書作成ma.Report" localSheetId="6">照明確認!勤務報告書作成ma.Report</definedName>
    <definedName name="勤務報告書作成ma.Report" localSheetId="5">調整確認!勤務報告書作成ma.Report</definedName>
    <definedName name="勤務報告書作成ma.Report" localSheetId="7">編集確認!勤務報告書作成ma.Report</definedName>
    <definedName name="勤務報告書作成ma.Report">Outlook予定表CSV!勤務報告書作成ma.Report</definedName>
  </definedNames>
  <calcPr calcId="191028"/>
  <customWorkbookViews>
    <customWorkbookView name="映音制作局 - 個人用ビュー" guid="{48D17560-CF9A-4AC4-87A5-512F1C94B1E6}" mergeInterval="0" personalView="1" maximized="1" windowWidth="1020" windowHeight="607" tabRatio="704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31" l="1"/>
  <c r="F60" i="31"/>
  <c r="G60" i="31"/>
  <c r="H60" i="31"/>
  <c r="I60" i="31"/>
  <c r="J60" i="31"/>
  <c r="K60" i="31"/>
  <c r="L60" i="31"/>
  <c r="M60" i="31"/>
  <c r="N60" i="31"/>
  <c r="O60" i="31"/>
  <c r="P60" i="31"/>
  <c r="Q60" i="31"/>
  <c r="R60" i="31"/>
  <c r="S60" i="31"/>
  <c r="T60" i="31"/>
  <c r="U60" i="31"/>
  <c r="V60" i="31"/>
  <c r="W60" i="31"/>
  <c r="X60" i="31"/>
  <c r="Y60" i="31"/>
  <c r="Z60" i="31"/>
  <c r="AA60" i="31"/>
  <c r="AB60" i="31"/>
  <c r="AC60" i="31"/>
  <c r="AD60" i="31"/>
  <c r="AE60" i="31"/>
  <c r="AF60" i="31"/>
  <c r="AG60" i="31"/>
  <c r="AH60" i="31"/>
  <c r="AI60" i="31"/>
  <c r="AJ60" i="31"/>
  <c r="E61" i="31"/>
  <c r="F61" i="31"/>
  <c r="G61" i="31"/>
  <c r="H61" i="31"/>
  <c r="I61" i="31"/>
  <c r="J61" i="31"/>
  <c r="K61" i="31"/>
  <c r="L61" i="31"/>
  <c r="M61" i="31"/>
  <c r="N61" i="31"/>
  <c r="O61" i="31"/>
  <c r="P61" i="31"/>
  <c r="Q61" i="31"/>
  <c r="R61" i="31"/>
  <c r="S61" i="31"/>
  <c r="T61" i="31"/>
  <c r="U61" i="31"/>
  <c r="V61" i="31"/>
  <c r="W61" i="31"/>
  <c r="X61" i="31"/>
  <c r="Y61" i="31"/>
  <c r="Z61" i="31"/>
  <c r="AA61" i="31"/>
  <c r="AB61" i="31"/>
  <c r="AC61" i="31"/>
  <c r="AD61" i="31"/>
  <c r="AE61" i="31"/>
  <c r="AF61" i="31"/>
  <c r="AG61" i="31"/>
  <c r="AH61" i="31"/>
  <c r="AI61" i="31"/>
  <c r="AJ61" i="31"/>
  <c r="E62" i="31"/>
  <c r="F62" i="31"/>
  <c r="G62" i="31"/>
  <c r="H62" i="31"/>
  <c r="I62" i="31"/>
  <c r="J62" i="31"/>
  <c r="K62" i="31"/>
  <c r="L62" i="31"/>
  <c r="M62" i="31"/>
  <c r="N62" i="31"/>
  <c r="O62" i="31"/>
  <c r="P62" i="31"/>
  <c r="Q62" i="31"/>
  <c r="R62" i="31"/>
  <c r="S62" i="31"/>
  <c r="T62" i="31"/>
  <c r="U62" i="31"/>
  <c r="V62" i="31"/>
  <c r="W62" i="31"/>
  <c r="X62" i="31"/>
  <c r="Y62" i="31"/>
  <c r="Z62" i="31"/>
  <c r="AA62" i="31"/>
  <c r="AB62" i="31"/>
  <c r="AC62" i="31"/>
  <c r="AD62" i="31"/>
  <c r="AE62" i="31"/>
  <c r="AF62" i="31"/>
  <c r="AG62" i="31"/>
  <c r="AH62" i="31"/>
  <c r="AI62" i="31"/>
  <c r="AJ62" i="31"/>
  <c r="E63" i="31"/>
  <c r="F63" i="31"/>
  <c r="G63" i="31"/>
  <c r="H63" i="31"/>
  <c r="I63" i="31"/>
  <c r="J63" i="31"/>
  <c r="K63" i="31"/>
  <c r="L63" i="31"/>
  <c r="M63" i="31"/>
  <c r="N63" i="31"/>
  <c r="O63" i="31"/>
  <c r="P63" i="31"/>
  <c r="Q63" i="31"/>
  <c r="R63" i="31"/>
  <c r="S63" i="31"/>
  <c r="T63" i="31"/>
  <c r="U63" i="31"/>
  <c r="V63" i="31"/>
  <c r="W63" i="31"/>
  <c r="X63" i="31"/>
  <c r="Y63" i="31"/>
  <c r="Z63" i="31"/>
  <c r="AA63" i="31"/>
  <c r="AB63" i="31"/>
  <c r="AC63" i="31"/>
  <c r="AD63" i="31"/>
  <c r="AE63" i="31"/>
  <c r="AF63" i="31"/>
  <c r="AG63" i="31"/>
  <c r="AH63" i="31"/>
  <c r="AI63" i="31"/>
  <c r="AJ63" i="31"/>
  <c r="E64" i="31"/>
  <c r="F64" i="31"/>
  <c r="G64" i="31"/>
  <c r="H64" i="31"/>
  <c r="I64" i="31"/>
  <c r="J64" i="31"/>
  <c r="K64" i="31"/>
  <c r="L64" i="31"/>
  <c r="M64" i="31"/>
  <c r="N64" i="31"/>
  <c r="O64" i="31"/>
  <c r="P64" i="31"/>
  <c r="Q64" i="31"/>
  <c r="R64" i="31"/>
  <c r="S64" i="31"/>
  <c r="T64" i="31"/>
  <c r="U64" i="31"/>
  <c r="V64" i="31"/>
  <c r="W64" i="31"/>
  <c r="X64" i="31"/>
  <c r="Y64" i="31"/>
  <c r="Z64" i="31"/>
  <c r="AA64" i="31"/>
  <c r="AB64" i="31"/>
  <c r="AC64" i="31"/>
  <c r="AD64" i="31"/>
  <c r="AE64" i="31"/>
  <c r="AF64" i="31"/>
  <c r="AG64" i="31"/>
  <c r="AH64" i="31"/>
  <c r="AI64" i="31"/>
  <c r="AJ64" i="31"/>
  <c r="E65" i="31"/>
  <c r="F65" i="31"/>
  <c r="G65" i="31"/>
  <c r="H65" i="31"/>
  <c r="I65" i="31"/>
  <c r="J65" i="31"/>
  <c r="K65" i="31"/>
  <c r="L65" i="31"/>
  <c r="M65" i="31"/>
  <c r="N65" i="31"/>
  <c r="O65" i="31"/>
  <c r="P65" i="31"/>
  <c r="Q65" i="31"/>
  <c r="R65" i="31"/>
  <c r="S65" i="31"/>
  <c r="T65" i="31"/>
  <c r="U65" i="31"/>
  <c r="V65" i="31"/>
  <c r="W65" i="31"/>
  <c r="X65" i="31"/>
  <c r="Y65" i="31"/>
  <c r="Z65" i="31"/>
  <c r="AA65" i="31"/>
  <c r="AB65" i="31"/>
  <c r="AC65" i="31"/>
  <c r="AD65" i="31"/>
  <c r="AE65" i="31"/>
  <c r="AF65" i="31"/>
  <c r="AG65" i="31"/>
  <c r="AH65" i="31"/>
  <c r="AI65" i="31"/>
  <c r="AJ65" i="31"/>
  <c r="E66" i="31"/>
  <c r="F66" i="31"/>
  <c r="G66" i="31"/>
  <c r="H66" i="31"/>
  <c r="I66" i="31"/>
  <c r="J66" i="31"/>
  <c r="K66" i="31"/>
  <c r="L66" i="31"/>
  <c r="M66" i="31"/>
  <c r="N66" i="31"/>
  <c r="O66" i="31"/>
  <c r="P66" i="31"/>
  <c r="Q66" i="31"/>
  <c r="R66" i="31"/>
  <c r="S66" i="31"/>
  <c r="T66" i="31"/>
  <c r="U66" i="31"/>
  <c r="V66" i="31"/>
  <c r="W66" i="31"/>
  <c r="X66" i="31"/>
  <c r="Y66" i="31"/>
  <c r="Z66" i="31"/>
  <c r="AA66" i="31"/>
  <c r="AB66" i="31"/>
  <c r="AC66" i="31"/>
  <c r="AD66" i="31"/>
  <c r="AE66" i="31"/>
  <c r="AF66" i="31"/>
  <c r="AG66" i="31"/>
  <c r="AH66" i="31"/>
  <c r="AI66" i="31"/>
  <c r="AJ66" i="31"/>
  <c r="E67" i="31"/>
  <c r="F67" i="31"/>
  <c r="G67" i="31"/>
  <c r="H67" i="31"/>
  <c r="I67" i="31"/>
  <c r="J67" i="31"/>
  <c r="K67" i="31"/>
  <c r="L67" i="31"/>
  <c r="M67" i="31"/>
  <c r="N67" i="31"/>
  <c r="O67" i="31"/>
  <c r="P67" i="31"/>
  <c r="Q67" i="31"/>
  <c r="R67" i="31"/>
  <c r="S67" i="31"/>
  <c r="T67" i="31"/>
  <c r="U67" i="31"/>
  <c r="V67" i="31"/>
  <c r="W67" i="31"/>
  <c r="X67" i="31"/>
  <c r="Y67" i="31"/>
  <c r="Z67" i="31"/>
  <c r="AA67" i="31"/>
  <c r="AB67" i="31"/>
  <c r="AC67" i="31"/>
  <c r="AD67" i="31"/>
  <c r="AE67" i="31"/>
  <c r="AF67" i="31"/>
  <c r="AG67" i="31"/>
  <c r="AH67" i="31"/>
  <c r="AI67" i="31"/>
  <c r="AJ67" i="31"/>
  <c r="E68" i="31"/>
  <c r="F68" i="31"/>
  <c r="G68" i="31"/>
  <c r="H68" i="31"/>
  <c r="I68" i="31"/>
  <c r="J68" i="31"/>
  <c r="K68" i="31"/>
  <c r="L68" i="31"/>
  <c r="M68" i="31"/>
  <c r="N68" i="31"/>
  <c r="O68" i="31"/>
  <c r="P68" i="31"/>
  <c r="Q68" i="31"/>
  <c r="R68" i="31"/>
  <c r="S68" i="31"/>
  <c r="T68" i="31"/>
  <c r="U68" i="31"/>
  <c r="V68" i="31"/>
  <c r="W68" i="31"/>
  <c r="X68" i="31"/>
  <c r="Y68" i="31"/>
  <c r="Z68" i="31"/>
  <c r="AA68" i="31"/>
  <c r="AB68" i="31"/>
  <c r="AC68" i="31"/>
  <c r="AD68" i="31"/>
  <c r="AE68" i="31"/>
  <c r="AF68" i="31"/>
  <c r="AG68" i="31"/>
  <c r="AH68" i="31"/>
  <c r="AI68" i="31"/>
  <c r="AJ68" i="31"/>
  <c r="E69" i="31"/>
  <c r="F69" i="31"/>
  <c r="G69" i="31"/>
  <c r="H69" i="31"/>
  <c r="I69" i="31"/>
  <c r="J69" i="31"/>
  <c r="K69" i="31"/>
  <c r="L69" i="31"/>
  <c r="M69" i="31"/>
  <c r="N69" i="31"/>
  <c r="O69" i="31"/>
  <c r="P69" i="31"/>
  <c r="Q69" i="31"/>
  <c r="R69" i="31"/>
  <c r="S69" i="31"/>
  <c r="T69" i="31"/>
  <c r="U69" i="31"/>
  <c r="V69" i="31"/>
  <c r="W69" i="31"/>
  <c r="X69" i="31"/>
  <c r="Y69" i="31"/>
  <c r="Z69" i="31"/>
  <c r="AA69" i="31"/>
  <c r="AB69" i="31"/>
  <c r="AC69" i="31"/>
  <c r="AD69" i="31"/>
  <c r="AE69" i="31"/>
  <c r="AF69" i="31"/>
  <c r="AG69" i="31"/>
  <c r="AH69" i="31"/>
  <c r="AI69" i="31"/>
  <c r="AJ69" i="31"/>
  <c r="E70" i="31"/>
  <c r="F70" i="31"/>
  <c r="G70" i="31"/>
  <c r="H70" i="31"/>
  <c r="I70" i="31"/>
  <c r="J70" i="31"/>
  <c r="K70" i="31"/>
  <c r="L70" i="31"/>
  <c r="M70" i="31"/>
  <c r="N70" i="31"/>
  <c r="O70" i="31"/>
  <c r="P70" i="31"/>
  <c r="Q70" i="31"/>
  <c r="R70" i="31"/>
  <c r="S70" i="31"/>
  <c r="T70" i="31"/>
  <c r="U70" i="31"/>
  <c r="V70" i="31"/>
  <c r="W70" i="31"/>
  <c r="X70" i="31"/>
  <c r="Y70" i="31"/>
  <c r="Z70" i="31"/>
  <c r="AA70" i="31"/>
  <c r="AB70" i="31"/>
  <c r="AC70" i="31"/>
  <c r="AD70" i="31"/>
  <c r="AE70" i="31"/>
  <c r="AF70" i="31"/>
  <c r="AG70" i="31"/>
  <c r="AH70" i="31"/>
  <c r="AI70" i="31"/>
  <c r="AJ70" i="31"/>
  <c r="E71" i="31"/>
  <c r="F71" i="31"/>
  <c r="G71" i="31"/>
  <c r="H71" i="31"/>
  <c r="I71" i="31"/>
  <c r="J71" i="31"/>
  <c r="K71" i="31"/>
  <c r="L71" i="31"/>
  <c r="M71" i="31"/>
  <c r="N71" i="31"/>
  <c r="O71" i="31"/>
  <c r="P71" i="31"/>
  <c r="Q71" i="31"/>
  <c r="R71" i="31"/>
  <c r="S71" i="31"/>
  <c r="T71" i="31"/>
  <c r="U71" i="31"/>
  <c r="V71" i="31"/>
  <c r="W71" i="31"/>
  <c r="X71" i="31"/>
  <c r="Y71" i="31"/>
  <c r="Z71" i="31"/>
  <c r="AA71" i="31"/>
  <c r="AB71" i="31"/>
  <c r="AC71" i="31"/>
  <c r="AD71" i="31"/>
  <c r="AE71" i="31"/>
  <c r="AF71" i="31"/>
  <c r="AG71" i="31"/>
  <c r="AH71" i="31"/>
  <c r="AI71" i="31"/>
  <c r="AJ71" i="31"/>
  <c r="E72" i="31"/>
  <c r="F72" i="31"/>
  <c r="G72" i="31"/>
  <c r="H72" i="31"/>
  <c r="I72" i="31"/>
  <c r="J72" i="31"/>
  <c r="K72" i="31"/>
  <c r="L72" i="31"/>
  <c r="M72" i="31"/>
  <c r="N72" i="31"/>
  <c r="O72" i="31"/>
  <c r="P72" i="31"/>
  <c r="Q72" i="31"/>
  <c r="R72" i="31"/>
  <c r="S72" i="31"/>
  <c r="T72" i="31"/>
  <c r="U72" i="31"/>
  <c r="V72" i="31"/>
  <c r="W72" i="31"/>
  <c r="X72" i="31"/>
  <c r="Y72" i="31"/>
  <c r="Z72" i="31"/>
  <c r="AA72" i="31"/>
  <c r="AB72" i="31"/>
  <c r="AC72" i="31"/>
  <c r="AD72" i="31"/>
  <c r="AE72" i="31"/>
  <c r="AF72" i="31"/>
  <c r="AG72" i="31"/>
  <c r="AH72" i="31"/>
  <c r="AI72" i="31"/>
  <c r="AJ72" i="31"/>
  <c r="E73" i="31"/>
  <c r="F73" i="31"/>
  <c r="G73" i="31"/>
  <c r="H73" i="31"/>
  <c r="I73" i="31"/>
  <c r="J73" i="31"/>
  <c r="K73" i="31"/>
  <c r="L73" i="31"/>
  <c r="M73" i="31"/>
  <c r="N73" i="31"/>
  <c r="O73" i="31"/>
  <c r="P73" i="31"/>
  <c r="Q73" i="31"/>
  <c r="R73" i="31"/>
  <c r="S73" i="31"/>
  <c r="T73" i="31"/>
  <c r="U73" i="31"/>
  <c r="V73" i="31"/>
  <c r="W73" i="31"/>
  <c r="X73" i="31"/>
  <c r="Y73" i="31"/>
  <c r="Z73" i="31"/>
  <c r="AA73" i="31"/>
  <c r="AB73" i="31"/>
  <c r="AC73" i="31"/>
  <c r="AD73" i="31"/>
  <c r="AE73" i="31"/>
  <c r="AF73" i="31"/>
  <c r="AG73" i="31"/>
  <c r="AH73" i="31"/>
  <c r="AI73" i="31"/>
  <c r="AJ73" i="31"/>
  <c r="E74" i="31"/>
  <c r="F74" i="31"/>
  <c r="G74" i="31"/>
  <c r="H74" i="31"/>
  <c r="I74" i="31"/>
  <c r="J74" i="31"/>
  <c r="K74" i="31"/>
  <c r="L74" i="31"/>
  <c r="M74" i="31"/>
  <c r="N74" i="31"/>
  <c r="O74" i="31"/>
  <c r="P74" i="31"/>
  <c r="Q74" i="31"/>
  <c r="R74" i="31"/>
  <c r="S74" i="31"/>
  <c r="T74" i="31"/>
  <c r="U74" i="31"/>
  <c r="V74" i="31"/>
  <c r="W74" i="31"/>
  <c r="X74" i="31"/>
  <c r="Y74" i="31"/>
  <c r="Z74" i="31"/>
  <c r="AA74" i="31"/>
  <c r="AB74" i="31"/>
  <c r="AC74" i="31"/>
  <c r="AD74" i="31"/>
  <c r="AE74" i="31"/>
  <c r="AF74" i="31"/>
  <c r="AG74" i="31"/>
  <c r="AH74" i="31"/>
  <c r="AI74" i="31"/>
  <c r="AJ74" i="31"/>
  <c r="E75" i="31"/>
  <c r="F75" i="31"/>
  <c r="G75" i="31"/>
  <c r="H75" i="31"/>
  <c r="I75" i="31"/>
  <c r="J75" i="31"/>
  <c r="K75" i="31"/>
  <c r="L75" i="31"/>
  <c r="M75" i="31"/>
  <c r="N75" i="31"/>
  <c r="O75" i="31"/>
  <c r="P75" i="31"/>
  <c r="Q75" i="31"/>
  <c r="R75" i="31"/>
  <c r="S75" i="31"/>
  <c r="T75" i="31"/>
  <c r="U75" i="31"/>
  <c r="V75" i="31"/>
  <c r="W75" i="31"/>
  <c r="X75" i="31"/>
  <c r="Y75" i="31"/>
  <c r="Z75" i="31"/>
  <c r="AA75" i="31"/>
  <c r="AB75" i="31"/>
  <c r="AC75" i="31"/>
  <c r="AD75" i="31"/>
  <c r="AE75" i="31"/>
  <c r="AF75" i="31"/>
  <c r="AG75" i="31"/>
  <c r="AH75" i="31"/>
  <c r="AI75" i="31"/>
  <c r="AJ75" i="31"/>
  <c r="E76" i="31"/>
  <c r="F76" i="31"/>
  <c r="G76" i="31"/>
  <c r="H76" i="31"/>
  <c r="I76" i="31"/>
  <c r="J76" i="31"/>
  <c r="K76" i="31"/>
  <c r="L76" i="31"/>
  <c r="M76" i="31"/>
  <c r="N76" i="31"/>
  <c r="O76" i="31"/>
  <c r="P76" i="31"/>
  <c r="Q76" i="31"/>
  <c r="R76" i="31"/>
  <c r="S76" i="31"/>
  <c r="T76" i="31"/>
  <c r="U76" i="31"/>
  <c r="V76" i="31"/>
  <c r="W76" i="31"/>
  <c r="X76" i="31"/>
  <c r="Y76" i="31"/>
  <c r="Z76" i="31"/>
  <c r="AA76" i="31"/>
  <c r="AB76" i="31"/>
  <c r="AC76" i="31"/>
  <c r="AD76" i="31"/>
  <c r="AE76" i="31"/>
  <c r="AF76" i="31"/>
  <c r="AG76" i="31"/>
  <c r="AH76" i="31"/>
  <c r="AI76" i="31"/>
  <c r="AJ76" i="31"/>
  <c r="E77" i="31"/>
  <c r="F77" i="31"/>
  <c r="G77" i="31"/>
  <c r="H77" i="31"/>
  <c r="I77" i="31"/>
  <c r="J77" i="31"/>
  <c r="K77" i="31"/>
  <c r="L77" i="31"/>
  <c r="M77" i="31"/>
  <c r="N77" i="31"/>
  <c r="O77" i="31"/>
  <c r="P77" i="31"/>
  <c r="Q77" i="31"/>
  <c r="R77" i="31"/>
  <c r="S77" i="31"/>
  <c r="T77" i="31"/>
  <c r="U77" i="31"/>
  <c r="V77" i="31"/>
  <c r="W77" i="31"/>
  <c r="X77" i="31"/>
  <c r="Y77" i="31"/>
  <c r="Z77" i="31"/>
  <c r="AA77" i="31"/>
  <c r="AB77" i="31"/>
  <c r="AC77" i="31"/>
  <c r="AD77" i="31"/>
  <c r="AE77" i="31"/>
  <c r="AF77" i="31"/>
  <c r="AG77" i="31"/>
  <c r="AH77" i="31"/>
  <c r="AI77" i="31"/>
  <c r="AJ77" i="31"/>
  <c r="E78" i="31"/>
  <c r="F78" i="31"/>
  <c r="G78" i="31"/>
  <c r="H78" i="31"/>
  <c r="I78" i="31"/>
  <c r="J78" i="31"/>
  <c r="K78" i="31"/>
  <c r="L78" i="31"/>
  <c r="M78" i="31"/>
  <c r="N78" i="31"/>
  <c r="O78" i="31"/>
  <c r="P78" i="31"/>
  <c r="Q78" i="31"/>
  <c r="R78" i="31"/>
  <c r="S78" i="31"/>
  <c r="T78" i="31"/>
  <c r="U78" i="31"/>
  <c r="V78" i="31"/>
  <c r="W78" i="31"/>
  <c r="X78" i="31"/>
  <c r="Y78" i="31"/>
  <c r="Z78" i="31"/>
  <c r="AA78" i="31"/>
  <c r="AB78" i="31"/>
  <c r="AC78" i="31"/>
  <c r="AD78" i="31"/>
  <c r="AE78" i="31"/>
  <c r="AF78" i="31"/>
  <c r="AG78" i="31"/>
  <c r="AH78" i="31"/>
  <c r="AI78" i="31"/>
  <c r="AJ78" i="31"/>
  <c r="E79" i="31"/>
  <c r="F79" i="31"/>
  <c r="G79" i="31"/>
  <c r="H79" i="31"/>
  <c r="I79" i="31"/>
  <c r="J79" i="31"/>
  <c r="K79" i="31"/>
  <c r="L79" i="31"/>
  <c r="M79" i="31"/>
  <c r="N79" i="31"/>
  <c r="O79" i="31"/>
  <c r="P79" i="31"/>
  <c r="Q79" i="31"/>
  <c r="R79" i="31"/>
  <c r="S79" i="31"/>
  <c r="T79" i="31"/>
  <c r="U79" i="31"/>
  <c r="V79" i="31"/>
  <c r="W79" i="31"/>
  <c r="X79" i="31"/>
  <c r="Y79" i="31"/>
  <c r="Z79" i="31"/>
  <c r="AA79" i="31"/>
  <c r="AB79" i="31"/>
  <c r="AC79" i="31"/>
  <c r="AD79" i="31"/>
  <c r="AE79" i="31"/>
  <c r="AF79" i="31"/>
  <c r="AG79" i="31"/>
  <c r="AH79" i="31"/>
  <c r="AI79" i="31"/>
  <c r="AJ79" i="31"/>
  <c r="E80" i="31"/>
  <c r="F80" i="31"/>
  <c r="G80" i="31"/>
  <c r="H80" i="31"/>
  <c r="I80" i="31"/>
  <c r="J80" i="31"/>
  <c r="K80" i="31"/>
  <c r="L80" i="31"/>
  <c r="M80" i="31"/>
  <c r="N80" i="31"/>
  <c r="O80" i="31"/>
  <c r="P80" i="31"/>
  <c r="Q80" i="31"/>
  <c r="R80" i="31"/>
  <c r="S80" i="31"/>
  <c r="T80" i="31"/>
  <c r="U80" i="31"/>
  <c r="V80" i="31"/>
  <c r="W80" i="31"/>
  <c r="X80" i="31"/>
  <c r="Y80" i="31"/>
  <c r="Z80" i="31"/>
  <c r="AA80" i="31"/>
  <c r="AB80" i="31"/>
  <c r="AC80" i="31"/>
  <c r="AD80" i="31"/>
  <c r="AE80" i="31"/>
  <c r="AF80" i="31"/>
  <c r="AG80" i="31"/>
  <c r="AH80" i="31"/>
  <c r="AI80" i="31"/>
  <c r="AJ80" i="31"/>
  <c r="E81" i="31"/>
  <c r="F81" i="31"/>
  <c r="G81" i="31"/>
  <c r="H81" i="31"/>
  <c r="I81" i="31"/>
  <c r="J81" i="31"/>
  <c r="K81" i="31"/>
  <c r="L81" i="31"/>
  <c r="M81" i="31"/>
  <c r="N81" i="31"/>
  <c r="O81" i="31"/>
  <c r="P81" i="31"/>
  <c r="Q81" i="31"/>
  <c r="R81" i="31"/>
  <c r="S81" i="31"/>
  <c r="T81" i="31"/>
  <c r="U81" i="31"/>
  <c r="V81" i="31"/>
  <c r="W81" i="31"/>
  <c r="X81" i="31"/>
  <c r="Y81" i="31"/>
  <c r="Z81" i="31"/>
  <c r="AA81" i="31"/>
  <c r="AB81" i="31"/>
  <c r="AC81" i="31"/>
  <c r="AD81" i="31"/>
  <c r="AE81" i="31"/>
  <c r="AF81" i="31"/>
  <c r="AG81" i="31"/>
  <c r="AH81" i="31"/>
  <c r="AI81" i="31"/>
  <c r="AJ81" i="31"/>
  <c r="E82" i="31"/>
  <c r="F82" i="31"/>
  <c r="G82" i="31"/>
  <c r="H82" i="31"/>
  <c r="I82" i="31"/>
  <c r="J82" i="31"/>
  <c r="K82" i="31"/>
  <c r="L82" i="31"/>
  <c r="M82" i="31"/>
  <c r="N82" i="31"/>
  <c r="O82" i="31"/>
  <c r="P82" i="31"/>
  <c r="Q82" i="31"/>
  <c r="R82" i="31"/>
  <c r="S82" i="31"/>
  <c r="T82" i="31"/>
  <c r="U82" i="31"/>
  <c r="V82" i="31"/>
  <c r="W82" i="31"/>
  <c r="X82" i="31"/>
  <c r="Y82" i="31"/>
  <c r="Z82" i="31"/>
  <c r="AA82" i="31"/>
  <c r="AB82" i="31"/>
  <c r="AC82" i="31"/>
  <c r="AD82" i="31"/>
  <c r="AE82" i="31"/>
  <c r="AF82" i="31"/>
  <c r="AG82" i="31"/>
  <c r="AH82" i="31"/>
  <c r="AI82" i="31"/>
  <c r="AJ82" i="31"/>
  <c r="E83" i="31"/>
  <c r="F83" i="31"/>
  <c r="G83" i="31"/>
  <c r="H83" i="31"/>
  <c r="I83" i="31"/>
  <c r="J83" i="31"/>
  <c r="K83" i="31"/>
  <c r="L83" i="31"/>
  <c r="M83" i="31"/>
  <c r="N83" i="31"/>
  <c r="O83" i="31"/>
  <c r="P83" i="31"/>
  <c r="Q83" i="31"/>
  <c r="R83" i="31"/>
  <c r="S83" i="31"/>
  <c r="T83" i="31"/>
  <c r="U83" i="31"/>
  <c r="V83" i="31"/>
  <c r="W83" i="31"/>
  <c r="X83" i="31"/>
  <c r="Y83" i="31"/>
  <c r="Z83" i="31"/>
  <c r="AA83" i="31"/>
  <c r="AB83" i="31"/>
  <c r="AC83" i="31"/>
  <c r="AD83" i="31"/>
  <c r="AE83" i="31"/>
  <c r="AF83" i="31"/>
  <c r="AG83" i="31"/>
  <c r="AH83" i="31"/>
  <c r="AI83" i="31"/>
  <c r="AJ83" i="31"/>
  <c r="E84" i="31"/>
  <c r="F84" i="31"/>
  <c r="G84" i="31"/>
  <c r="H84" i="31"/>
  <c r="I84" i="31"/>
  <c r="J84" i="31"/>
  <c r="K84" i="31"/>
  <c r="L84" i="31"/>
  <c r="M84" i="31"/>
  <c r="N84" i="31"/>
  <c r="O84" i="31"/>
  <c r="P84" i="31"/>
  <c r="Q84" i="31"/>
  <c r="R84" i="31"/>
  <c r="S84" i="31"/>
  <c r="T84" i="31"/>
  <c r="U84" i="31"/>
  <c r="V84" i="31"/>
  <c r="W84" i="31"/>
  <c r="X84" i="31"/>
  <c r="Y84" i="31"/>
  <c r="Z84" i="31"/>
  <c r="AA84" i="31"/>
  <c r="AB84" i="31"/>
  <c r="AC84" i="31"/>
  <c r="AD84" i="31"/>
  <c r="AE84" i="31"/>
  <c r="AF84" i="31"/>
  <c r="AG84" i="31"/>
  <c r="AH84" i="31"/>
  <c r="AI84" i="31"/>
  <c r="AJ84" i="31"/>
  <c r="E85" i="31"/>
  <c r="F85" i="31"/>
  <c r="G85" i="31"/>
  <c r="H85" i="31"/>
  <c r="I85" i="31"/>
  <c r="J85" i="31"/>
  <c r="K85" i="31"/>
  <c r="L85" i="31"/>
  <c r="M85" i="31"/>
  <c r="N85" i="31"/>
  <c r="O85" i="31"/>
  <c r="P85" i="31"/>
  <c r="Q85" i="31"/>
  <c r="R85" i="31"/>
  <c r="S85" i="31"/>
  <c r="T85" i="31"/>
  <c r="U85" i="31"/>
  <c r="V85" i="31"/>
  <c r="W85" i="31"/>
  <c r="X85" i="31"/>
  <c r="Y85" i="31"/>
  <c r="Z85" i="31"/>
  <c r="AA85" i="31"/>
  <c r="AB85" i="31"/>
  <c r="AC85" i="31"/>
  <c r="AD85" i="31"/>
  <c r="AE85" i="31"/>
  <c r="AF85" i="31"/>
  <c r="AG85" i="31"/>
  <c r="AH85" i="31"/>
  <c r="AI85" i="31"/>
  <c r="AJ85" i="31"/>
  <c r="E86" i="31"/>
  <c r="F86" i="31"/>
  <c r="G86" i="31"/>
  <c r="H86" i="31"/>
  <c r="I86" i="31"/>
  <c r="J86" i="31"/>
  <c r="K86" i="31"/>
  <c r="L86" i="31"/>
  <c r="M86" i="31"/>
  <c r="N86" i="31"/>
  <c r="O86" i="31"/>
  <c r="P86" i="31"/>
  <c r="Q86" i="31"/>
  <c r="R86" i="31"/>
  <c r="S86" i="31"/>
  <c r="T86" i="31"/>
  <c r="U86" i="31"/>
  <c r="V86" i="31"/>
  <c r="W86" i="31"/>
  <c r="X86" i="31"/>
  <c r="Y86" i="31"/>
  <c r="Z86" i="31"/>
  <c r="AA86" i="31"/>
  <c r="AB86" i="31"/>
  <c r="AC86" i="31"/>
  <c r="AD86" i="31"/>
  <c r="AE86" i="31"/>
  <c r="AF86" i="31"/>
  <c r="AG86" i="31"/>
  <c r="AH86" i="31"/>
  <c r="AI86" i="31"/>
  <c r="AJ86" i="31"/>
  <c r="E87" i="31"/>
  <c r="F87" i="31"/>
  <c r="G87" i="31"/>
  <c r="H87" i="31"/>
  <c r="I87" i="31"/>
  <c r="J87" i="31"/>
  <c r="K87" i="31"/>
  <c r="L87" i="31"/>
  <c r="M87" i="31"/>
  <c r="N87" i="31"/>
  <c r="O87" i="31"/>
  <c r="P87" i="31"/>
  <c r="Q87" i="31"/>
  <c r="R87" i="31"/>
  <c r="S87" i="31"/>
  <c r="T87" i="31"/>
  <c r="U87" i="31"/>
  <c r="V87" i="31"/>
  <c r="W87" i="31"/>
  <c r="X87" i="31"/>
  <c r="Y87" i="31"/>
  <c r="Z87" i="31"/>
  <c r="AA87" i="31"/>
  <c r="AB87" i="31"/>
  <c r="AC87" i="31"/>
  <c r="AD87" i="31"/>
  <c r="AE87" i="31"/>
  <c r="AF87" i="31"/>
  <c r="AG87" i="31"/>
  <c r="AH87" i="31"/>
  <c r="AI87" i="31"/>
  <c r="AJ87" i="31"/>
  <c r="E88" i="31"/>
  <c r="F88" i="31"/>
  <c r="G88" i="31"/>
  <c r="H88" i="31"/>
  <c r="I88" i="31"/>
  <c r="J88" i="31"/>
  <c r="K88" i="31"/>
  <c r="L88" i="31"/>
  <c r="M88" i="31"/>
  <c r="N88" i="31"/>
  <c r="O88" i="31"/>
  <c r="P88" i="31"/>
  <c r="Q88" i="31"/>
  <c r="R88" i="31"/>
  <c r="S88" i="31"/>
  <c r="T88" i="31"/>
  <c r="U88" i="31"/>
  <c r="V88" i="31"/>
  <c r="W88" i="31"/>
  <c r="X88" i="31"/>
  <c r="Y88" i="31"/>
  <c r="Z88" i="31"/>
  <c r="AA88" i="31"/>
  <c r="AB88" i="31"/>
  <c r="AC88" i="31"/>
  <c r="AD88" i="31"/>
  <c r="AE88" i="31"/>
  <c r="AF88" i="31"/>
  <c r="AG88" i="31"/>
  <c r="AH88" i="31"/>
  <c r="AI88" i="31"/>
  <c r="AJ88" i="31"/>
  <c r="E89" i="31"/>
  <c r="F89" i="31"/>
  <c r="G89" i="31"/>
  <c r="H89" i="31"/>
  <c r="I89" i="31"/>
  <c r="J89" i="31"/>
  <c r="K89" i="31"/>
  <c r="L89" i="31"/>
  <c r="M89" i="31"/>
  <c r="N89" i="31"/>
  <c r="O89" i="31"/>
  <c r="P89" i="31"/>
  <c r="Q89" i="31"/>
  <c r="R89" i="31"/>
  <c r="S89" i="31"/>
  <c r="T89" i="31"/>
  <c r="U89" i="31"/>
  <c r="V89" i="31"/>
  <c r="W89" i="31"/>
  <c r="X89" i="31"/>
  <c r="Y89" i="31"/>
  <c r="Z89" i="31"/>
  <c r="AA89" i="31"/>
  <c r="AB89" i="31"/>
  <c r="AC89" i="31"/>
  <c r="AD89" i="31"/>
  <c r="AE89" i="31"/>
  <c r="AF89" i="31"/>
  <c r="AG89" i="31"/>
  <c r="AH89" i="31"/>
  <c r="AI89" i="31"/>
  <c r="AJ89" i="31"/>
  <c r="E90" i="31"/>
  <c r="F90" i="31"/>
  <c r="G90" i="31"/>
  <c r="H90" i="31"/>
  <c r="I90" i="31"/>
  <c r="J90" i="31"/>
  <c r="K90" i="31"/>
  <c r="L90" i="31"/>
  <c r="M90" i="31"/>
  <c r="N90" i="31"/>
  <c r="O90" i="31"/>
  <c r="P90" i="31"/>
  <c r="Q90" i="31"/>
  <c r="R90" i="31"/>
  <c r="S90" i="31"/>
  <c r="T90" i="31"/>
  <c r="U90" i="31"/>
  <c r="V90" i="31"/>
  <c r="W90" i="31"/>
  <c r="X90" i="31"/>
  <c r="Y90" i="31"/>
  <c r="Z90" i="31"/>
  <c r="AA90" i="31"/>
  <c r="AB90" i="31"/>
  <c r="AC90" i="31"/>
  <c r="AD90" i="31"/>
  <c r="AE90" i="31"/>
  <c r="AF90" i="31"/>
  <c r="AG90" i="31"/>
  <c r="AH90" i="31"/>
  <c r="AI90" i="31"/>
  <c r="AJ90" i="31"/>
  <c r="E91" i="31"/>
  <c r="F91" i="31"/>
  <c r="G91" i="31"/>
  <c r="H91" i="31"/>
  <c r="I91" i="31"/>
  <c r="J91" i="31"/>
  <c r="K91" i="31"/>
  <c r="L91" i="31"/>
  <c r="M91" i="31"/>
  <c r="N91" i="31"/>
  <c r="O91" i="31"/>
  <c r="P91" i="31"/>
  <c r="Q91" i="31"/>
  <c r="R91" i="31"/>
  <c r="S91" i="31"/>
  <c r="T91" i="31"/>
  <c r="U91" i="31"/>
  <c r="V91" i="31"/>
  <c r="W91" i="31"/>
  <c r="X91" i="31"/>
  <c r="Y91" i="31"/>
  <c r="Z91" i="31"/>
  <c r="AA91" i="31"/>
  <c r="AB91" i="31"/>
  <c r="AC91" i="31"/>
  <c r="AD91" i="31"/>
  <c r="AE91" i="31"/>
  <c r="AF91" i="31"/>
  <c r="AG91" i="31"/>
  <c r="AH91" i="31"/>
  <c r="AI91" i="31"/>
  <c r="AJ91" i="31"/>
  <c r="E92" i="31"/>
  <c r="F92" i="31"/>
  <c r="G92" i="31"/>
  <c r="H92" i="31"/>
  <c r="I92" i="31"/>
  <c r="J92" i="31"/>
  <c r="K92" i="31"/>
  <c r="L92" i="31"/>
  <c r="M92" i="31"/>
  <c r="N92" i="31"/>
  <c r="O92" i="31"/>
  <c r="P92" i="31"/>
  <c r="Q92" i="31"/>
  <c r="R92" i="31"/>
  <c r="S92" i="31"/>
  <c r="T92" i="31"/>
  <c r="U92" i="31"/>
  <c r="V92" i="31"/>
  <c r="W92" i="31"/>
  <c r="X92" i="31"/>
  <c r="Y92" i="31"/>
  <c r="Z92" i="31"/>
  <c r="AA92" i="31"/>
  <c r="AB92" i="31"/>
  <c r="AC92" i="31"/>
  <c r="AD92" i="31"/>
  <c r="AE92" i="31"/>
  <c r="AF92" i="31"/>
  <c r="AG92" i="31"/>
  <c r="AH92" i="31"/>
  <c r="AI92" i="31"/>
  <c r="AJ92" i="31"/>
  <c r="E93" i="31"/>
  <c r="F93" i="31"/>
  <c r="G93" i="31"/>
  <c r="H93" i="31"/>
  <c r="I93" i="31"/>
  <c r="J93" i="31"/>
  <c r="K93" i="31"/>
  <c r="L93" i="31"/>
  <c r="M93" i="31"/>
  <c r="N93" i="31"/>
  <c r="O93" i="31"/>
  <c r="P93" i="31"/>
  <c r="Q93" i="31"/>
  <c r="R93" i="31"/>
  <c r="S93" i="31"/>
  <c r="T93" i="31"/>
  <c r="U93" i="31"/>
  <c r="V93" i="31"/>
  <c r="W93" i="31"/>
  <c r="X93" i="31"/>
  <c r="Y93" i="31"/>
  <c r="Z93" i="31"/>
  <c r="AA93" i="31"/>
  <c r="AB93" i="31"/>
  <c r="AC93" i="31"/>
  <c r="AD93" i="31"/>
  <c r="AE93" i="31"/>
  <c r="AF93" i="31"/>
  <c r="AG93" i="31"/>
  <c r="AH93" i="31"/>
  <c r="AI93" i="31"/>
  <c r="AJ93" i="31"/>
  <c r="D84" i="31"/>
  <c r="D86" i="31"/>
  <c r="D88" i="31"/>
  <c r="D90" i="31"/>
  <c r="D92" i="31"/>
  <c r="B84" i="31"/>
  <c r="B85" i="31"/>
  <c r="B86" i="31"/>
  <c r="B87" i="31"/>
  <c r="B88" i="31"/>
  <c r="B89" i="31"/>
  <c r="B90" i="31"/>
  <c r="B91" i="31"/>
  <c r="B92" i="31"/>
  <c r="B93" i="31"/>
  <c r="A84" i="31"/>
  <c r="A85" i="31"/>
  <c r="A86" i="31"/>
  <c r="A87" i="31"/>
  <c r="A88" i="31"/>
  <c r="A89" i="31"/>
  <c r="A90" i="31"/>
  <c r="A91" i="31"/>
  <c r="A92" i="31"/>
  <c r="A93" i="31"/>
  <c r="D62" i="31"/>
  <c r="D64" i="31"/>
  <c r="D66" i="31"/>
  <c r="D68" i="31"/>
  <c r="D70" i="31"/>
  <c r="D72" i="31"/>
  <c r="D74" i="31"/>
  <c r="D76" i="31"/>
  <c r="D78" i="31"/>
  <c r="D80" i="31"/>
  <c r="D82" i="31"/>
  <c r="D60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A62" i="31"/>
  <c r="A63" i="31"/>
  <c r="A64" i="31"/>
  <c r="A65" i="31"/>
  <c r="A66" i="31"/>
  <c r="A67" i="31"/>
  <c r="A68" i="31"/>
  <c r="A69" i="31"/>
  <c r="A70" i="31"/>
  <c r="A71" i="31"/>
  <c r="A72" i="31"/>
  <c r="A73" i="31"/>
  <c r="A74" i="31"/>
  <c r="A75" i="31"/>
  <c r="A76" i="31"/>
  <c r="A77" i="31"/>
  <c r="A78" i="31"/>
  <c r="A79" i="31"/>
  <c r="A80" i="31"/>
  <c r="A81" i="31"/>
  <c r="A82" i="31"/>
  <c r="A83" i="31"/>
  <c r="A61" i="31"/>
  <c r="A60" i="31"/>
  <c r="L33" i="17"/>
  <c r="Z39" i="6"/>
  <c r="K40" i="6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AD42" i="17"/>
  <c r="AE42" i="17"/>
  <c r="AF42" i="17"/>
  <c r="AG42" i="17"/>
  <c r="O40" i="17"/>
  <c r="U32" i="17"/>
  <c r="K37" i="17"/>
  <c r="T39" i="17"/>
  <c r="F50" i="17"/>
  <c r="C35" i="7"/>
  <c r="D35" i="7"/>
  <c r="E35" i="7"/>
  <c r="F35" i="7"/>
  <c r="G35" i="7"/>
  <c r="H35" i="7"/>
  <c r="I35" i="7"/>
  <c r="J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C36" i="7"/>
  <c r="D36" i="7"/>
  <c r="E36" i="7"/>
  <c r="F36" i="7"/>
  <c r="G36" i="7"/>
  <c r="H36" i="7"/>
  <c r="I36" i="7"/>
  <c r="J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B36" i="7"/>
  <c r="AC37" i="17"/>
  <c r="AE37" i="17"/>
  <c r="V43" i="17"/>
  <c r="D36" i="17"/>
  <c r="D35" i="17"/>
  <c r="L44" i="25"/>
  <c r="L35" i="25"/>
  <c r="L32" i="25"/>
  <c r="L20" i="25"/>
  <c r="L19" i="25"/>
  <c r="C37" i="4" l="1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B38" i="4"/>
  <c r="B37" i="4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B54" i="18"/>
  <c r="B53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B51" i="18"/>
  <c r="B52" i="18"/>
  <c r="B50" i="18"/>
  <c r="B49" i="18"/>
  <c r="AI54" i="18"/>
  <c r="AI52" i="18"/>
  <c r="AI50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B48" i="18"/>
  <c r="B47" i="18"/>
  <c r="AI48" i="18"/>
  <c r="A116" i="3"/>
  <c r="A115" i="3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B32" i="4"/>
  <c r="B31" i="4"/>
  <c r="B35" i="7"/>
  <c r="AH42" i="17"/>
  <c r="AH41" i="17"/>
  <c r="B42" i="17"/>
  <c r="B41" i="17"/>
  <c r="A92" i="3"/>
  <c r="A91" i="3"/>
  <c r="A86" i="3"/>
  <c r="A85" i="3"/>
  <c r="A62" i="3"/>
  <c r="A61" i="3"/>
  <c r="A118" i="3"/>
  <c r="A117" i="3"/>
  <c r="AI64" i="18"/>
  <c r="R40" i="17"/>
  <c r="T55" i="31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C68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C67" i="18"/>
  <c r="C66" i="18"/>
  <c r="AH58" i="18"/>
  <c r="AH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C58" i="18"/>
  <c r="C57" i="18"/>
  <c r="B58" i="18"/>
  <c r="B57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C26" i="18"/>
  <c r="C25" i="18"/>
  <c r="B26" i="18"/>
  <c r="B25" i="18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C28" i="7"/>
  <c r="C27" i="7"/>
  <c r="B28" i="7"/>
  <c r="B27" i="7"/>
  <c r="L39" i="25"/>
  <c r="L40" i="25"/>
  <c r="L41" i="25"/>
  <c r="L42" i="25"/>
  <c r="L43" i="25"/>
  <c r="L31" i="25"/>
  <c r="L33" i="25"/>
  <c r="L34" i="25"/>
  <c r="L36" i="25"/>
  <c r="L37" i="25"/>
  <c r="L38" i="25"/>
  <c r="L11" i="25"/>
  <c r="L12" i="25"/>
  <c r="L13" i="25"/>
  <c r="L14" i="25"/>
  <c r="L16" i="25"/>
  <c r="L17" i="25"/>
  <c r="L18" i="25"/>
  <c r="L21" i="25"/>
  <c r="L22" i="25"/>
  <c r="L23" i="25"/>
  <c r="L24" i="25"/>
  <c r="L25" i="25"/>
  <c r="L26" i="25"/>
  <c r="L27" i="25"/>
  <c r="L28" i="25"/>
  <c r="L29" i="25"/>
  <c r="L30" i="25"/>
  <c r="L15" i="25"/>
  <c r="L4" i="25"/>
  <c r="L8" i="25"/>
  <c r="L7" i="25"/>
  <c r="L6" i="25"/>
  <c r="L5" i="25"/>
  <c r="L9" i="25"/>
  <c r="L3" i="25"/>
  <c r="L2" i="25"/>
  <c r="AJ33" i="31"/>
  <c r="AI33" i="31"/>
  <c r="AH33" i="31"/>
  <c r="AG33" i="31"/>
  <c r="AF33" i="31"/>
  <c r="AE33" i="31"/>
  <c r="AD33" i="31"/>
  <c r="AC33" i="31"/>
  <c r="AB33" i="31"/>
  <c r="AA33" i="31"/>
  <c r="Z33" i="31"/>
  <c r="Y33" i="31"/>
  <c r="X33" i="31"/>
  <c r="W33" i="31"/>
  <c r="V33" i="31"/>
  <c r="U33" i="31"/>
  <c r="T33" i="31"/>
  <c r="S33" i="31"/>
  <c r="R33" i="31"/>
  <c r="Q33" i="31"/>
  <c r="P33" i="31"/>
  <c r="O33" i="31"/>
  <c r="N33" i="31"/>
  <c r="M33" i="31"/>
  <c r="L33" i="31"/>
  <c r="K33" i="31"/>
  <c r="J33" i="31"/>
  <c r="I33" i="31"/>
  <c r="H33" i="31"/>
  <c r="G33" i="31"/>
  <c r="F33" i="31"/>
  <c r="E33" i="31"/>
  <c r="B33" i="31"/>
  <c r="A33" i="31"/>
  <c r="AJ32" i="31"/>
  <c r="AI32" i="31"/>
  <c r="AH32" i="31"/>
  <c r="AG32" i="31"/>
  <c r="AF32" i="31"/>
  <c r="AE32" i="31"/>
  <c r="AD32" i="31"/>
  <c r="AC32" i="31"/>
  <c r="AB32" i="31"/>
  <c r="AA32" i="31"/>
  <c r="Z32" i="31"/>
  <c r="Y32" i="31"/>
  <c r="X32" i="31"/>
  <c r="W32" i="31"/>
  <c r="V32" i="31"/>
  <c r="U32" i="31"/>
  <c r="T32" i="31"/>
  <c r="S32" i="31"/>
  <c r="R32" i="31"/>
  <c r="Q32" i="31"/>
  <c r="P32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B32" i="31"/>
  <c r="A32" i="31"/>
  <c r="AI34" i="18"/>
  <c r="AH34" i="18"/>
  <c r="AG34" i="18"/>
  <c r="AF34" i="18"/>
  <c r="AE34" i="18"/>
  <c r="AD34" i="18"/>
  <c r="AC34" i="18"/>
  <c r="AB34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A56" i="3"/>
  <c r="A55" i="3"/>
  <c r="AM52" i="18" l="1"/>
  <c r="A53" i="18"/>
  <c r="AM54" i="18"/>
  <c r="AN53" i="18"/>
  <c r="AJ53" i="18"/>
  <c r="AN51" i="18"/>
  <c r="AK53" i="18"/>
  <c r="AO53" i="18"/>
  <c r="AP53" i="18"/>
  <c r="A49" i="18"/>
  <c r="A54" i="18"/>
  <c r="AM50" i="18"/>
  <c r="AK51" i="18"/>
  <c r="AP51" i="18"/>
  <c r="AL53" i="18"/>
  <c r="AK54" i="18"/>
  <c r="AM49" i="18"/>
  <c r="AM53" i="18"/>
  <c r="AL54" i="18"/>
  <c r="AK50" i="18"/>
  <c r="A51" i="18"/>
  <c r="AO51" i="18"/>
  <c r="AN47" i="18"/>
  <c r="A52" i="18"/>
  <c r="AK47" i="18"/>
  <c r="AJ51" i="18"/>
  <c r="AL49" i="18"/>
  <c r="AO49" i="18"/>
  <c r="AL51" i="18"/>
  <c r="AK52" i="18"/>
  <c r="AN49" i="18"/>
  <c r="AM51" i="18"/>
  <c r="AL52" i="18"/>
  <c r="AP49" i="18"/>
  <c r="A50" i="18"/>
  <c r="AJ49" i="18"/>
  <c r="AK49" i="18"/>
  <c r="AL50" i="18"/>
  <c r="AM48" i="18"/>
  <c r="AO47" i="18"/>
  <c r="A47" i="18"/>
  <c r="AP47" i="18"/>
  <c r="A48" i="18"/>
  <c r="AJ47" i="18"/>
  <c r="AL47" i="18"/>
  <c r="AK48" i="18"/>
  <c r="AM47" i="18"/>
  <c r="AL48" i="18"/>
  <c r="A42" i="17"/>
  <c r="A35" i="7"/>
  <c r="A32" i="4"/>
  <c r="A36" i="7"/>
  <c r="A31" i="4"/>
  <c r="A41" i="17"/>
  <c r="AK34" i="18"/>
  <c r="AP67" i="18"/>
  <c r="AN67" i="18"/>
  <c r="AO67" i="18"/>
  <c r="AM67" i="18"/>
  <c r="AL67" i="18"/>
  <c r="AK67" i="18"/>
  <c r="AK33" i="18"/>
  <c r="AL33" i="18"/>
  <c r="AN33" i="18"/>
  <c r="AJ33" i="18"/>
  <c r="A33" i="18"/>
  <c r="AM34" i="18"/>
  <c r="AM33" i="18"/>
  <c r="A34" i="18"/>
  <c r="AO33" i="18"/>
  <c r="AL34" i="18"/>
  <c r="AP33" i="18"/>
  <c r="C1" i="1"/>
  <c r="B4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3" i="31"/>
  <c r="B2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5" i="31"/>
  <c r="A56" i="31"/>
  <c r="A57" i="31"/>
  <c r="A58" i="31"/>
  <c r="A59" i="31"/>
  <c r="A3" i="31"/>
  <c r="A2" i="31"/>
  <c r="AI53" i="18" l="1"/>
  <c r="AI51" i="18"/>
  <c r="AI49" i="18"/>
  <c r="AI47" i="18"/>
  <c r="AI33" i="18"/>
  <c r="A113" i="3"/>
  <c r="A114" i="3"/>
  <c r="AH30" i="17" l="1"/>
  <c r="AH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AD29" i="17"/>
  <c r="AE29" i="17"/>
  <c r="AF29" i="17"/>
  <c r="AG29" i="17"/>
  <c r="D30" i="17"/>
  <c r="E30" i="17"/>
  <c r="F30" i="17"/>
  <c r="G30" i="17"/>
  <c r="H30" i="17"/>
  <c r="I30" i="17"/>
  <c r="J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AD30" i="17"/>
  <c r="AE30" i="17"/>
  <c r="AF30" i="17"/>
  <c r="AG30" i="17"/>
  <c r="C30" i="17"/>
  <c r="C29" i="17"/>
  <c r="B30" i="17"/>
  <c r="B29" i="17"/>
  <c r="V2" i="31"/>
  <c r="W2" i="31"/>
  <c r="X2" i="31"/>
  <c r="Y2" i="31"/>
  <c r="Z2" i="31"/>
  <c r="AA2" i="31"/>
  <c r="AB2" i="31"/>
  <c r="AC2" i="31"/>
  <c r="AD2" i="31"/>
  <c r="AE2" i="31"/>
  <c r="AF2" i="31"/>
  <c r="AG2" i="31"/>
  <c r="AH2" i="31"/>
  <c r="AI2" i="31"/>
  <c r="AJ2" i="31"/>
  <c r="V3" i="31"/>
  <c r="W3" i="31"/>
  <c r="X3" i="31"/>
  <c r="Y3" i="31"/>
  <c r="Z3" i="31"/>
  <c r="AA3" i="31"/>
  <c r="AB3" i="31"/>
  <c r="AC3" i="31"/>
  <c r="AD3" i="31"/>
  <c r="AE3" i="31"/>
  <c r="AF3" i="31"/>
  <c r="AG3" i="31"/>
  <c r="AH3" i="31"/>
  <c r="AI3" i="31"/>
  <c r="AJ3" i="31"/>
  <c r="V4" i="31"/>
  <c r="W4" i="31"/>
  <c r="X4" i="31"/>
  <c r="Y4" i="31"/>
  <c r="Z4" i="31"/>
  <c r="AA4" i="31"/>
  <c r="AB4" i="31"/>
  <c r="AC4" i="31"/>
  <c r="AD4" i="31"/>
  <c r="AE4" i="31"/>
  <c r="AF4" i="31"/>
  <c r="AG4" i="31"/>
  <c r="AH4" i="31"/>
  <c r="AI4" i="31"/>
  <c r="AJ4" i="31"/>
  <c r="V5" i="31"/>
  <c r="W5" i="31"/>
  <c r="X5" i="31"/>
  <c r="Y5" i="31"/>
  <c r="Z5" i="31"/>
  <c r="AA5" i="31"/>
  <c r="AB5" i="31"/>
  <c r="AC5" i="31"/>
  <c r="AD5" i="31"/>
  <c r="AE5" i="31"/>
  <c r="AF5" i="31"/>
  <c r="AG5" i="31"/>
  <c r="AH5" i="31"/>
  <c r="AI5" i="31"/>
  <c r="AJ5" i="31"/>
  <c r="V6" i="31"/>
  <c r="W6" i="31"/>
  <c r="X6" i="31"/>
  <c r="Y6" i="31"/>
  <c r="Z6" i="31"/>
  <c r="AA6" i="31"/>
  <c r="AB6" i="31"/>
  <c r="AC6" i="31"/>
  <c r="AD6" i="31"/>
  <c r="AE6" i="31"/>
  <c r="AF6" i="31"/>
  <c r="AG6" i="31"/>
  <c r="AH6" i="31"/>
  <c r="AI6" i="31"/>
  <c r="AJ6" i="31"/>
  <c r="V7" i="31"/>
  <c r="W7" i="31"/>
  <c r="X7" i="31"/>
  <c r="Y7" i="31"/>
  <c r="Z7" i="31"/>
  <c r="AA7" i="31"/>
  <c r="AB7" i="31"/>
  <c r="AC7" i="31"/>
  <c r="AD7" i="31"/>
  <c r="AE7" i="31"/>
  <c r="AF7" i="31"/>
  <c r="AG7" i="31"/>
  <c r="AH7" i="31"/>
  <c r="AI7" i="31"/>
  <c r="AJ7" i="31"/>
  <c r="V8" i="31"/>
  <c r="W8" i="31"/>
  <c r="X8" i="31"/>
  <c r="Y8" i="31"/>
  <c r="Z8" i="31"/>
  <c r="AA8" i="31"/>
  <c r="AB8" i="31"/>
  <c r="AC8" i="31"/>
  <c r="AD8" i="31"/>
  <c r="AE8" i="31"/>
  <c r="AF8" i="31"/>
  <c r="AG8" i="31"/>
  <c r="AH8" i="31"/>
  <c r="AI8" i="31"/>
  <c r="AJ8" i="31"/>
  <c r="V9" i="31"/>
  <c r="W9" i="31"/>
  <c r="X9" i="31"/>
  <c r="Y9" i="31"/>
  <c r="Z9" i="31"/>
  <c r="AA9" i="31"/>
  <c r="AB9" i="31"/>
  <c r="AC9" i="31"/>
  <c r="AD9" i="31"/>
  <c r="AE9" i="31"/>
  <c r="AF9" i="31"/>
  <c r="AG9" i="31"/>
  <c r="AH9" i="31"/>
  <c r="AI9" i="31"/>
  <c r="AJ9" i="31"/>
  <c r="V10" i="31"/>
  <c r="W10" i="31"/>
  <c r="X10" i="31"/>
  <c r="Y10" i="31"/>
  <c r="Z10" i="31"/>
  <c r="AA10" i="31"/>
  <c r="AB10" i="31"/>
  <c r="AC10" i="31"/>
  <c r="AD10" i="31"/>
  <c r="AE10" i="31"/>
  <c r="AF10" i="31"/>
  <c r="AG10" i="31"/>
  <c r="AH10" i="31"/>
  <c r="AI10" i="31"/>
  <c r="AJ10" i="31"/>
  <c r="V11" i="31"/>
  <c r="W11" i="31"/>
  <c r="X11" i="31"/>
  <c r="Y11" i="31"/>
  <c r="Z11" i="31"/>
  <c r="AA11" i="31"/>
  <c r="AB11" i="31"/>
  <c r="AC11" i="31"/>
  <c r="AD11" i="31"/>
  <c r="AE11" i="31"/>
  <c r="AF11" i="31"/>
  <c r="AG11" i="31"/>
  <c r="AH11" i="31"/>
  <c r="AI11" i="31"/>
  <c r="AJ11" i="31"/>
  <c r="V12" i="31"/>
  <c r="W12" i="31"/>
  <c r="X12" i="31"/>
  <c r="Y12" i="31"/>
  <c r="Z12" i="31"/>
  <c r="AA12" i="31"/>
  <c r="AB12" i="31"/>
  <c r="AC12" i="31"/>
  <c r="AD12" i="31"/>
  <c r="AE12" i="31"/>
  <c r="AF12" i="31"/>
  <c r="AG12" i="31"/>
  <c r="AH12" i="31"/>
  <c r="AI12" i="31"/>
  <c r="AJ12" i="31"/>
  <c r="V13" i="31"/>
  <c r="W13" i="31"/>
  <c r="X13" i="31"/>
  <c r="Y13" i="31"/>
  <c r="Z13" i="31"/>
  <c r="AA13" i="31"/>
  <c r="AB13" i="31"/>
  <c r="AC13" i="31"/>
  <c r="AD13" i="31"/>
  <c r="AE13" i="31"/>
  <c r="AF13" i="31"/>
  <c r="AG13" i="31"/>
  <c r="AH13" i="31"/>
  <c r="AI13" i="31"/>
  <c r="AJ13" i="31"/>
  <c r="V14" i="31"/>
  <c r="W14" i="31"/>
  <c r="X14" i="31"/>
  <c r="Y14" i="31"/>
  <c r="Z14" i="31"/>
  <c r="AA14" i="31"/>
  <c r="AB14" i="31"/>
  <c r="AC14" i="31"/>
  <c r="AD14" i="31"/>
  <c r="AE14" i="31"/>
  <c r="AF14" i="31"/>
  <c r="AG14" i="31"/>
  <c r="AH14" i="31"/>
  <c r="AI14" i="31"/>
  <c r="AJ14" i="31"/>
  <c r="V15" i="31"/>
  <c r="W15" i="31"/>
  <c r="X15" i="31"/>
  <c r="Y15" i="31"/>
  <c r="Z15" i="31"/>
  <c r="AA15" i="31"/>
  <c r="AB15" i="31"/>
  <c r="AC15" i="31"/>
  <c r="AD15" i="31"/>
  <c r="AE15" i="31"/>
  <c r="AF15" i="31"/>
  <c r="AG15" i="31"/>
  <c r="AH15" i="31"/>
  <c r="AI15" i="31"/>
  <c r="AJ15" i="31"/>
  <c r="V16" i="31"/>
  <c r="W16" i="31"/>
  <c r="X16" i="31"/>
  <c r="Y16" i="31"/>
  <c r="Z16" i="31"/>
  <c r="AA16" i="31"/>
  <c r="AB16" i="31"/>
  <c r="AC16" i="31"/>
  <c r="AD16" i="31"/>
  <c r="AE16" i="31"/>
  <c r="AF16" i="31"/>
  <c r="AG16" i="31"/>
  <c r="AH16" i="31"/>
  <c r="AI16" i="31"/>
  <c r="AJ16" i="31"/>
  <c r="V17" i="31"/>
  <c r="W17" i="31"/>
  <c r="X17" i="31"/>
  <c r="Y17" i="31"/>
  <c r="Z17" i="31"/>
  <c r="AA17" i="31"/>
  <c r="AB17" i="31"/>
  <c r="AC17" i="31"/>
  <c r="AD17" i="31"/>
  <c r="AE17" i="31"/>
  <c r="AF17" i="31"/>
  <c r="AG17" i="31"/>
  <c r="AH17" i="31"/>
  <c r="AI17" i="31"/>
  <c r="AJ17" i="31"/>
  <c r="V18" i="31"/>
  <c r="W18" i="31"/>
  <c r="X18" i="31"/>
  <c r="Y18" i="31"/>
  <c r="Z18" i="31"/>
  <c r="AA18" i="31"/>
  <c r="AB18" i="31"/>
  <c r="AC18" i="31"/>
  <c r="AD18" i="31"/>
  <c r="AE18" i="31"/>
  <c r="AF18" i="31"/>
  <c r="AG18" i="31"/>
  <c r="AH18" i="31"/>
  <c r="AI18" i="31"/>
  <c r="AJ18" i="31"/>
  <c r="V19" i="31"/>
  <c r="W19" i="31"/>
  <c r="X19" i="31"/>
  <c r="Y19" i="31"/>
  <c r="Z19" i="31"/>
  <c r="AA19" i="31"/>
  <c r="AB19" i="31"/>
  <c r="AC19" i="31"/>
  <c r="AD19" i="31"/>
  <c r="AE19" i="31"/>
  <c r="AF19" i="31"/>
  <c r="AG19" i="31"/>
  <c r="AH19" i="31"/>
  <c r="AI19" i="31"/>
  <c r="AJ19" i="31"/>
  <c r="V20" i="31"/>
  <c r="W20" i="31"/>
  <c r="X20" i="31"/>
  <c r="Y20" i="31"/>
  <c r="Z20" i="31"/>
  <c r="AA20" i="31"/>
  <c r="AB20" i="31"/>
  <c r="AC20" i="31"/>
  <c r="AD20" i="31"/>
  <c r="AE20" i="31"/>
  <c r="AF20" i="31"/>
  <c r="AG20" i="31"/>
  <c r="AH20" i="31"/>
  <c r="AI20" i="31"/>
  <c r="AJ20" i="31"/>
  <c r="V21" i="31"/>
  <c r="W21" i="31"/>
  <c r="X21" i="31"/>
  <c r="Y21" i="31"/>
  <c r="Z21" i="31"/>
  <c r="AA21" i="31"/>
  <c r="AB21" i="31"/>
  <c r="AC21" i="31"/>
  <c r="AD21" i="31"/>
  <c r="AE21" i="31"/>
  <c r="AF21" i="31"/>
  <c r="AG21" i="31"/>
  <c r="AH21" i="31"/>
  <c r="AI21" i="31"/>
  <c r="AJ21" i="31"/>
  <c r="V22" i="31"/>
  <c r="W22" i="31"/>
  <c r="X22" i="31"/>
  <c r="Y22" i="31"/>
  <c r="Z22" i="31"/>
  <c r="AA22" i="31"/>
  <c r="AB22" i="31"/>
  <c r="AC22" i="31"/>
  <c r="AD22" i="31"/>
  <c r="AE22" i="31"/>
  <c r="AF22" i="31"/>
  <c r="AG22" i="31"/>
  <c r="AH22" i="31"/>
  <c r="AI22" i="31"/>
  <c r="AJ22" i="31"/>
  <c r="V23" i="31"/>
  <c r="W23" i="31"/>
  <c r="X23" i="31"/>
  <c r="Y23" i="31"/>
  <c r="Z23" i="31"/>
  <c r="AA23" i="31"/>
  <c r="AB23" i="31"/>
  <c r="AC23" i="31"/>
  <c r="AD23" i="31"/>
  <c r="AE23" i="31"/>
  <c r="AF23" i="31"/>
  <c r="AG23" i="31"/>
  <c r="AH23" i="31"/>
  <c r="AI23" i="31"/>
  <c r="AJ23" i="31"/>
  <c r="V24" i="31"/>
  <c r="W24" i="31"/>
  <c r="X24" i="31"/>
  <c r="Y24" i="31"/>
  <c r="Z24" i="31"/>
  <c r="AA24" i="31"/>
  <c r="AB24" i="31"/>
  <c r="AC24" i="31"/>
  <c r="AD24" i="31"/>
  <c r="AE24" i="31"/>
  <c r="AF24" i="31"/>
  <c r="AG24" i="31"/>
  <c r="AH24" i="31"/>
  <c r="AI24" i="31"/>
  <c r="AJ24" i="31"/>
  <c r="V25" i="31"/>
  <c r="W25" i="31"/>
  <c r="X25" i="31"/>
  <c r="Y25" i="31"/>
  <c r="Z25" i="31"/>
  <c r="AA25" i="31"/>
  <c r="AB25" i="31"/>
  <c r="AC25" i="31"/>
  <c r="AD25" i="31"/>
  <c r="AE25" i="31"/>
  <c r="AF25" i="31"/>
  <c r="AG25" i="31"/>
  <c r="AH25" i="31"/>
  <c r="AI25" i="31"/>
  <c r="AJ25" i="31"/>
  <c r="V26" i="31"/>
  <c r="W26" i="31"/>
  <c r="X26" i="31"/>
  <c r="Y26" i="31"/>
  <c r="Z26" i="31"/>
  <c r="AA26" i="31"/>
  <c r="AB26" i="31"/>
  <c r="AC26" i="31"/>
  <c r="AD26" i="31"/>
  <c r="AE26" i="31"/>
  <c r="AF26" i="31"/>
  <c r="AG26" i="31"/>
  <c r="AH26" i="31"/>
  <c r="AI26" i="31"/>
  <c r="AJ26" i="31"/>
  <c r="V27" i="31"/>
  <c r="W27" i="31"/>
  <c r="X27" i="31"/>
  <c r="Y27" i="31"/>
  <c r="Z27" i="31"/>
  <c r="AA27" i="31"/>
  <c r="AB27" i="31"/>
  <c r="AC27" i="31"/>
  <c r="AD27" i="31"/>
  <c r="AE27" i="31"/>
  <c r="AF27" i="31"/>
  <c r="AG27" i="31"/>
  <c r="AH27" i="31"/>
  <c r="AI27" i="31"/>
  <c r="AJ27" i="31"/>
  <c r="V28" i="31"/>
  <c r="W28" i="31"/>
  <c r="X28" i="31"/>
  <c r="Y28" i="31"/>
  <c r="Z28" i="31"/>
  <c r="AA28" i="31"/>
  <c r="AB28" i="31"/>
  <c r="AC28" i="31"/>
  <c r="AD28" i="31"/>
  <c r="AE28" i="31"/>
  <c r="AF28" i="31"/>
  <c r="AG28" i="31"/>
  <c r="AH28" i="31"/>
  <c r="AI28" i="31"/>
  <c r="AJ28" i="31"/>
  <c r="V29" i="31"/>
  <c r="W29" i="31"/>
  <c r="X29" i="31"/>
  <c r="Y29" i="31"/>
  <c r="Z29" i="31"/>
  <c r="AA29" i="31"/>
  <c r="AB29" i="31"/>
  <c r="AC29" i="31"/>
  <c r="AD29" i="31"/>
  <c r="AE29" i="31"/>
  <c r="AF29" i="31"/>
  <c r="AG29" i="31"/>
  <c r="AH29" i="31"/>
  <c r="AI29" i="31"/>
  <c r="AJ29" i="31"/>
  <c r="V30" i="31"/>
  <c r="W30" i="31"/>
  <c r="X30" i="31"/>
  <c r="Y30" i="31"/>
  <c r="Z30" i="31"/>
  <c r="AA30" i="31"/>
  <c r="AB30" i="31"/>
  <c r="AC30" i="31"/>
  <c r="AD30" i="31"/>
  <c r="AE30" i="31"/>
  <c r="AF30" i="31"/>
  <c r="AG30" i="31"/>
  <c r="AH30" i="31"/>
  <c r="AI30" i="31"/>
  <c r="AJ30" i="31"/>
  <c r="V31" i="31"/>
  <c r="W31" i="31"/>
  <c r="X31" i="31"/>
  <c r="Y31" i="31"/>
  <c r="Z31" i="31"/>
  <c r="AA31" i="31"/>
  <c r="AB31" i="31"/>
  <c r="AC31" i="31"/>
  <c r="AD31" i="31"/>
  <c r="AE31" i="31"/>
  <c r="AF31" i="31"/>
  <c r="AG31" i="31"/>
  <c r="AH31" i="31"/>
  <c r="AI31" i="31"/>
  <c r="AJ31" i="31"/>
  <c r="V34" i="31"/>
  <c r="W34" i="31"/>
  <c r="X34" i="31"/>
  <c r="Y34" i="31"/>
  <c r="Z34" i="31"/>
  <c r="AA34" i="31"/>
  <c r="AB34" i="31"/>
  <c r="AC34" i="31"/>
  <c r="AD34" i="31"/>
  <c r="AE34" i="31"/>
  <c r="AF34" i="31"/>
  <c r="AG34" i="31"/>
  <c r="AH34" i="31"/>
  <c r="AI34" i="31"/>
  <c r="AJ34" i="31"/>
  <c r="V35" i="31"/>
  <c r="W35" i="31"/>
  <c r="X35" i="31"/>
  <c r="Y35" i="31"/>
  <c r="Z35" i="31"/>
  <c r="AA35" i="31"/>
  <c r="AB35" i="31"/>
  <c r="AC35" i="31"/>
  <c r="AD35" i="31"/>
  <c r="AE35" i="31"/>
  <c r="AF35" i="31"/>
  <c r="AG35" i="31"/>
  <c r="AH35" i="31"/>
  <c r="AI35" i="31"/>
  <c r="AJ35" i="31"/>
  <c r="V36" i="31"/>
  <c r="W36" i="31"/>
  <c r="X36" i="31"/>
  <c r="Y36" i="31"/>
  <c r="Z36" i="31"/>
  <c r="AA36" i="31"/>
  <c r="AB36" i="31"/>
  <c r="AC36" i="31"/>
  <c r="AD36" i="31"/>
  <c r="AE36" i="31"/>
  <c r="AF36" i="31"/>
  <c r="AG36" i="31"/>
  <c r="AH36" i="31"/>
  <c r="AI36" i="31"/>
  <c r="AJ36" i="31"/>
  <c r="V37" i="31"/>
  <c r="W37" i="31"/>
  <c r="X37" i="31"/>
  <c r="Y37" i="31"/>
  <c r="Z37" i="31"/>
  <c r="AA37" i="31"/>
  <c r="AB37" i="31"/>
  <c r="AC37" i="31"/>
  <c r="AD37" i="31"/>
  <c r="AE37" i="31"/>
  <c r="AF37" i="31"/>
  <c r="AG37" i="31"/>
  <c r="AH37" i="31"/>
  <c r="AI37" i="31"/>
  <c r="AJ37" i="31"/>
  <c r="V38" i="31"/>
  <c r="W38" i="31"/>
  <c r="X38" i="31"/>
  <c r="Y38" i="31"/>
  <c r="Z38" i="31"/>
  <c r="AA38" i="31"/>
  <c r="AB38" i="31"/>
  <c r="AC38" i="31"/>
  <c r="AD38" i="31"/>
  <c r="AE38" i="31"/>
  <c r="AF38" i="31"/>
  <c r="AG38" i="31"/>
  <c r="AH38" i="31"/>
  <c r="AI38" i="31"/>
  <c r="AJ38" i="31"/>
  <c r="V39" i="31"/>
  <c r="W39" i="31"/>
  <c r="X39" i="31"/>
  <c r="Y39" i="31"/>
  <c r="Z39" i="31"/>
  <c r="AA39" i="31"/>
  <c r="AB39" i="31"/>
  <c r="AC39" i="31"/>
  <c r="AD39" i="31"/>
  <c r="AE39" i="31"/>
  <c r="AF39" i="31"/>
  <c r="AG39" i="31"/>
  <c r="AH39" i="31"/>
  <c r="AI39" i="31"/>
  <c r="AJ39" i="31"/>
  <c r="V40" i="31"/>
  <c r="W40" i="31"/>
  <c r="X40" i="31"/>
  <c r="Y40" i="31"/>
  <c r="Z40" i="31"/>
  <c r="AA40" i="31"/>
  <c r="AB40" i="31"/>
  <c r="AC40" i="31"/>
  <c r="AD40" i="31"/>
  <c r="AE40" i="31"/>
  <c r="AF40" i="31"/>
  <c r="AG40" i="31"/>
  <c r="AH40" i="31"/>
  <c r="AI40" i="31"/>
  <c r="AJ40" i="31"/>
  <c r="V41" i="31"/>
  <c r="W41" i="31"/>
  <c r="X41" i="31"/>
  <c r="Y41" i="31"/>
  <c r="Z41" i="31"/>
  <c r="AA41" i="31"/>
  <c r="AB41" i="31"/>
  <c r="AC41" i="31"/>
  <c r="AD41" i="31"/>
  <c r="AE41" i="31"/>
  <c r="AF41" i="31"/>
  <c r="AG41" i="31"/>
  <c r="AH41" i="31"/>
  <c r="AI41" i="31"/>
  <c r="AJ41" i="31"/>
  <c r="V42" i="31"/>
  <c r="W42" i="31"/>
  <c r="X42" i="31"/>
  <c r="Y42" i="31"/>
  <c r="Z42" i="31"/>
  <c r="AA42" i="31"/>
  <c r="AB42" i="31"/>
  <c r="AC42" i="31"/>
  <c r="AD42" i="31"/>
  <c r="AE42" i="31"/>
  <c r="AF42" i="31"/>
  <c r="AG42" i="31"/>
  <c r="AH42" i="31"/>
  <c r="AI42" i="31"/>
  <c r="AJ42" i="31"/>
  <c r="V43" i="31"/>
  <c r="W43" i="31"/>
  <c r="X43" i="31"/>
  <c r="Y43" i="31"/>
  <c r="Z43" i="31"/>
  <c r="AA43" i="31"/>
  <c r="AB43" i="31"/>
  <c r="AC43" i="31"/>
  <c r="AD43" i="31"/>
  <c r="AE43" i="31"/>
  <c r="AF43" i="31"/>
  <c r="AG43" i="31"/>
  <c r="AH43" i="31"/>
  <c r="AI43" i="31"/>
  <c r="AJ43" i="31"/>
  <c r="V44" i="31"/>
  <c r="W44" i="31"/>
  <c r="X44" i="31"/>
  <c r="Y44" i="31"/>
  <c r="Z44" i="31"/>
  <c r="AA44" i="31"/>
  <c r="AB44" i="31"/>
  <c r="AC44" i="31"/>
  <c r="AD44" i="31"/>
  <c r="AE44" i="31"/>
  <c r="AF44" i="31"/>
  <c r="AG44" i="31"/>
  <c r="AH44" i="31"/>
  <c r="AI44" i="31"/>
  <c r="AJ44" i="31"/>
  <c r="V45" i="31"/>
  <c r="W45" i="31"/>
  <c r="X45" i="31"/>
  <c r="Y45" i="31"/>
  <c r="Z45" i="31"/>
  <c r="AA45" i="31"/>
  <c r="AB45" i="31"/>
  <c r="AC45" i="31"/>
  <c r="AD45" i="31"/>
  <c r="AE45" i="31"/>
  <c r="AF45" i="31"/>
  <c r="AG45" i="31"/>
  <c r="AH45" i="31"/>
  <c r="AI45" i="31"/>
  <c r="AJ45" i="31"/>
  <c r="V46" i="31"/>
  <c r="W46" i="31"/>
  <c r="X46" i="31"/>
  <c r="Y46" i="31"/>
  <c r="Z46" i="31"/>
  <c r="AA46" i="31"/>
  <c r="AB46" i="31"/>
  <c r="AC46" i="31"/>
  <c r="AD46" i="31"/>
  <c r="AE46" i="31"/>
  <c r="AF46" i="31"/>
  <c r="AG46" i="31"/>
  <c r="AH46" i="31"/>
  <c r="AI46" i="31"/>
  <c r="AJ46" i="31"/>
  <c r="V47" i="31"/>
  <c r="W47" i="31"/>
  <c r="X47" i="31"/>
  <c r="Y47" i="31"/>
  <c r="Z47" i="31"/>
  <c r="AA47" i="31"/>
  <c r="AB47" i="31"/>
  <c r="AC47" i="31"/>
  <c r="AD47" i="31"/>
  <c r="AE47" i="31"/>
  <c r="AF47" i="31"/>
  <c r="AG47" i="31"/>
  <c r="AH47" i="31"/>
  <c r="AI47" i="31"/>
  <c r="AJ47" i="31"/>
  <c r="V48" i="31"/>
  <c r="W48" i="31"/>
  <c r="X48" i="31"/>
  <c r="Y48" i="31"/>
  <c r="Z48" i="31"/>
  <c r="AA48" i="31"/>
  <c r="AB48" i="31"/>
  <c r="AC48" i="31"/>
  <c r="AD48" i="31"/>
  <c r="AE48" i="31"/>
  <c r="AF48" i="31"/>
  <c r="AG48" i="31"/>
  <c r="AH48" i="31"/>
  <c r="AI48" i="31"/>
  <c r="AJ48" i="31"/>
  <c r="V49" i="31"/>
  <c r="W49" i="31"/>
  <c r="X49" i="31"/>
  <c r="Y49" i="31"/>
  <c r="Z49" i="31"/>
  <c r="AA49" i="31"/>
  <c r="AB49" i="31"/>
  <c r="AC49" i="31"/>
  <c r="AD49" i="31"/>
  <c r="AE49" i="31"/>
  <c r="AF49" i="31"/>
  <c r="AG49" i="31"/>
  <c r="AH49" i="31"/>
  <c r="AI49" i="31"/>
  <c r="AJ49" i="31"/>
  <c r="V50" i="31"/>
  <c r="W50" i="31"/>
  <c r="X50" i="31"/>
  <c r="Y50" i="31"/>
  <c r="Z50" i="31"/>
  <c r="AA50" i="31"/>
  <c r="AB50" i="31"/>
  <c r="AC50" i="31"/>
  <c r="AD50" i="31"/>
  <c r="AE50" i="31"/>
  <c r="AF50" i="31"/>
  <c r="AG50" i="31"/>
  <c r="AH50" i="31"/>
  <c r="AI50" i="31"/>
  <c r="AJ50" i="31"/>
  <c r="V51" i="31"/>
  <c r="W51" i="31"/>
  <c r="X51" i="31"/>
  <c r="Y51" i="31"/>
  <c r="Z51" i="31"/>
  <c r="AA51" i="31"/>
  <c r="AB51" i="31"/>
  <c r="AC51" i="31"/>
  <c r="AD51" i="31"/>
  <c r="AE51" i="31"/>
  <c r="AF51" i="31"/>
  <c r="AG51" i="31"/>
  <c r="AH51" i="31"/>
  <c r="AI51" i="31"/>
  <c r="AJ51" i="31"/>
  <c r="V52" i="31"/>
  <c r="W52" i="31"/>
  <c r="X52" i="31"/>
  <c r="Y52" i="31"/>
  <c r="Z52" i="31"/>
  <c r="AA52" i="31"/>
  <c r="AB52" i="31"/>
  <c r="AC52" i="31"/>
  <c r="AD52" i="31"/>
  <c r="AE52" i="31"/>
  <c r="AF52" i="31"/>
  <c r="AG52" i="31"/>
  <c r="AH52" i="31"/>
  <c r="AI52" i="31"/>
  <c r="AJ52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V54" i="31"/>
  <c r="W54" i="31"/>
  <c r="X54" i="31"/>
  <c r="Y54" i="31"/>
  <c r="Z54" i="31"/>
  <c r="AA54" i="31"/>
  <c r="AB54" i="31"/>
  <c r="AC54" i="31"/>
  <c r="AD54" i="31"/>
  <c r="AE54" i="31"/>
  <c r="AF54" i="31"/>
  <c r="AG54" i="31"/>
  <c r="AH54" i="31"/>
  <c r="AI54" i="31"/>
  <c r="AJ54" i="31"/>
  <c r="V55" i="31"/>
  <c r="W55" i="31"/>
  <c r="X55" i="31"/>
  <c r="Y55" i="31"/>
  <c r="Z55" i="31"/>
  <c r="AA55" i="31"/>
  <c r="AB55" i="31"/>
  <c r="AC55" i="31"/>
  <c r="AD55" i="31"/>
  <c r="AE55" i="31"/>
  <c r="AF55" i="31"/>
  <c r="AG55" i="31"/>
  <c r="AH55" i="31"/>
  <c r="AI55" i="31"/>
  <c r="AJ55" i="31"/>
  <c r="V56" i="31"/>
  <c r="W56" i="31"/>
  <c r="X56" i="31"/>
  <c r="Y56" i="31"/>
  <c r="Z56" i="31"/>
  <c r="AA56" i="31"/>
  <c r="AB56" i="31"/>
  <c r="AC56" i="31"/>
  <c r="AD56" i="31"/>
  <c r="AE56" i="31"/>
  <c r="AF56" i="31"/>
  <c r="AG56" i="31"/>
  <c r="AH56" i="31"/>
  <c r="AI56" i="31"/>
  <c r="AJ56" i="31"/>
  <c r="V57" i="31"/>
  <c r="W57" i="31"/>
  <c r="X57" i="31"/>
  <c r="Y57" i="31"/>
  <c r="Z57" i="31"/>
  <c r="AA57" i="31"/>
  <c r="AB57" i="31"/>
  <c r="AC57" i="31"/>
  <c r="AD57" i="31"/>
  <c r="AE57" i="31"/>
  <c r="AF57" i="31"/>
  <c r="AG57" i="31"/>
  <c r="AH57" i="31"/>
  <c r="AI57" i="31"/>
  <c r="AJ57" i="31"/>
  <c r="V58" i="31"/>
  <c r="W58" i="31"/>
  <c r="X58" i="31"/>
  <c r="Y58" i="31"/>
  <c r="Z58" i="31"/>
  <c r="AA58" i="31"/>
  <c r="AB58" i="31"/>
  <c r="AC58" i="31"/>
  <c r="AD58" i="31"/>
  <c r="AE58" i="31"/>
  <c r="AF58" i="31"/>
  <c r="AG58" i="31"/>
  <c r="AH58" i="31"/>
  <c r="AI58" i="31"/>
  <c r="AJ58" i="31"/>
  <c r="V59" i="31"/>
  <c r="W59" i="31"/>
  <c r="X59" i="31"/>
  <c r="Y59" i="31"/>
  <c r="Z59" i="31"/>
  <c r="AA59" i="31"/>
  <c r="AB59" i="31"/>
  <c r="AC59" i="31"/>
  <c r="AD59" i="31"/>
  <c r="AE59" i="31"/>
  <c r="AF59" i="31"/>
  <c r="AG59" i="31"/>
  <c r="AH59" i="31"/>
  <c r="AI59" i="31"/>
  <c r="AJ59" i="31"/>
  <c r="O2" i="31"/>
  <c r="P2" i="31"/>
  <c r="Q2" i="31"/>
  <c r="R2" i="31"/>
  <c r="S2" i="31"/>
  <c r="T2" i="31"/>
  <c r="U2" i="31"/>
  <c r="O3" i="31"/>
  <c r="P3" i="31"/>
  <c r="Q3" i="31"/>
  <c r="R3" i="31"/>
  <c r="S3" i="31"/>
  <c r="T3" i="31"/>
  <c r="U3" i="31"/>
  <c r="O4" i="31"/>
  <c r="P4" i="31"/>
  <c r="Q4" i="31"/>
  <c r="R4" i="31"/>
  <c r="S4" i="31"/>
  <c r="T4" i="31"/>
  <c r="U4" i="31"/>
  <c r="O5" i="31"/>
  <c r="P5" i="31"/>
  <c r="Q5" i="31"/>
  <c r="R5" i="31"/>
  <c r="S5" i="31"/>
  <c r="T5" i="31"/>
  <c r="U5" i="31"/>
  <c r="O6" i="31"/>
  <c r="P6" i="31"/>
  <c r="Q6" i="31"/>
  <c r="R6" i="31"/>
  <c r="S6" i="31"/>
  <c r="T6" i="31"/>
  <c r="U6" i="31"/>
  <c r="O7" i="31"/>
  <c r="P7" i="31"/>
  <c r="Q7" i="31"/>
  <c r="R7" i="31"/>
  <c r="S7" i="31"/>
  <c r="T7" i="31"/>
  <c r="U7" i="31"/>
  <c r="O8" i="31"/>
  <c r="P8" i="31"/>
  <c r="Q8" i="31"/>
  <c r="R8" i="31"/>
  <c r="S8" i="31"/>
  <c r="T8" i="31"/>
  <c r="U8" i="31"/>
  <c r="O9" i="31"/>
  <c r="P9" i="31"/>
  <c r="Q9" i="31"/>
  <c r="R9" i="31"/>
  <c r="S9" i="31"/>
  <c r="T9" i="31"/>
  <c r="U9" i="31"/>
  <c r="O10" i="31"/>
  <c r="P10" i="31"/>
  <c r="Q10" i="31"/>
  <c r="R10" i="31"/>
  <c r="S10" i="31"/>
  <c r="T10" i="31"/>
  <c r="U10" i="31"/>
  <c r="O11" i="31"/>
  <c r="P11" i="31"/>
  <c r="Q11" i="31"/>
  <c r="R11" i="31"/>
  <c r="S11" i="31"/>
  <c r="T11" i="31"/>
  <c r="U11" i="31"/>
  <c r="O12" i="31"/>
  <c r="P12" i="31"/>
  <c r="Q12" i="31"/>
  <c r="R12" i="31"/>
  <c r="S12" i="31"/>
  <c r="T12" i="31"/>
  <c r="U12" i="31"/>
  <c r="O13" i="31"/>
  <c r="P13" i="31"/>
  <c r="Q13" i="31"/>
  <c r="R13" i="31"/>
  <c r="S13" i="31"/>
  <c r="T13" i="31"/>
  <c r="U13" i="31"/>
  <c r="O14" i="31"/>
  <c r="P14" i="31"/>
  <c r="Q14" i="31"/>
  <c r="R14" i="31"/>
  <c r="S14" i="31"/>
  <c r="T14" i="31"/>
  <c r="U14" i="31"/>
  <c r="O15" i="31"/>
  <c r="P15" i="31"/>
  <c r="Q15" i="31"/>
  <c r="R15" i="31"/>
  <c r="S15" i="31"/>
  <c r="T15" i="31"/>
  <c r="U15" i="31"/>
  <c r="O16" i="31"/>
  <c r="P16" i="31"/>
  <c r="Q16" i="31"/>
  <c r="R16" i="31"/>
  <c r="S16" i="31"/>
  <c r="T16" i="31"/>
  <c r="U16" i="31"/>
  <c r="O17" i="31"/>
  <c r="P17" i="31"/>
  <c r="Q17" i="31"/>
  <c r="R17" i="31"/>
  <c r="S17" i="31"/>
  <c r="T17" i="31"/>
  <c r="U17" i="31"/>
  <c r="O18" i="31"/>
  <c r="P18" i="31"/>
  <c r="Q18" i="31"/>
  <c r="R18" i="31"/>
  <c r="S18" i="31"/>
  <c r="T18" i="31"/>
  <c r="U18" i="31"/>
  <c r="O19" i="31"/>
  <c r="P19" i="31"/>
  <c r="Q19" i="31"/>
  <c r="R19" i="31"/>
  <c r="S19" i="31"/>
  <c r="T19" i="31"/>
  <c r="U19" i="31"/>
  <c r="O20" i="31"/>
  <c r="P20" i="31"/>
  <c r="Q20" i="31"/>
  <c r="R20" i="31"/>
  <c r="S20" i="31"/>
  <c r="T20" i="31"/>
  <c r="U20" i="31"/>
  <c r="O21" i="31"/>
  <c r="P21" i="31"/>
  <c r="Q21" i="31"/>
  <c r="R21" i="31"/>
  <c r="S21" i="31"/>
  <c r="T21" i="31"/>
  <c r="U21" i="31"/>
  <c r="O22" i="31"/>
  <c r="P22" i="31"/>
  <c r="Q22" i="31"/>
  <c r="R22" i="31"/>
  <c r="S22" i="31"/>
  <c r="T22" i="31"/>
  <c r="U22" i="31"/>
  <c r="O23" i="31"/>
  <c r="P23" i="31"/>
  <c r="Q23" i="31"/>
  <c r="R23" i="31"/>
  <c r="S23" i="31"/>
  <c r="T23" i="31"/>
  <c r="U23" i="31"/>
  <c r="O24" i="31"/>
  <c r="P24" i="31"/>
  <c r="Q24" i="31"/>
  <c r="R24" i="31"/>
  <c r="S24" i="31"/>
  <c r="T24" i="31"/>
  <c r="U24" i="31"/>
  <c r="O25" i="31"/>
  <c r="P25" i="31"/>
  <c r="Q25" i="31"/>
  <c r="R25" i="31"/>
  <c r="S25" i="31"/>
  <c r="T25" i="31"/>
  <c r="U25" i="31"/>
  <c r="O26" i="31"/>
  <c r="P26" i="31"/>
  <c r="Q26" i="31"/>
  <c r="R26" i="31"/>
  <c r="S26" i="31"/>
  <c r="T26" i="31"/>
  <c r="U26" i="31"/>
  <c r="O27" i="31"/>
  <c r="P27" i="31"/>
  <c r="Q27" i="31"/>
  <c r="R27" i="31"/>
  <c r="S27" i="31"/>
  <c r="T27" i="31"/>
  <c r="U27" i="31"/>
  <c r="O28" i="31"/>
  <c r="P28" i="31"/>
  <c r="Q28" i="31"/>
  <c r="R28" i="31"/>
  <c r="S28" i="31"/>
  <c r="T28" i="31"/>
  <c r="U28" i="31"/>
  <c r="O29" i="31"/>
  <c r="P29" i="31"/>
  <c r="Q29" i="31"/>
  <c r="R29" i="31"/>
  <c r="S29" i="31"/>
  <c r="T29" i="31"/>
  <c r="U29" i="31"/>
  <c r="O30" i="31"/>
  <c r="P30" i="31"/>
  <c r="Q30" i="31"/>
  <c r="R30" i="31"/>
  <c r="S30" i="31"/>
  <c r="T30" i="31"/>
  <c r="U30" i="31"/>
  <c r="O31" i="31"/>
  <c r="P31" i="31"/>
  <c r="Q31" i="31"/>
  <c r="R31" i="31"/>
  <c r="S31" i="31"/>
  <c r="T31" i="31"/>
  <c r="U31" i="31"/>
  <c r="O34" i="31"/>
  <c r="P34" i="31"/>
  <c r="Q34" i="31"/>
  <c r="R34" i="31"/>
  <c r="S34" i="31"/>
  <c r="T34" i="31"/>
  <c r="U34" i="31"/>
  <c r="O35" i="31"/>
  <c r="P35" i="31"/>
  <c r="Q35" i="31"/>
  <c r="R35" i="31"/>
  <c r="S35" i="31"/>
  <c r="T35" i="31"/>
  <c r="U35" i="31"/>
  <c r="O36" i="31"/>
  <c r="P36" i="31"/>
  <c r="Q36" i="31"/>
  <c r="R36" i="31"/>
  <c r="S36" i="31"/>
  <c r="T36" i="31"/>
  <c r="U36" i="31"/>
  <c r="O37" i="31"/>
  <c r="P37" i="31"/>
  <c r="Q37" i="31"/>
  <c r="R37" i="31"/>
  <c r="S37" i="31"/>
  <c r="T37" i="31"/>
  <c r="U37" i="31"/>
  <c r="O38" i="31"/>
  <c r="P38" i="31"/>
  <c r="Q38" i="31"/>
  <c r="R38" i="31"/>
  <c r="S38" i="31"/>
  <c r="T38" i="31"/>
  <c r="U38" i="31"/>
  <c r="O39" i="31"/>
  <c r="P39" i="31"/>
  <c r="Q39" i="31"/>
  <c r="R39" i="31"/>
  <c r="S39" i="31"/>
  <c r="T39" i="31"/>
  <c r="U39" i="31"/>
  <c r="O40" i="31"/>
  <c r="P40" i="31"/>
  <c r="Q40" i="31"/>
  <c r="R40" i="31"/>
  <c r="S40" i="31"/>
  <c r="T40" i="31"/>
  <c r="U40" i="31"/>
  <c r="O41" i="31"/>
  <c r="P41" i="31"/>
  <c r="Q41" i="31"/>
  <c r="R41" i="31"/>
  <c r="S41" i="31"/>
  <c r="T41" i="31"/>
  <c r="U41" i="31"/>
  <c r="O42" i="31"/>
  <c r="P42" i="31"/>
  <c r="Q42" i="31"/>
  <c r="R42" i="31"/>
  <c r="S42" i="31"/>
  <c r="T42" i="31"/>
  <c r="U42" i="31"/>
  <c r="O43" i="31"/>
  <c r="P43" i="31"/>
  <c r="Q43" i="31"/>
  <c r="R43" i="31"/>
  <c r="S43" i="31"/>
  <c r="T43" i="31"/>
  <c r="U43" i="31"/>
  <c r="O44" i="31"/>
  <c r="P44" i="31"/>
  <c r="Q44" i="31"/>
  <c r="R44" i="31"/>
  <c r="S44" i="31"/>
  <c r="T44" i="31"/>
  <c r="U44" i="31"/>
  <c r="O45" i="31"/>
  <c r="P45" i="31"/>
  <c r="Q45" i="31"/>
  <c r="R45" i="31"/>
  <c r="S45" i="31"/>
  <c r="T45" i="31"/>
  <c r="U45" i="31"/>
  <c r="O46" i="31"/>
  <c r="P46" i="31"/>
  <c r="Q46" i="31"/>
  <c r="R46" i="31"/>
  <c r="S46" i="31"/>
  <c r="T46" i="31"/>
  <c r="U46" i="31"/>
  <c r="O47" i="31"/>
  <c r="P47" i="31"/>
  <c r="Q47" i="31"/>
  <c r="R47" i="31"/>
  <c r="S47" i="31"/>
  <c r="T47" i="31"/>
  <c r="U47" i="31"/>
  <c r="O48" i="31"/>
  <c r="P48" i="31"/>
  <c r="Q48" i="31"/>
  <c r="R48" i="31"/>
  <c r="S48" i="31"/>
  <c r="T48" i="31"/>
  <c r="U48" i="31"/>
  <c r="O49" i="31"/>
  <c r="P49" i="31"/>
  <c r="Q49" i="31"/>
  <c r="R49" i="31"/>
  <c r="S49" i="31"/>
  <c r="T49" i="31"/>
  <c r="U49" i="31"/>
  <c r="O50" i="31"/>
  <c r="P50" i="31"/>
  <c r="Q50" i="31"/>
  <c r="R50" i="31"/>
  <c r="S50" i="31"/>
  <c r="T50" i="31"/>
  <c r="U50" i="31"/>
  <c r="O51" i="31"/>
  <c r="P51" i="31"/>
  <c r="Q51" i="31"/>
  <c r="R51" i="31"/>
  <c r="S51" i="31"/>
  <c r="T51" i="31"/>
  <c r="U51" i="31"/>
  <c r="O52" i="31"/>
  <c r="P52" i="31"/>
  <c r="Q52" i="31"/>
  <c r="R52" i="31"/>
  <c r="S52" i="31"/>
  <c r="T52" i="31"/>
  <c r="U52" i="31"/>
  <c r="O53" i="31"/>
  <c r="P53" i="31"/>
  <c r="Q53" i="31"/>
  <c r="R53" i="31"/>
  <c r="S53" i="31"/>
  <c r="T53" i="31"/>
  <c r="U53" i="31"/>
  <c r="O54" i="31"/>
  <c r="P54" i="31"/>
  <c r="Q54" i="31"/>
  <c r="R54" i="31"/>
  <c r="S54" i="31"/>
  <c r="T54" i="31"/>
  <c r="U54" i="31"/>
  <c r="O55" i="31"/>
  <c r="P55" i="31"/>
  <c r="Q55" i="31"/>
  <c r="R55" i="31"/>
  <c r="S55" i="31"/>
  <c r="U55" i="31"/>
  <c r="O56" i="31"/>
  <c r="P56" i="31"/>
  <c r="Q56" i="31"/>
  <c r="R56" i="31"/>
  <c r="S56" i="31"/>
  <c r="T56" i="31"/>
  <c r="U56" i="31"/>
  <c r="O57" i="31"/>
  <c r="P57" i="31"/>
  <c r="Q57" i="31"/>
  <c r="R57" i="31"/>
  <c r="S57" i="31"/>
  <c r="T57" i="31"/>
  <c r="U57" i="31"/>
  <c r="O58" i="31"/>
  <c r="P58" i="31"/>
  <c r="Q58" i="31"/>
  <c r="R58" i="31"/>
  <c r="S58" i="31"/>
  <c r="T58" i="31"/>
  <c r="U58" i="31"/>
  <c r="O59" i="31"/>
  <c r="P59" i="31"/>
  <c r="Q59" i="31"/>
  <c r="R59" i="31"/>
  <c r="S59" i="31"/>
  <c r="T59" i="31"/>
  <c r="U59" i="31"/>
  <c r="F2" i="31"/>
  <c r="G2" i="31"/>
  <c r="H2" i="31"/>
  <c r="I2" i="31"/>
  <c r="J2" i="31"/>
  <c r="K2" i="31"/>
  <c r="L2" i="31"/>
  <c r="M2" i="31"/>
  <c r="N2" i="31"/>
  <c r="F3" i="31"/>
  <c r="G3" i="31"/>
  <c r="H3" i="31"/>
  <c r="I3" i="31"/>
  <c r="J3" i="31"/>
  <c r="K3" i="31"/>
  <c r="L3" i="31"/>
  <c r="M3" i="31"/>
  <c r="N3" i="31"/>
  <c r="F4" i="31"/>
  <c r="G4" i="31"/>
  <c r="H4" i="31"/>
  <c r="I4" i="31"/>
  <c r="J4" i="31"/>
  <c r="K4" i="31"/>
  <c r="L4" i="31"/>
  <c r="M4" i="31"/>
  <c r="N4" i="31"/>
  <c r="F5" i="31"/>
  <c r="G5" i="31"/>
  <c r="H5" i="31"/>
  <c r="I5" i="31"/>
  <c r="J5" i="31"/>
  <c r="K5" i="31"/>
  <c r="L5" i="31"/>
  <c r="M5" i="31"/>
  <c r="N5" i="31"/>
  <c r="F6" i="31"/>
  <c r="G6" i="31"/>
  <c r="H6" i="31"/>
  <c r="I6" i="31"/>
  <c r="J6" i="31"/>
  <c r="K6" i="31"/>
  <c r="L6" i="31"/>
  <c r="M6" i="31"/>
  <c r="N6" i="31"/>
  <c r="F7" i="31"/>
  <c r="G7" i="31"/>
  <c r="H7" i="31"/>
  <c r="I7" i="31"/>
  <c r="J7" i="31"/>
  <c r="K7" i="31"/>
  <c r="L7" i="31"/>
  <c r="M7" i="31"/>
  <c r="N7" i="31"/>
  <c r="F8" i="31"/>
  <c r="G8" i="31"/>
  <c r="H8" i="31"/>
  <c r="I8" i="31"/>
  <c r="J8" i="31"/>
  <c r="K8" i="31"/>
  <c r="L8" i="31"/>
  <c r="M8" i="31"/>
  <c r="N8" i="31"/>
  <c r="F9" i="31"/>
  <c r="G9" i="31"/>
  <c r="H9" i="31"/>
  <c r="I9" i="31"/>
  <c r="J9" i="31"/>
  <c r="K9" i="31"/>
  <c r="L9" i="31"/>
  <c r="M9" i="31"/>
  <c r="N9" i="31"/>
  <c r="F10" i="31"/>
  <c r="G10" i="31"/>
  <c r="H10" i="31"/>
  <c r="I10" i="31"/>
  <c r="J10" i="31"/>
  <c r="K10" i="31"/>
  <c r="L10" i="31"/>
  <c r="M10" i="31"/>
  <c r="N10" i="31"/>
  <c r="F11" i="31"/>
  <c r="G11" i="31"/>
  <c r="H11" i="31"/>
  <c r="I11" i="31"/>
  <c r="J11" i="31"/>
  <c r="K11" i="31"/>
  <c r="L11" i="31"/>
  <c r="M11" i="31"/>
  <c r="N11" i="31"/>
  <c r="F12" i="31"/>
  <c r="G12" i="31"/>
  <c r="H12" i="31"/>
  <c r="I12" i="31"/>
  <c r="J12" i="31"/>
  <c r="K12" i="31"/>
  <c r="L12" i="31"/>
  <c r="M12" i="31"/>
  <c r="N12" i="31"/>
  <c r="F13" i="31"/>
  <c r="G13" i="31"/>
  <c r="H13" i="31"/>
  <c r="I13" i="31"/>
  <c r="J13" i="31"/>
  <c r="K13" i="31"/>
  <c r="L13" i="31"/>
  <c r="M13" i="31"/>
  <c r="N13" i="31"/>
  <c r="F14" i="31"/>
  <c r="G14" i="31"/>
  <c r="H14" i="31"/>
  <c r="I14" i="31"/>
  <c r="J14" i="31"/>
  <c r="K14" i="31"/>
  <c r="L14" i="31"/>
  <c r="M14" i="31"/>
  <c r="N14" i="31"/>
  <c r="F15" i="31"/>
  <c r="G15" i="31"/>
  <c r="H15" i="31"/>
  <c r="I15" i="31"/>
  <c r="J15" i="31"/>
  <c r="K15" i="31"/>
  <c r="L15" i="31"/>
  <c r="M15" i="31"/>
  <c r="N15" i="31"/>
  <c r="F16" i="31"/>
  <c r="G16" i="31"/>
  <c r="H16" i="31"/>
  <c r="I16" i="31"/>
  <c r="J16" i="31"/>
  <c r="K16" i="31"/>
  <c r="L16" i="31"/>
  <c r="M16" i="31"/>
  <c r="N16" i="31"/>
  <c r="F17" i="31"/>
  <c r="G17" i="31"/>
  <c r="H17" i="31"/>
  <c r="I17" i="31"/>
  <c r="J17" i="31"/>
  <c r="K17" i="31"/>
  <c r="L17" i="31"/>
  <c r="M17" i="31"/>
  <c r="N17" i="31"/>
  <c r="F18" i="31"/>
  <c r="G18" i="31"/>
  <c r="H18" i="31"/>
  <c r="I18" i="31"/>
  <c r="J18" i="31"/>
  <c r="K18" i="31"/>
  <c r="L18" i="31"/>
  <c r="M18" i="31"/>
  <c r="N18" i="31"/>
  <c r="F19" i="31"/>
  <c r="G19" i="31"/>
  <c r="H19" i="31"/>
  <c r="I19" i="31"/>
  <c r="J19" i="31"/>
  <c r="K19" i="31"/>
  <c r="L19" i="31"/>
  <c r="M19" i="31"/>
  <c r="N19" i="31"/>
  <c r="F20" i="31"/>
  <c r="G20" i="31"/>
  <c r="H20" i="31"/>
  <c r="I20" i="31"/>
  <c r="J20" i="31"/>
  <c r="K20" i="31"/>
  <c r="L20" i="31"/>
  <c r="M20" i="31"/>
  <c r="N20" i="31"/>
  <c r="F21" i="31"/>
  <c r="G21" i="31"/>
  <c r="H21" i="31"/>
  <c r="I21" i="31"/>
  <c r="J21" i="31"/>
  <c r="K21" i="31"/>
  <c r="L21" i="31"/>
  <c r="M21" i="31"/>
  <c r="N21" i="31"/>
  <c r="F22" i="31"/>
  <c r="G22" i="31"/>
  <c r="H22" i="31"/>
  <c r="I22" i="31"/>
  <c r="J22" i="31"/>
  <c r="K22" i="31"/>
  <c r="L22" i="31"/>
  <c r="M22" i="31"/>
  <c r="N22" i="31"/>
  <c r="F23" i="31"/>
  <c r="G23" i="31"/>
  <c r="H23" i="31"/>
  <c r="I23" i="31"/>
  <c r="J23" i="31"/>
  <c r="K23" i="31"/>
  <c r="L23" i="31"/>
  <c r="M23" i="31"/>
  <c r="N23" i="31"/>
  <c r="F24" i="31"/>
  <c r="G24" i="31"/>
  <c r="H24" i="31"/>
  <c r="I24" i="31"/>
  <c r="J24" i="31"/>
  <c r="K24" i="31"/>
  <c r="L24" i="31"/>
  <c r="M24" i="31"/>
  <c r="N24" i="31"/>
  <c r="F25" i="31"/>
  <c r="G25" i="31"/>
  <c r="H25" i="31"/>
  <c r="I25" i="31"/>
  <c r="J25" i="31"/>
  <c r="K25" i="31"/>
  <c r="L25" i="31"/>
  <c r="M25" i="31"/>
  <c r="N25" i="31"/>
  <c r="F26" i="31"/>
  <c r="G26" i="31"/>
  <c r="H26" i="31"/>
  <c r="I26" i="31"/>
  <c r="J26" i="31"/>
  <c r="K26" i="31"/>
  <c r="L26" i="31"/>
  <c r="M26" i="31"/>
  <c r="N26" i="31"/>
  <c r="F27" i="31"/>
  <c r="G27" i="31"/>
  <c r="H27" i="31"/>
  <c r="I27" i="31"/>
  <c r="J27" i="31"/>
  <c r="K27" i="31"/>
  <c r="L27" i="31"/>
  <c r="M27" i="31"/>
  <c r="N27" i="31"/>
  <c r="F28" i="31"/>
  <c r="G28" i="31"/>
  <c r="H28" i="31"/>
  <c r="I28" i="31"/>
  <c r="J28" i="31"/>
  <c r="K28" i="31"/>
  <c r="L28" i="31"/>
  <c r="M28" i="31"/>
  <c r="N28" i="31"/>
  <c r="F29" i="31"/>
  <c r="G29" i="31"/>
  <c r="H29" i="31"/>
  <c r="I29" i="31"/>
  <c r="J29" i="31"/>
  <c r="K29" i="31"/>
  <c r="L29" i="31"/>
  <c r="M29" i="31"/>
  <c r="N29" i="31"/>
  <c r="F30" i="31"/>
  <c r="G30" i="31"/>
  <c r="H30" i="31"/>
  <c r="I30" i="31"/>
  <c r="J30" i="31"/>
  <c r="K30" i="31"/>
  <c r="L30" i="31"/>
  <c r="M30" i="31"/>
  <c r="N30" i="31"/>
  <c r="F31" i="31"/>
  <c r="G31" i="31"/>
  <c r="H31" i="31"/>
  <c r="I31" i="31"/>
  <c r="J31" i="31"/>
  <c r="K31" i="31"/>
  <c r="L31" i="31"/>
  <c r="M31" i="31"/>
  <c r="N31" i="31"/>
  <c r="F34" i="31"/>
  <c r="G34" i="31"/>
  <c r="H34" i="31"/>
  <c r="I34" i="31"/>
  <c r="J34" i="31"/>
  <c r="K34" i="31"/>
  <c r="L34" i="31"/>
  <c r="M34" i="31"/>
  <c r="N34" i="31"/>
  <c r="F35" i="31"/>
  <c r="G35" i="31"/>
  <c r="H35" i="31"/>
  <c r="I35" i="31"/>
  <c r="J35" i="31"/>
  <c r="K35" i="31"/>
  <c r="L35" i="31"/>
  <c r="M35" i="31"/>
  <c r="N35" i="31"/>
  <c r="F36" i="31"/>
  <c r="G36" i="31"/>
  <c r="H36" i="31"/>
  <c r="I36" i="31"/>
  <c r="J36" i="31"/>
  <c r="K36" i="31"/>
  <c r="L36" i="31"/>
  <c r="M36" i="31"/>
  <c r="N36" i="31"/>
  <c r="F37" i="31"/>
  <c r="G37" i="31"/>
  <c r="H37" i="31"/>
  <c r="I37" i="31"/>
  <c r="J37" i="31"/>
  <c r="K37" i="31"/>
  <c r="L37" i="31"/>
  <c r="M37" i="31"/>
  <c r="N37" i="31"/>
  <c r="F38" i="31"/>
  <c r="G38" i="31"/>
  <c r="H38" i="31"/>
  <c r="I38" i="31"/>
  <c r="J38" i="31"/>
  <c r="K38" i="31"/>
  <c r="L38" i="31"/>
  <c r="M38" i="31"/>
  <c r="N38" i="31"/>
  <c r="F39" i="31"/>
  <c r="G39" i="31"/>
  <c r="H39" i="31"/>
  <c r="I39" i="31"/>
  <c r="J39" i="31"/>
  <c r="K39" i="31"/>
  <c r="L39" i="31"/>
  <c r="M39" i="31"/>
  <c r="N39" i="31"/>
  <c r="F40" i="31"/>
  <c r="G40" i="31"/>
  <c r="H40" i="31"/>
  <c r="I40" i="31"/>
  <c r="J40" i="31"/>
  <c r="K40" i="31"/>
  <c r="L40" i="31"/>
  <c r="M40" i="31"/>
  <c r="N40" i="31"/>
  <c r="F41" i="31"/>
  <c r="G41" i="31"/>
  <c r="H41" i="31"/>
  <c r="I41" i="31"/>
  <c r="J41" i="31"/>
  <c r="K41" i="31"/>
  <c r="L41" i="31"/>
  <c r="M41" i="31"/>
  <c r="N41" i="31"/>
  <c r="F42" i="31"/>
  <c r="G42" i="31"/>
  <c r="H42" i="31"/>
  <c r="I42" i="31"/>
  <c r="J42" i="31"/>
  <c r="K42" i="31"/>
  <c r="L42" i="31"/>
  <c r="M42" i="31"/>
  <c r="N42" i="31"/>
  <c r="F43" i="31"/>
  <c r="G43" i="31"/>
  <c r="H43" i="31"/>
  <c r="I43" i="31"/>
  <c r="J43" i="31"/>
  <c r="K43" i="31"/>
  <c r="L43" i="31"/>
  <c r="M43" i="31"/>
  <c r="N43" i="31"/>
  <c r="F44" i="31"/>
  <c r="G44" i="31"/>
  <c r="H44" i="31"/>
  <c r="I44" i="31"/>
  <c r="J44" i="31"/>
  <c r="K44" i="31"/>
  <c r="L44" i="31"/>
  <c r="M44" i="31"/>
  <c r="N44" i="31"/>
  <c r="F45" i="31"/>
  <c r="G45" i="31"/>
  <c r="H45" i="31"/>
  <c r="I45" i="31"/>
  <c r="J45" i="31"/>
  <c r="K45" i="31"/>
  <c r="L45" i="31"/>
  <c r="M45" i="31"/>
  <c r="N45" i="31"/>
  <c r="F46" i="31"/>
  <c r="G46" i="31"/>
  <c r="H46" i="31"/>
  <c r="I46" i="31"/>
  <c r="J46" i="31"/>
  <c r="K46" i="31"/>
  <c r="L46" i="31"/>
  <c r="M46" i="31"/>
  <c r="N46" i="31"/>
  <c r="F47" i="31"/>
  <c r="G47" i="31"/>
  <c r="H47" i="31"/>
  <c r="I47" i="31"/>
  <c r="J47" i="31"/>
  <c r="K47" i="31"/>
  <c r="L47" i="31"/>
  <c r="M47" i="31"/>
  <c r="N47" i="31"/>
  <c r="F48" i="31"/>
  <c r="G48" i="31"/>
  <c r="H48" i="31"/>
  <c r="I48" i="31"/>
  <c r="J48" i="31"/>
  <c r="K48" i="31"/>
  <c r="L48" i="31"/>
  <c r="M48" i="31"/>
  <c r="N48" i="31"/>
  <c r="F49" i="31"/>
  <c r="G49" i="31"/>
  <c r="H49" i="31"/>
  <c r="I49" i="31"/>
  <c r="J49" i="31"/>
  <c r="K49" i="31"/>
  <c r="L49" i="31"/>
  <c r="M49" i="31"/>
  <c r="N49" i="31"/>
  <c r="F50" i="31"/>
  <c r="G50" i="31"/>
  <c r="H50" i="31"/>
  <c r="I50" i="31"/>
  <c r="J50" i="31"/>
  <c r="K50" i="31"/>
  <c r="L50" i="31"/>
  <c r="M50" i="31"/>
  <c r="N50" i="31"/>
  <c r="F51" i="31"/>
  <c r="G51" i="31"/>
  <c r="H51" i="31"/>
  <c r="I51" i="31"/>
  <c r="J51" i="31"/>
  <c r="K51" i="31"/>
  <c r="L51" i="31"/>
  <c r="M51" i="31"/>
  <c r="N51" i="31"/>
  <c r="F52" i="31"/>
  <c r="G52" i="31"/>
  <c r="H52" i="31"/>
  <c r="I52" i="31"/>
  <c r="J52" i="31"/>
  <c r="K52" i="31"/>
  <c r="L52" i="31"/>
  <c r="M52" i="31"/>
  <c r="N52" i="31"/>
  <c r="F53" i="31"/>
  <c r="G53" i="31"/>
  <c r="H53" i="31"/>
  <c r="I53" i="31"/>
  <c r="J53" i="31"/>
  <c r="K53" i="31"/>
  <c r="L53" i="31"/>
  <c r="M53" i="31"/>
  <c r="N53" i="31"/>
  <c r="F54" i="31"/>
  <c r="G54" i="31"/>
  <c r="H54" i="31"/>
  <c r="I54" i="31"/>
  <c r="J54" i="31"/>
  <c r="K54" i="31"/>
  <c r="L54" i="31"/>
  <c r="M54" i="31"/>
  <c r="N54" i="31"/>
  <c r="F55" i="31"/>
  <c r="G55" i="31"/>
  <c r="H55" i="31"/>
  <c r="I55" i="31"/>
  <c r="J55" i="31"/>
  <c r="K55" i="31"/>
  <c r="L55" i="31"/>
  <c r="M55" i="31"/>
  <c r="N55" i="31"/>
  <c r="F56" i="31"/>
  <c r="G56" i="31"/>
  <c r="H56" i="31"/>
  <c r="I56" i="31"/>
  <c r="J56" i="31"/>
  <c r="K56" i="31"/>
  <c r="L56" i="31"/>
  <c r="M56" i="31"/>
  <c r="N56" i="31"/>
  <c r="F57" i="31"/>
  <c r="G57" i="31"/>
  <c r="H57" i="31"/>
  <c r="I57" i="31"/>
  <c r="J57" i="31"/>
  <c r="K57" i="31"/>
  <c r="L57" i="31"/>
  <c r="M57" i="31"/>
  <c r="N57" i="31"/>
  <c r="F58" i="31"/>
  <c r="G58" i="31"/>
  <c r="H58" i="31"/>
  <c r="I58" i="31"/>
  <c r="J58" i="31"/>
  <c r="K58" i="31"/>
  <c r="L58" i="31"/>
  <c r="M58" i="31"/>
  <c r="N58" i="31"/>
  <c r="F59" i="31"/>
  <c r="G59" i="31"/>
  <c r="H59" i="31"/>
  <c r="I59" i="31"/>
  <c r="J59" i="31"/>
  <c r="K59" i="31"/>
  <c r="L59" i="31"/>
  <c r="M59" i="31"/>
  <c r="N5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D4" i="31"/>
  <c r="D6" i="31"/>
  <c r="D8" i="31"/>
  <c r="D10" i="31"/>
  <c r="D12" i="31"/>
  <c r="D14" i="31"/>
  <c r="D16" i="31"/>
  <c r="D18" i="31"/>
  <c r="D20" i="31"/>
  <c r="D22" i="31"/>
  <c r="D24" i="31"/>
  <c r="D26" i="31"/>
  <c r="D28" i="31"/>
  <c r="D30" i="31"/>
  <c r="D34" i="31"/>
  <c r="D36" i="31"/>
  <c r="D38" i="31"/>
  <c r="D40" i="31"/>
  <c r="D42" i="31"/>
  <c r="D44" i="31"/>
  <c r="D46" i="31"/>
  <c r="D48" i="31"/>
  <c r="D50" i="31"/>
  <c r="D52" i="31"/>
  <c r="D54" i="31"/>
  <c r="D56" i="31"/>
  <c r="D58" i="31"/>
  <c r="D2" i="31"/>
  <c r="AH46" i="18"/>
  <c r="AH45" i="18"/>
  <c r="AA45" i="18"/>
  <c r="AB45" i="18"/>
  <c r="AC45" i="18"/>
  <c r="AD45" i="18"/>
  <c r="AE45" i="18"/>
  <c r="AF45" i="18"/>
  <c r="AG45" i="18"/>
  <c r="AA46" i="18"/>
  <c r="AB46" i="18"/>
  <c r="AC46" i="18"/>
  <c r="AD46" i="18"/>
  <c r="AE46" i="18"/>
  <c r="AF46" i="18"/>
  <c r="AG46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C46" i="18"/>
  <c r="C45" i="18"/>
  <c r="B46" i="18"/>
  <c r="B45" i="18"/>
  <c r="AH40" i="18"/>
  <c r="AH39" i="18"/>
  <c r="AA39" i="18"/>
  <c r="AB39" i="18"/>
  <c r="AC39" i="18"/>
  <c r="AD39" i="18"/>
  <c r="AE39" i="18"/>
  <c r="AF39" i="18"/>
  <c r="AG39" i="18"/>
  <c r="AA40" i="18"/>
  <c r="AB40" i="18"/>
  <c r="AC40" i="18"/>
  <c r="AD40" i="18"/>
  <c r="AE40" i="18"/>
  <c r="AF40" i="18"/>
  <c r="AG40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C40" i="18"/>
  <c r="C39" i="18"/>
  <c r="B40" i="18"/>
  <c r="B39" i="18"/>
  <c r="AH32" i="18"/>
  <c r="AH31" i="18"/>
  <c r="AA31" i="18"/>
  <c r="AB31" i="18"/>
  <c r="AC31" i="18"/>
  <c r="AD31" i="18"/>
  <c r="AE31" i="18"/>
  <c r="AF31" i="18"/>
  <c r="AG31" i="18"/>
  <c r="AA32" i="18"/>
  <c r="AB32" i="18"/>
  <c r="AC32" i="18"/>
  <c r="AD32" i="18"/>
  <c r="AE32" i="18"/>
  <c r="AF32" i="18"/>
  <c r="AG32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C32" i="18"/>
  <c r="C31" i="18"/>
  <c r="B32" i="18"/>
  <c r="B31" i="18"/>
  <c r="AH18" i="5"/>
  <c r="AH17" i="5"/>
  <c r="AB17" i="5"/>
  <c r="AC17" i="5"/>
  <c r="AD17" i="5"/>
  <c r="AE17" i="5"/>
  <c r="AF17" i="5"/>
  <c r="AG17" i="5"/>
  <c r="AB18" i="5"/>
  <c r="AC18" i="5"/>
  <c r="AD18" i="5"/>
  <c r="AE18" i="5"/>
  <c r="AF18" i="5"/>
  <c r="AG18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C18" i="5"/>
  <c r="C17" i="5"/>
  <c r="B18" i="5"/>
  <c r="B17" i="5"/>
  <c r="AH40" i="4"/>
  <c r="AH39" i="4"/>
  <c r="Z39" i="4"/>
  <c r="AA39" i="4"/>
  <c r="AB39" i="4"/>
  <c r="AC39" i="4"/>
  <c r="AD39" i="4"/>
  <c r="AE39" i="4"/>
  <c r="AF39" i="4"/>
  <c r="AG39" i="4"/>
  <c r="Z40" i="4"/>
  <c r="AA40" i="4"/>
  <c r="AB40" i="4"/>
  <c r="AC40" i="4"/>
  <c r="AD40" i="4"/>
  <c r="AE40" i="4"/>
  <c r="AF40" i="4"/>
  <c r="AG40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C40" i="4"/>
  <c r="C39" i="4"/>
  <c r="B40" i="4"/>
  <c r="B39" i="4"/>
  <c r="AH36" i="4"/>
  <c r="AH35" i="4"/>
  <c r="AA35" i="4"/>
  <c r="AB35" i="4"/>
  <c r="AC35" i="4"/>
  <c r="AD35" i="4"/>
  <c r="AE35" i="4"/>
  <c r="AF35" i="4"/>
  <c r="AG35" i="4"/>
  <c r="AA36" i="4"/>
  <c r="AB36" i="4"/>
  <c r="AC36" i="4"/>
  <c r="AD36" i="4"/>
  <c r="AE36" i="4"/>
  <c r="AF36" i="4"/>
  <c r="AG36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C36" i="4"/>
  <c r="C35" i="4"/>
  <c r="B36" i="4"/>
  <c r="B35" i="4"/>
  <c r="AH36" i="6"/>
  <c r="AH35" i="6"/>
  <c r="AB35" i="6"/>
  <c r="AC35" i="6"/>
  <c r="AD35" i="6"/>
  <c r="AE35" i="6"/>
  <c r="AF35" i="6"/>
  <c r="AG35" i="6"/>
  <c r="AB36" i="6"/>
  <c r="AC36" i="6"/>
  <c r="AD36" i="6"/>
  <c r="AE36" i="6"/>
  <c r="AF36" i="6"/>
  <c r="AG36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C36" i="6"/>
  <c r="C35" i="6"/>
  <c r="B36" i="6"/>
  <c r="B35" i="6"/>
  <c r="AH48" i="17"/>
  <c r="AH47" i="17"/>
  <c r="AB47" i="17"/>
  <c r="AC47" i="17"/>
  <c r="AD47" i="17"/>
  <c r="AE47" i="17"/>
  <c r="AF47" i="17"/>
  <c r="AG47" i="17"/>
  <c r="AB48" i="17"/>
  <c r="AC48" i="17"/>
  <c r="AD48" i="17"/>
  <c r="AE48" i="17"/>
  <c r="AF48" i="17"/>
  <c r="AG48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C48" i="17"/>
  <c r="C47" i="17"/>
  <c r="B48" i="17"/>
  <c r="B47" i="17"/>
  <c r="AG40" i="17"/>
  <c r="AH40" i="17"/>
  <c r="AH39" i="17"/>
  <c r="AB39" i="17"/>
  <c r="AC39" i="17"/>
  <c r="AD39" i="17"/>
  <c r="AE39" i="17"/>
  <c r="AF39" i="17"/>
  <c r="AG39" i="17"/>
  <c r="AB40" i="17"/>
  <c r="AC40" i="17"/>
  <c r="AD40" i="17"/>
  <c r="AE40" i="17"/>
  <c r="AF40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U39" i="17"/>
  <c r="V39" i="17"/>
  <c r="W39" i="17"/>
  <c r="X39" i="17"/>
  <c r="Y39" i="17"/>
  <c r="Z39" i="17"/>
  <c r="AA39" i="17"/>
  <c r="D40" i="17"/>
  <c r="E40" i="17"/>
  <c r="F40" i="17"/>
  <c r="G40" i="17"/>
  <c r="H40" i="17"/>
  <c r="I40" i="17"/>
  <c r="J40" i="17"/>
  <c r="K40" i="17"/>
  <c r="L40" i="17"/>
  <c r="M40" i="17"/>
  <c r="N40" i="17"/>
  <c r="P40" i="17"/>
  <c r="Q40" i="17"/>
  <c r="S40" i="17"/>
  <c r="T40" i="17"/>
  <c r="U40" i="17"/>
  <c r="V40" i="17"/>
  <c r="W40" i="17"/>
  <c r="X40" i="17"/>
  <c r="Y40" i="17"/>
  <c r="Z40" i="17"/>
  <c r="AA40" i="17"/>
  <c r="C40" i="17"/>
  <c r="C39" i="17"/>
  <c r="B40" i="17"/>
  <c r="B39" i="17"/>
  <c r="A90" i="3"/>
  <c r="A89" i="3"/>
  <c r="A88" i="3"/>
  <c r="A87" i="3"/>
  <c r="A82" i="3"/>
  <c r="A81" i="3"/>
  <c r="A52" i="3"/>
  <c r="A51" i="3"/>
  <c r="A46" i="3"/>
  <c r="A45" i="3"/>
  <c r="L10" i="25"/>
  <c r="E3" i="31"/>
  <c r="E2" i="31"/>
  <c r="AN31" i="18" l="1"/>
  <c r="AN45" i="18"/>
  <c r="AN39" i="18"/>
  <c r="AJ45" i="18"/>
  <c r="AJ31" i="18"/>
  <c r="AJ39" i="18"/>
  <c r="AP39" i="18"/>
  <c r="AP45" i="18"/>
  <c r="AP31" i="18"/>
  <c r="A29" i="17"/>
  <c r="A30" i="17"/>
  <c r="A40" i="17"/>
  <c r="A40" i="4"/>
  <c r="A39" i="4"/>
  <c r="A39" i="17"/>
  <c r="AM75" i="18"/>
  <c r="AL75" i="18"/>
  <c r="AI60" i="18"/>
  <c r="AI62" i="18"/>
  <c r="AI46" i="18"/>
  <c r="AI58" i="18"/>
  <c r="AI44" i="18"/>
  <c r="AI56" i="18"/>
  <c r="AI32" i="18"/>
  <c r="AI40" i="18"/>
  <c r="AI38" i="18"/>
  <c r="AI36" i="18"/>
  <c r="AI26" i="18"/>
  <c r="AI30" i="18"/>
  <c r="AI28" i="18"/>
  <c r="AI42" i="18"/>
  <c r="AI70" i="18"/>
  <c r="AI24" i="18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B38" i="6"/>
  <c r="B37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AA39" i="6"/>
  <c r="AB39" i="6"/>
  <c r="AC39" i="6"/>
  <c r="AD39" i="6"/>
  <c r="AE39" i="6"/>
  <c r="AF39" i="6"/>
  <c r="AG39" i="6"/>
  <c r="AH39" i="6"/>
  <c r="C40" i="6"/>
  <c r="D40" i="6"/>
  <c r="E40" i="6"/>
  <c r="F40" i="6"/>
  <c r="G40" i="6"/>
  <c r="H40" i="6"/>
  <c r="I40" i="6"/>
  <c r="J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B40" i="6"/>
  <c r="B39" i="6"/>
  <c r="B27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B16" i="5"/>
  <c r="B15" i="5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B66" i="18"/>
  <c r="B65" i="18"/>
  <c r="A65" i="18" l="1"/>
  <c r="A66" i="18"/>
  <c r="AL65" i="18"/>
  <c r="AN65" i="18"/>
  <c r="AO65" i="18"/>
  <c r="AP65" i="18"/>
  <c r="AM65" i="18"/>
  <c r="AK65" i="18"/>
  <c r="AL66" i="18"/>
  <c r="AK66" i="18"/>
  <c r="AN66" i="18"/>
  <c r="AO66" i="18"/>
  <c r="AM66" i="18"/>
  <c r="AP66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B60" i="18"/>
  <c r="B59" i="18"/>
  <c r="B44" i="18"/>
  <c r="B43" i="18"/>
  <c r="B38" i="18"/>
  <c r="B37" i="18"/>
  <c r="B36" i="18"/>
  <c r="B35" i="18"/>
  <c r="B29" i="18"/>
  <c r="B30" i="18"/>
  <c r="B28" i="18"/>
  <c r="B27" i="18"/>
  <c r="B42" i="18"/>
  <c r="B41" i="18"/>
  <c r="B70" i="18"/>
  <c r="B69" i="18"/>
  <c r="B24" i="18"/>
  <c r="B23" i="18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B42" i="6"/>
  <c r="B41" i="6"/>
  <c r="B34" i="6"/>
  <c r="B33" i="6"/>
  <c r="B32" i="6"/>
  <c r="B31" i="6"/>
  <c r="B30" i="6"/>
  <c r="B29" i="6"/>
  <c r="B28" i="6"/>
  <c r="B27" i="6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B40" i="7"/>
  <c r="B39" i="7"/>
  <c r="B38" i="7"/>
  <c r="B37" i="7"/>
  <c r="B34" i="7"/>
  <c r="B33" i="7"/>
  <c r="B32" i="7"/>
  <c r="B31" i="7"/>
  <c r="B42" i="7"/>
  <c r="B41" i="7"/>
  <c r="B30" i="7"/>
  <c r="B29" i="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AD27" i="17"/>
  <c r="AE27" i="17"/>
  <c r="AF27" i="17"/>
  <c r="AG27" i="17"/>
  <c r="AH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AD28" i="17"/>
  <c r="AE28" i="17"/>
  <c r="AF28" i="17"/>
  <c r="AG28" i="17"/>
  <c r="AH28" i="17"/>
  <c r="C31" i="17"/>
  <c r="D31" i="17"/>
  <c r="E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C32" i="17"/>
  <c r="D32" i="17"/>
  <c r="E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V32" i="17"/>
  <c r="W32" i="17"/>
  <c r="X32" i="17"/>
  <c r="Y32" i="17"/>
  <c r="Z32" i="17"/>
  <c r="AA32" i="17"/>
  <c r="AB32" i="17"/>
  <c r="AC32" i="17"/>
  <c r="AD32" i="17"/>
  <c r="AE32" i="17"/>
  <c r="AF32" i="17"/>
  <c r="AG32" i="17"/>
  <c r="AH32" i="17"/>
  <c r="C33" i="17"/>
  <c r="D33" i="17"/>
  <c r="E33" i="17"/>
  <c r="F33" i="17"/>
  <c r="G33" i="17"/>
  <c r="H33" i="17"/>
  <c r="I33" i="17"/>
  <c r="J33" i="17"/>
  <c r="K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AD34" i="17"/>
  <c r="AE34" i="17"/>
  <c r="AF34" i="17"/>
  <c r="AG34" i="17"/>
  <c r="AH34" i="17"/>
  <c r="C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AD35" i="17"/>
  <c r="AE35" i="17"/>
  <c r="AF35" i="17"/>
  <c r="AG35" i="17"/>
  <c r="AH35" i="17"/>
  <c r="C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AD36" i="17"/>
  <c r="AE36" i="17"/>
  <c r="AF36" i="17"/>
  <c r="AG36" i="17"/>
  <c r="AH36" i="17"/>
  <c r="C37" i="17"/>
  <c r="D37" i="17"/>
  <c r="E37" i="17"/>
  <c r="F37" i="17"/>
  <c r="G37" i="17"/>
  <c r="H37" i="17"/>
  <c r="I37" i="17"/>
  <c r="J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D37" i="17"/>
  <c r="AF37" i="17"/>
  <c r="AG37" i="17"/>
  <c r="AH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W43" i="17"/>
  <c r="X43" i="17"/>
  <c r="Y43" i="17"/>
  <c r="Z43" i="17"/>
  <c r="AA43" i="17"/>
  <c r="AB43" i="17"/>
  <c r="AC43" i="17"/>
  <c r="AD43" i="17"/>
  <c r="AE43" i="17"/>
  <c r="AF43" i="17"/>
  <c r="AG43" i="17"/>
  <c r="AH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AD49" i="17"/>
  <c r="AE49" i="17"/>
  <c r="AF49" i="17"/>
  <c r="AG49" i="17"/>
  <c r="AH49" i="17"/>
  <c r="C50" i="17"/>
  <c r="D50" i="17"/>
  <c r="E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AD50" i="17"/>
  <c r="AE50" i="17"/>
  <c r="AF50" i="17"/>
  <c r="AG50" i="17"/>
  <c r="AH50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AD45" i="17"/>
  <c r="AE45" i="17"/>
  <c r="AF45" i="17"/>
  <c r="AG45" i="17"/>
  <c r="AH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AD46" i="17"/>
  <c r="AE46" i="17"/>
  <c r="AF46" i="17"/>
  <c r="AG46" i="17"/>
  <c r="AH46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AD53" i="17"/>
  <c r="AE53" i="17"/>
  <c r="AF53" i="17"/>
  <c r="AG53" i="17"/>
  <c r="AH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AD54" i="17"/>
  <c r="AE54" i="17"/>
  <c r="AF54" i="17"/>
  <c r="AG54" i="17"/>
  <c r="AH54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AD51" i="17"/>
  <c r="AE51" i="17"/>
  <c r="AF51" i="17"/>
  <c r="AG51" i="17"/>
  <c r="AH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AD52" i="17"/>
  <c r="AE52" i="17"/>
  <c r="AF52" i="17"/>
  <c r="AG52" i="17"/>
  <c r="AH52" i="17"/>
  <c r="B52" i="17"/>
  <c r="B51" i="17"/>
  <c r="B54" i="17"/>
  <c r="B53" i="17"/>
  <c r="B46" i="17"/>
  <c r="B45" i="17"/>
  <c r="B50" i="17"/>
  <c r="B49" i="17"/>
  <c r="B44" i="17"/>
  <c r="B43" i="17"/>
  <c r="B36" i="17"/>
  <c r="B35" i="17"/>
  <c r="B34" i="17"/>
  <c r="B33" i="17"/>
  <c r="B32" i="17"/>
  <c r="B31" i="17"/>
  <c r="B28" i="17"/>
  <c r="B27" i="17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B24" i="5"/>
  <c r="B23" i="5"/>
  <c r="B22" i="5"/>
  <c r="B21" i="5"/>
  <c r="B20" i="5"/>
  <c r="B19" i="5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B34" i="4"/>
  <c r="B33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B30" i="4"/>
  <c r="B29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B28" i="4"/>
  <c r="B27" i="4"/>
  <c r="AI66" i="18" l="1"/>
  <c r="AI65" i="18"/>
  <c r="AN41" i="18"/>
  <c r="AN57" i="18"/>
  <c r="AN37" i="18"/>
  <c r="AN29" i="18"/>
  <c r="AN55" i="18"/>
  <c r="AN59" i="18"/>
  <c r="AN25" i="18"/>
  <c r="AN61" i="18"/>
  <c r="AN63" i="18"/>
  <c r="AN43" i="18"/>
  <c r="AN35" i="18"/>
  <c r="AN27" i="18"/>
  <c r="AN23" i="18"/>
  <c r="AJ55" i="18"/>
  <c r="AJ57" i="18"/>
  <c r="AJ37" i="18"/>
  <c r="AJ29" i="18"/>
  <c r="AJ59" i="18"/>
  <c r="AJ41" i="18"/>
  <c r="AJ63" i="18"/>
  <c r="AJ43" i="18"/>
  <c r="AJ35" i="18"/>
  <c r="AJ27" i="18"/>
  <c r="AJ23" i="18"/>
  <c r="AJ25" i="18"/>
  <c r="AJ61" i="18"/>
  <c r="A41" i="7"/>
  <c r="A42" i="7"/>
  <c r="AN69" i="18"/>
  <c r="AP61" i="18"/>
  <c r="AP55" i="18"/>
  <c r="AP25" i="18"/>
  <c r="AP57" i="18"/>
  <c r="AP37" i="18"/>
  <c r="AP29" i="18"/>
  <c r="AP69" i="18"/>
  <c r="AP41" i="18"/>
  <c r="AP59" i="18"/>
  <c r="AP63" i="18"/>
  <c r="AP43" i="18"/>
  <c r="AP35" i="18"/>
  <c r="AP27" i="18"/>
  <c r="AP23" i="18"/>
  <c r="A28" i="17"/>
  <c r="AM63" i="18"/>
  <c r="AO63" i="18"/>
  <c r="AL63" i="18"/>
  <c r="AK63" i="18"/>
  <c r="AL62" i="18"/>
  <c r="AK62" i="18"/>
  <c r="AM62" i="18"/>
  <c r="AO61" i="18"/>
  <c r="AK61" i="18"/>
  <c r="AM61" i="18"/>
  <c r="AL61" i="18"/>
  <c r="AM46" i="18"/>
  <c r="AL46" i="18"/>
  <c r="AK46" i="18"/>
  <c r="AO45" i="18"/>
  <c r="AM45" i="18"/>
  <c r="AL45" i="18"/>
  <c r="AK45" i="18"/>
  <c r="AL58" i="18"/>
  <c r="AM58" i="18"/>
  <c r="AK58" i="18"/>
  <c r="AL57" i="18"/>
  <c r="AK57" i="18"/>
  <c r="AM57" i="18"/>
  <c r="AO57" i="18"/>
  <c r="AK44" i="18"/>
  <c r="AM44" i="18"/>
  <c r="AL44" i="18"/>
  <c r="AK43" i="18"/>
  <c r="AO43" i="18"/>
  <c r="AM43" i="18"/>
  <c r="AL43" i="18"/>
  <c r="AM56" i="18"/>
  <c r="AL56" i="18"/>
  <c r="AK56" i="18"/>
  <c r="AO55" i="18"/>
  <c r="AM55" i="18"/>
  <c r="AL55" i="18"/>
  <c r="AK55" i="18"/>
  <c r="AK32" i="18"/>
  <c r="AL32" i="18"/>
  <c r="AM32" i="18"/>
  <c r="AK31" i="18"/>
  <c r="AM31" i="18"/>
  <c r="AO31" i="18"/>
  <c r="AL31" i="18"/>
  <c r="AM40" i="18"/>
  <c r="AL40" i="18"/>
  <c r="AK40" i="18"/>
  <c r="AM39" i="18"/>
  <c r="AL39" i="18"/>
  <c r="AK39" i="18"/>
  <c r="AO39" i="18"/>
  <c r="AL38" i="18"/>
  <c r="AK38" i="18"/>
  <c r="AM38" i="18"/>
  <c r="AL37" i="18"/>
  <c r="AK37" i="18"/>
  <c r="AO37" i="18"/>
  <c r="AM37" i="18"/>
  <c r="AM36" i="18"/>
  <c r="AL36" i="18"/>
  <c r="AK36" i="18"/>
  <c r="AO35" i="18"/>
  <c r="AM35" i="18"/>
  <c r="AL35" i="18"/>
  <c r="AK35" i="18"/>
  <c r="AL26" i="18"/>
  <c r="AK26" i="18"/>
  <c r="AM26" i="18"/>
  <c r="AL25" i="18"/>
  <c r="AM25" i="18"/>
  <c r="AK25" i="18"/>
  <c r="AO25" i="18"/>
  <c r="AK30" i="18"/>
  <c r="AM30" i="18"/>
  <c r="AL30" i="18"/>
  <c r="AK29" i="18"/>
  <c r="AO29" i="18"/>
  <c r="AM29" i="18"/>
  <c r="AL29" i="18"/>
  <c r="AM28" i="18"/>
  <c r="AL28" i="18"/>
  <c r="AK28" i="18"/>
  <c r="AO27" i="18"/>
  <c r="AM27" i="18"/>
  <c r="AL27" i="18"/>
  <c r="AK27" i="18"/>
  <c r="AM42" i="18"/>
  <c r="AL42" i="18"/>
  <c r="AK42" i="18"/>
  <c r="AM41" i="18"/>
  <c r="AL41" i="18"/>
  <c r="AK41" i="18"/>
  <c r="AO41" i="18"/>
  <c r="AL70" i="18"/>
  <c r="AK70" i="18"/>
  <c r="AM70" i="18"/>
  <c r="AJ69" i="18"/>
  <c r="AO69" i="18"/>
  <c r="AL69" i="18"/>
  <c r="AK69" i="18"/>
  <c r="AM69" i="18"/>
  <c r="AM24" i="18"/>
  <c r="AL24" i="18"/>
  <c r="AK24" i="18"/>
  <c r="AO23" i="18"/>
  <c r="AM23" i="18"/>
  <c r="AL23" i="18"/>
  <c r="AK23" i="18"/>
  <c r="AM60" i="18"/>
  <c r="AL60" i="18"/>
  <c r="AK60" i="18"/>
  <c r="AO59" i="18"/>
  <c r="AM59" i="18"/>
  <c r="AL59" i="18"/>
  <c r="AK59" i="18"/>
  <c r="AM64" i="18"/>
  <c r="AL64" i="18"/>
  <c r="AK64" i="18"/>
  <c r="A105" i="3"/>
  <c r="A106" i="3"/>
  <c r="AH29" i="5"/>
  <c r="AH30" i="5"/>
  <c r="AI69" i="18" l="1"/>
  <c r="AI41" i="18"/>
  <c r="AI45" i="18"/>
  <c r="AI63" i="18"/>
  <c r="AI39" i="18"/>
  <c r="AI31" i="18"/>
  <c r="AI55" i="18"/>
  <c r="AI29" i="18"/>
  <c r="AI57" i="18"/>
  <c r="AI35" i="18"/>
  <c r="AK74" i="18"/>
  <c r="AI27" i="18"/>
  <c r="AL74" i="18"/>
  <c r="AI37" i="18"/>
  <c r="AI61" i="18"/>
  <c r="AM74" i="18"/>
  <c r="AI59" i="18"/>
  <c r="AI23" i="18"/>
  <c r="AI43" i="18"/>
  <c r="AJ74" i="18"/>
  <c r="AI25" i="18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B62" i="18"/>
  <c r="B61" i="18"/>
  <c r="AH27" i="5"/>
  <c r="AH28" i="5"/>
  <c r="B38" i="17"/>
  <c r="B37" i="17"/>
  <c r="AH42" i="4"/>
  <c r="B42" i="4"/>
  <c r="A95" i="3"/>
  <c r="A96" i="3"/>
  <c r="A109" i="3"/>
  <c r="A110" i="3"/>
  <c r="A79" i="3"/>
  <c r="A80" i="3"/>
  <c r="A27" i="3"/>
  <c r="A28" i="3"/>
  <c r="A49" i="3"/>
  <c r="A50" i="3"/>
  <c r="A47" i="3"/>
  <c r="A48" i="3"/>
  <c r="A107" i="3"/>
  <c r="A108" i="3"/>
  <c r="A35" i="3"/>
  <c r="A36" i="3"/>
  <c r="A33" i="3"/>
  <c r="A34" i="3"/>
  <c r="AG3" i="2"/>
  <c r="AG3" i="17" s="1"/>
  <c r="AF3" i="2"/>
  <c r="AF3" i="6" s="1"/>
  <c r="AE3" i="2"/>
  <c r="AD4" i="2"/>
  <c r="AD138" i="3" s="1"/>
  <c r="AC4" i="2"/>
  <c r="AB4" i="2"/>
  <c r="AB138" i="3" s="1"/>
  <c r="AA4" i="2"/>
  <c r="Z4" i="2"/>
  <c r="Y4" i="2"/>
  <c r="X4" i="2"/>
  <c r="X4" i="7" s="1"/>
  <c r="W4" i="2"/>
  <c r="V4" i="2"/>
  <c r="U4" i="2"/>
  <c r="U4" i="4" s="1"/>
  <c r="T4" i="2"/>
  <c r="T4" i="7" s="1"/>
  <c r="S4" i="2"/>
  <c r="S4" i="3" s="1"/>
  <c r="R4" i="2"/>
  <c r="Q4" i="2"/>
  <c r="P4" i="2"/>
  <c r="P4" i="18" s="1"/>
  <c r="O4" i="2"/>
  <c r="N4" i="2"/>
  <c r="AH90" i="9" s="1"/>
  <c r="M4" i="2"/>
  <c r="L4" i="2"/>
  <c r="L4" i="6" s="1"/>
  <c r="K4" i="2"/>
  <c r="J4" i="2"/>
  <c r="I4" i="2"/>
  <c r="H4" i="2"/>
  <c r="G4" i="2"/>
  <c r="F4" i="2"/>
  <c r="F4" i="18" s="1"/>
  <c r="E4" i="2"/>
  <c r="E138" i="3" s="1"/>
  <c r="D4" i="2"/>
  <c r="D4" i="6" s="1"/>
  <c r="C4" i="2"/>
  <c r="A77" i="3"/>
  <c r="A78" i="3"/>
  <c r="A73" i="3"/>
  <c r="A74" i="3"/>
  <c r="E1" i="27"/>
  <c r="C1" i="27"/>
  <c r="I1" i="27"/>
  <c r="A97" i="3"/>
  <c r="A98" i="3"/>
  <c r="B55" i="18"/>
  <c r="B56" i="18"/>
  <c r="B63" i="18"/>
  <c r="B64" i="18"/>
  <c r="I1" i="25"/>
  <c r="E1" i="25"/>
  <c r="C1" i="25"/>
  <c r="C1" i="15"/>
  <c r="D1" i="15"/>
  <c r="E1" i="15"/>
  <c r="C1" i="14"/>
  <c r="E1" i="14"/>
  <c r="I1" i="14"/>
  <c r="C1" i="12"/>
  <c r="E1" i="12"/>
  <c r="I1" i="12"/>
  <c r="B3" i="3"/>
  <c r="B4" i="3"/>
  <c r="AH4" i="3"/>
  <c r="A83" i="3"/>
  <c r="A84" i="3"/>
  <c r="A43" i="3"/>
  <c r="A44" i="3"/>
  <c r="A29" i="3"/>
  <c r="A30" i="3"/>
  <c r="A41" i="3"/>
  <c r="A42" i="3"/>
  <c r="A103" i="3"/>
  <c r="A104" i="3"/>
  <c r="A93" i="3"/>
  <c r="A94" i="3"/>
  <c r="A59" i="3"/>
  <c r="A60" i="3"/>
  <c r="A111" i="3"/>
  <c r="A112" i="3"/>
  <c r="A53" i="3"/>
  <c r="A54" i="3"/>
  <c r="A71" i="3"/>
  <c r="A72" i="3"/>
  <c r="A39" i="3"/>
  <c r="A40" i="3"/>
  <c r="A67" i="3"/>
  <c r="A68" i="3"/>
  <c r="A57" i="3"/>
  <c r="A58" i="3"/>
  <c r="A63" i="3"/>
  <c r="A64" i="3"/>
  <c r="A75" i="3"/>
  <c r="A76" i="3"/>
  <c r="A65" i="3"/>
  <c r="A66" i="3"/>
  <c r="A69" i="3"/>
  <c r="A70" i="3"/>
  <c r="B137" i="3"/>
  <c r="B138" i="3"/>
  <c r="AH138" i="3"/>
  <c r="B3" i="9"/>
  <c r="V89" i="9" s="1"/>
  <c r="B4" i="9"/>
  <c r="V90" i="9" s="1"/>
  <c r="S4" i="9"/>
  <c r="BG4" i="9" s="1"/>
  <c r="B3" i="17"/>
  <c r="B4" i="17"/>
  <c r="AH4" i="17"/>
  <c r="B3" i="6"/>
  <c r="B4" i="6"/>
  <c r="AH4" i="6"/>
  <c r="L1" i="11"/>
  <c r="A4" i="11"/>
  <c r="L4" i="11"/>
  <c r="A5" i="11"/>
  <c r="L5" i="11"/>
  <c r="C1" i="10"/>
  <c r="E1" i="10"/>
  <c r="I1" i="10"/>
  <c r="B3" i="2"/>
  <c r="B4" i="2"/>
  <c r="AH4" i="2"/>
  <c r="B3" i="4"/>
  <c r="B4" i="4"/>
  <c r="AH4" i="4"/>
  <c r="B3" i="7"/>
  <c r="B4" i="7"/>
  <c r="AH4" i="7"/>
  <c r="B3" i="5"/>
  <c r="B4" i="5"/>
  <c r="AH4" i="5"/>
  <c r="B3" i="18"/>
  <c r="B4" i="18"/>
  <c r="AH4" i="18"/>
  <c r="D2" i="8"/>
  <c r="F2" i="8"/>
  <c r="C1" i="20"/>
  <c r="D1" i="20"/>
  <c r="C22" i="20" s="1"/>
  <c r="AB4" i="7"/>
  <c r="K138" i="3"/>
  <c r="G4" i="18"/>
  <c r="K4" i="7"/>
  <c r="AA4" i="4"/>
  <c r="W4" i="3"/>
  <c r="S138" i="3"/>
  <c r="BL90" i="9"/>
  <c r="S4" i="17"/>
  <c r="S4" i="5"/>
  <c r="S4" i="4"/>
  <c r="O4" i="9"/>
  <c r="AI4" i="9" s="1"/>
  <c r="K4" i="9"/>
  <c r="AE4" i="9" s="1"/>
  <c r="K4" i="3"/>
  <c r="K4" i="6"/>
  <c r="K4" i="5"/>
  <c r="K4" i="17"/>
  <c r="K4" i="4"/>
  <c r="G4" i="6"/>
  <c r="AA90" i="9"/>
  <c r="G4" i="3"/>
  <c r="G90" i="9"/>
  <c r="AA138" i="3"/>
  <c r="G4" i="17"/>
  <c r="AB4" i="3"/>
  <c r="BA4" i="9"/>
  <c r="BU4" i="9" s="1"/>
  <c r="AB4" i="6"/>
  <c r="T4" i="6"/>
  <c r="AD4" i="6"/>
  <c r="T4" i="4"/>
  <c r="U4" i="3"/>
  <c r="T4" i="18"/>
  <c r="X4" i="3"/>
  <c r="AJ90" i="9"/>
  <c r="AQ90" i="9"/>
  <c r="BE3" i="9"/>
  <c r="AF3" i="18"/>
  <c r="AF3" i="7"/>
  <c r="BY3" i="9"/>
  <c r="W4" i="6"/>
  <c r="AV90" i="9"/>
  <c r="AC4" i="4"/>
  <c r="W4" i="17"/>
  <c r="C4" i="7"/>
  <c r="BB90" i="9"/>
  <c r="C4" i="5"/>
  <c r="W138" i="3"/>
  <c r="AC4" i="17"/>
  <c r="W4" i="7"/>
  <c r="A32" i="3"/>
  <c r="A31" i="3"/>
  <c r="A37" i="3"/>
  <c r="A38" i="3"/>
  <c r="F4" i="7" l="1"/>
  <c r="S4" i="6"/>
  <c r="L4" i="9"/>
  <c r="AF4" i="9" s="1"/>
  <c r="L4" i="17"/>
  <c r="X4" i="18"/>
  <c r="AB4" i="5"/>
  <c r="T4" i="17"/>
  <c r="BM90" i="9"/>
  <c r="L4" i="7"/>
  <c r="AS4" i="9"/>
  <c r="BM4" i="9" s="1"/>
  <c r="BU90" i="9"/>
  <c r="T138" i="3"/>
  <c r="T4" i="5"/>
  <c r="L4" i="4"/>
  <c r="L4" i="3"/>
  <c r="AF90" i="9"/>
  <c r="T4" i="3"/>
  <c r="AB4" i="4"/>
  <c r="L138" i="3"/>
  <c r="AB4" i="17"/>
  <c r="L4" i="18"/>
  <c r="AB4" i="18"/>
  <c r="L4" i="5"/>
  <c r="N4" i="6"/>
  <c r="AD4" i="17"/>
  <c r="N4" i="17"/>
  <c r="F4" i="6"/>
  <c r="F4" i="3"/>
  <c r="N4" i="3"/>
  <c r="F4" i="9"/>
  <c r="Z4" i="9" s="1"/>
  <c r="N4" i="9"/>
  <c r="AH4" i="9" s="1"/>
  <c r="F4" i="17"/>
  <c r="AW4" i="9"/>
  <c r="BQ4" i="9" s="1"/>
  <c r="X4" i="17"/>
  <c r="N4" i="4"/>
  <c r="N90" i="9"/>
  <c r="Z90" i="9"/>
  <c r="F4" i="5"/>
  <c r="F4" i="4"/>
  <c r="A42" i="4"/>
  <c r="A41" i="4"/>
  <c r="B89" i="9"/>
  <c r="S90" i="9"/>
  <c r="AP89" i="9"/>
  <c r="V3" i="9"/>
  <c r="AP3" i="9"/>
  <c r="B1" i="12"/>
  <c r="B1" i="27"/>
  <c r="C24" i="8"/>
  <c r="G1" i="1"/>
  <c r="D25" i="20"/>
  <c r="C28" i="8"/>
  <c r="B22" i="11"/>
  <c r="AM90" i="9"/>
  <c r="BG90" i="9"/>
  <c r="AM4" i="9"/>
  <c r="CA4" i="9"/>
  <c r="BJ3" i="9"/>
  <c r="C27" i="8"/>
  <c r="K1" i="14"/>
  <c r="C11" i="8"/>
  <c r="C16" i="8"/>
  <c r="CA90" i="9"/>
  <c r="BJ89" i="9"/>
  <c r="K1" i="25"/>
  <c r="C25" i="8"/>
  <c r="K1" i="10"/>
  <c r="C21" i="8"/>
  <c r="K1" i="27"/>
  <c r="C30" i="20"/>
  <c r="F90" i="9"/>
  <c r="N4" i="18"/>
  <c r="G4" i="5"/>
  <c r="G4" i="7"/>
  <c r="X4" i="6"/>
  <c r="D21" i="20"/>
  <c r="AF3" i="17"/>
  <c r="AW90" i="9"/>
  <c r="D29" i="20"/>
  <c r="K1" i="12"/>
  <c r="P4" i="3"/>
  <c r="C28" i="20"/>
  <c r="BE89" i="9"/>
  <c r="P4" i="4"/>
  <c r="D8" i="20"/>
  <c r="AF3" i="3"/>
  <c r="AF4" i="2"/>
  <c r="AF4" i="6" s="1"/>
  <c r="X138" i="3"/>
  <c r="X4" i="5"/>
  <c r="N138" i="3"/>
  <c r="D6" i="20"/>
  <c r="BY89" i="9"/>
  <c r="P138" i="3"/>
  <c r="D31" i="20"/>
  <c r="O4" i="6"/>
  <c r="W4" i="18"/>
  <c r="AV4" i="9"/>
  <c r="BP4" i="9" s="1"/>
  <c r="G138" i="3"/>
  <c r="AB90" i="9"/>
  <c r="P4" i="5"/>
  <c r="BQ90" i="9"/>
  <c r="AF3" i="4"/>
  <c r="AG4" i="2"/>
  <c r="AG138" i="3" s="1"/>
  <c r="AC90" i="9"/>
  <c r="Q90" i="9"/>
  <c r="Y4" i="5"/>
  <c r="W4" i="5"/>
  <c r="W4" i="4"/>
  <c r="C25" i="20"/>
  <c r="AF3" i="5"/>
  <c r="X4" i="4"/>
  <c r="P4" i="7"/>
  <c r="M8" i="11"/>
  <c r="G4" i="9"/>
  <c r="AA4" i="9" s="1"/>
  <c r="J4" i="18"/>
  <c r="R4" i="7"/>
  <c r="Z4" i="17"/>
  <c r="C4" i="17"/>
  <c r="K4" i="18"/>
  <c r="S4" i="18"/>
  <c r="AA4" i="3"/>
  <c r="G4" i="4"/>
  <c r="BP90" i="9"/>
  <c r="D4" i="7"/>
  <c r="L90" i="9"/>
  <c r="AS90" i="9"/>
  <c r="BA90" i="9"/>
  <c r="E4" i="9"/>
  <c r="Y4" i="9" s="1"/>
  <c r="M138" i="3"/>
  <c r="U4" i="17"/>
  <c r="AC4" i="7"/>
  <c r="F138" i="3"/>
  <c r="N4" i="7"/>
  <c r="BO90" i="9"/>
  <c r="AD4" i="5"/>
  <c r="AE3" i="6"/>
  <c r="C16" i="20"/>
  <c r="D26" i="20"/>
  <c r="D22" i="20"/>
  <c r="D20" i="20"/>
  <c r="C32" i="20"/>
  <c r="C23" i="20"/>
  <c r="AG3" i="5"/>
  <c r="C34" i="20"/>
  <c r="D34" i="20" s="1"/>
  <c r="C8" i="20"/>
  <c r="BZ89" i="9"/>
  <c r="C15" i="20"/>
  <c r="AQ4" i="9"/>
  <c r="BK4" i="9" s="1"/>
  <c r="Y4" i="17"/>
  <c r="J4" i="3"/>
  <c r="Q4" i="17"/>
  <c r="D33" i="20"/>
  <c r="C14" i="20"/>
  <c r="D27" i="20"/>
  <c r="AG3" i="6"/>
  <c r="D32" i="20"/>
  <c r="C33" i="20"/>
  <c r="C24" i="20"/>
  <c r="D23" i="20"/>
  <c r="D18" i="20"/>
  <c r="D7" i="20"/>
  <c r="C29" i="20"/>
  <c r="C26" i="20"/>
  <c r="D28" i="20"/>
  <c r="AX4" i="9"/>
  <c r="BR4" i="9" s="1"/>
  <c r="Y4" i="7"/>
  <c r="Y4" i="4"/>
  <c r="AG3" i="3"/>
  <c r="AG3" i="7"/>
  <c r="D30" i="20"/>
  <c r="C17" i="20"/>
  <c r="C11" i="20"/>
  <c r="D24" i="20"/>
  <c r="D17" i="20"/>
  <c r="D9" i="20"/>
  <c r="AG3" i="18"/>
  <c r="D15" i="20"/>
  <c r="Y4" i="18"/>
  <c r="BR90" i="9"/>
  <c r="Y4" i="6"/>
  <c r="C12" i="20"/>
  <c r="M12" i="11"/>
  <c r="C27" i="20"/>
  <c r="BF89" i="9"/>
  <c r="I4" i="7"/>
  <c r="C3" i="20"/>
  <c r="D13" i="20"/>
  <c r="C13" i="20"/>
  <c r="D16" i="20"/>
  <c r="D12" i="20"/>
  <c r="C21" i="20"/>
  <c r="C18" i="20"/>
  <c r="D10" i="20"/>
  <c r="B16" i="11"/>
  <c r="I138" i="3"/>
  <c r="J4" i="7"/>
  <c r="C20" i="20"/>
  <c r="C10" i="20"/>
  <c r="AX90" i="9"/>
  <c r="C19" i="20"/>
  <c r="C7" i="20"/>
  <c r="AG3" i="4"/>
  <c r="BF3" i="9"/>
  <c r="C9" i="20"/>
  <c r="D11" i="20"/>
  <c r="D19" i="20"/>
  <c r="C35" i="20"/>
  <c r="D35" i="20" s="1"/>
  <c r="BZ3" i="9"/>
  <c r="D14" i="20"/>
  <c r="Y138" i="3"/>
  <c r="Y4" i="3"/>
  <c r="M13" i="11"/>
  <c r="M11" i="11"/>
  <c r="M16" i="11"/>
  <c r="Q4" i="6"/>
  <c r="Z4" i="5"/>
  <c r="BB4" i="9"/>
  <c r="BV4" i="9" s="1"/>
  <c r="B35" i="8"/>
  <c r="C35" i="8" s="1"/>
  <c r="R4" i="18"/>
  <c r="B90" i="9"/>
  <c r="B14" i="11"/>
  <c r="E4" i="5"/>
  <c r="Y90" i="9"/>
  <c r="C32" i="8"/>
  <c r="Z4" i="3"/>
  <c r="J4" i="5"/>
  <c r="C20" i="8"/>
  <c r="B34" i="8"/>
  <c r="C34" i="8" s="1"/>
  <c r="C7" i="8"/>
  <c r="R4" i="4"/>
  <c r="R4" i="3"/>
  <c r="B33" i="8"/>
  <c r="C33" i="8" s="1"/>
  <c r="BJ90" i="9"/>
  <c r="B15" i="11"/>
  <c r="B17" i="11"/>
  <c r="U4" i="6"/>
  <c r="E4" i="18"/>
  <c r="U4" i="7"/>
  <c r="C30" i="8"/>
  <c r="AY90" i="9"/>
  <c r="J4" i="4"/>
  <c r="C29" i="8"/>
  <c r="C19" i="8"/>
  <c r="C8" i="8"/>
  <c r="C14" i="8"/>
  <c r="V4" i="9"/>
  <c r="AP4" i="9"/>
  <c r="B9" i="11"/>
  <c r="U138" i="3"/>
  <c r="E4" i="7"/>
  <c r="C26" i="8"/>
  <c r="C12" i="8"/>
  <c r="J4" i="6"/>
  <c r="AC4" i="6"/>
  <c r="BV90" i="9"/>
  <c r="AC138" i="3"/>
  <c r="C23" i="8"/>
  <c r="C6" i="8"/>
  <c r="BJ4" i="9"/>
  <c r="B20" i="11"/>
  <c r="B21" i="11"/>
  <c r="U4" i="18"/>
  <c r="AT4" i="9"/>
  <c r="BN4" i="9" s="1"/>
  <c r="E4" i="4"/>
  <c r="J90" i="9"/>
  <c r="Z4" i="6"/>
  <c r="J4" i="9"/>
  <c r="AD4" i="9" s="1"/>
  <c r="J4" i="17"/>
  <c r="AC4" i="18"/>
  <c r="AC4" i="3"/>
  <c r="C13" i="8"/>
  <c r="R4" i="6"/>
  <c r="C15" i="8"/>
  <c r="B10" i="11"/>
  <c r="E4" i="17"/>
  <c r="E4" i="6"/>
  <c r="E4" i="3"/>
  <c r="C22" i="8"/>
  <c r="J138" i="3"/>
  <c r="AD90" i="9"/>
  <c r="AC4" i="5"/>
  <c r="C17" i="8"/>
  <c r="C31" i="8"/>
  <c r="R4" i="5"/>
  <c r="BK90" i="9"/>
  <c r="AP90" i="9"/>
  <c r="B19" i="11"/>
  <c r="B18" i="11"/>
  <c r="BN90" i="9"/>
  <c r="AT90" i="9"/>
  <c r="U4" i="5"/>
  <c r="C10" i="8"/>
  <c r="R138" i="3"/>
  <c r="H4" i="7"/>
  <c r="AD4" i="4"/>
  <c r="P90" i="9"/>
  <c r="O4" i="18"/>
  <c r="P4" i="9"/>
  <c r="AJ4" i="9" s="1"/>
  <c r="BW90" i="9"/>
  <c r="AD4" i="7"/>
  <c r="I4" i="5"/>
  <c r="O4" i="7"/>
  <c r="R4" i="17"/>
  <c r="P4" i="17"/>
  <c r="AD4" i="3"/>
  <c r="BC90" i="9"/>
  <c r="I4" i="4"/>
  <c r="O4" i="4"/>
  <c r="O90" i="9"/>
  <c r="C6" i="20"/>
  <c r="BC4" i="9"/>
  <c r="BW4" i="9" s="1"/>
  <c r="H4" i="17"/>
  <c r="I4" i="6"/>
  <c r="AI90" i="9"/>
  <c r="O4" i="17"/>
  <c r="H4" i="9"/>
  <c r="AB4" i="9" s="1"/>
  <c r="H4" i="5"/>
  <c r="V4" i="17"/>
  <c r="AD4" i="18"/>
  <c r="I90" i="9"/>
  <c r="I4" i="3"/>
  <c r="I4" i="17"/>
  <c r="O4" i="5"/>
  <c r="O4" i="3"/>
  <c r="N4" i="5"/>
  <c r="P4" i="6"/>
  <c r="O138" i="3"/>
  <c r="I4" i="9"/>
  <c r="AC4" i="9" s="1"/>
  <c r="I4" i="18"/>
  <c r="M4" i="6"/>
  <c r="M4" i="5"/>
  <c r="V4" i="7"/>
  <c r="V4" i="3"/>
  <c r="BX3" i="9"/>
  <c r="AE3" i="7"/>
  <c r="AU90" i="9"/>
  <c r="D4" i="18"/>
  <c r="M90" i="9"/>
  <c r="AU4" i="9"/>
  <c r="BO4" i="9" s="1"/>
  <c r="AE4" i="2"/>
  <c r="BD3" i="9"/>
  <c r="M4" i="9"/>
  <c r="AG4" i="9" s="1"/>
  <c r="AG90" i="9"/>
  <c r="V4" i="6"/>
  <c r="V4" i="18"/>
  <c r="X90" i="9"/>
  <c r="Q4" i="3"/>
  <c r="C90" i="9"/>
  <c r="AA4" i="17"/>
  <c r="AE3" i="17"/>
  <c r="Z4" i="4"/>
  <c r="D4" i="5"/>
  <c r="D4" i="4"/>
  <c r="B8" i="11"/>
  <c r="E90" i="9"/>
  <c r="Q4" i="4"/>
  <c r="AE3" i="4"/>
  <c r="BT90" i="9"/>
  <c r="BS90" i="9"/>
  <c r="H4" i="6"/>
  <c r="H4" i="18"/>
  <c r="H138" i="3"/>
  <c r="C31" i="20"/>
  <c r="C36" i="20"/>
  <c r="D36" i="20" s="1"/>
  <c r="M18" i="11"/>
  <c r="M19" i="11" s="1"/>
  <c r="M20" i="11" s="1"/>
  <c r="M21" i="11" s="1"/>
  <c r="M22" i="11" s="1"/>
  <c r="M17" i="11"/>
  <c r="M9" i="11"/>
  <c r="B13" i="11"/>
  <c r="M4" i="17"/>
  <c r="M14" i="11"/>
  <c r="M4" i="7"/>
  <c r="Q4" i="18"/>
  <c r="AK90" i="9"/>
  <c r="BD89" i="9"/>
  <c r="K90" i="9"/>
  <c r="AR90" i="9"/>
  <c r="AA4" i="5"/>
  <c r="AE90" i="9"/>
  <c r="Z4" i="7"/>
  <c r="D4" i="9"/>
  <c r="X4" i="9" s="1"/>
  <c r="AA4" i="18"/>
  <c r="AE3" i="18"/>
  <c r="BX89" i="9"/>
  <c r="C4" i="3"/>
  <c r="M4" i="4"/>
  <c r="M4" i="18"/>
  <c r="D4" i="17"/>
  <c r="Q4" i="9"/>
  <c r="AK4" i="9" s="1"/>
  <c r="AE3" i="3"/>
  <c r="AA4" i="6"/>
  <c r="AZ4" i="9"/>
  <c r="BT4" i="9" s="1"/>
  <c r="Z4" i="18"/>
  <c r="C138" i="3"/>
  <c r="C4" i="9"/>
  <c r="W4" i="9" s="1"/>
  <c r="C4" i="18"/>
  <c r="C4" i="4"/>
  <c r="W90" i="9"/>
  <c r="M15" i="11"/>
  <c r="B11" i="11"/>
  <c r="B23" i="11"/>
  <c r="M10" i="11"/>
  <c r="B12" i="11"/>
  <c r="AY4" i="9"/>
  <c r="BS4" i="9" s="1"/>
  <c r="D138" i="3"/>
  <c r="M4" i="3"/>
  <c r="Q138" i="3"/>
  <c r="AE3" i="5"/>
  <c r="AR4" i="9"/>
  <c r="BL4" i="9" s="1"/>
  <c r="AZ90" i="9"/>
  <c r="AA4" i="7"/>
  <c r="D90" i="9"/>
  <c r="H4" i="4"/>
  <c r="S4" i="7"/>
  <c r="C4" i="6"/>
  <c r="H90" i="9"/>
  <c r="H4" i="3"/>
  <c r="V4" i="5"/>
  <c r="V4" i="4"/>
  <c r="V138" i="3"/>
  <c r="Z138" i="3"/>
  <c r="D4" i="3"/>
  <c r="Q4" i="5"/>
  <c r="Q4" i="7"/>
  <c r="A32" i="18"/>
  <c r="A27" i="17"/>
  <c r="A32" i="17"/>
  <c r="A32" i="7"/>
  <c r="A51" i="17"/>
  <c r="A31" i="18"/>
  <c r="A27" i="18"/>
  <c r="A41" i="18"/>
  <c r="A17" i="5"/>
  <c r="A27" i="7"/>
  <c r="A42" i="6"/>
  <c r="A25" i="18"/>
  <c r="A32" i="6"/>
  <c r="A41" i="6"/>
  <c r="A28" i="6"/>
  <c r="A47" i="17"/>
  <c r="A38" i="6"/>
  <c r="A40" i="6"/>
  <c r="A37" i="18"/>
  <c r="A18" i="5"/>
  <c r="A21" i="5"/>
  <c r="A28" i="7"/>
  <c r="A34" i="4"/>
  <c r="A29" i="4"/>
  <c r="A52" i="17"/>
  <c r="A34" i="7"/>
  <c r="A42" i="18"/>
  <c r="A35" i="4"/>
  <c r="A28" i="4"/>
  <c r="A38" i="4"/>
  <c r="A20" i="5"/>
  <c r="A31" i="7"/>
  <c r="A40" i="7"/>
  <c r="A36" i="6"/>
  <c r="A15" i="5"/>
  <c r="A24" i="5"/>
  <c r="A36" i="17"/>
  <c r="A31" i="17"/>
  <c r="A34" i="17"/>
  <c r="A38" i="17"/>
  <c r="A43" i="17"/>
  <c r="A46" i="17"/>
  <c r="A53" i="17"/>
  <c r="A37" i="6"/>
  <c r="A63" i="18"/>
  <c r="A34" i="6"/>
  <c r="A50" i="17"/>
  <c r="A30" i="6"/>
  <c r="A29" i="7"/>
  <c r="A48" i="17"/>
  <c r="A36" i="18"/>
  <c r="A57" i="18"/>
  <c r="A30" i="18"/>
  <c r="A19" i="5"/>
  <c r="A45" i="17"/>
  <c r="A45" i="18"/>
  <c r="A49" i="17"/>
  <c r="A33" i="7"/>
  <c r="A38" i="18"/>
  <c r="A30" i="4"/>
  <c r="A30" i="7"/>
  <c r="A56" i="18"/>
  <c r="A37" i="4"/>
  <c r="A37" i="17"/>
  <c r="A39" i="6"/>
  <c r="A33" i="17"/>
  <c r="A43" i="18"/>
  <c r="A40" i="18"/>
  <c r="A24" i="18"/>
  <c r="A27" i="4"/>
  <c r="A44" i="17"/>
  <c r="A35" i="6"/>
  <c r="A27" i="6"/>
  <c r="A59" i="18"/>
  <c r="A26" i="18"/>
  <c r="A23" i="5"/>
  <c r="A44" i="18"/>
  <c r="A46" i="18"/>
  <c r="A29" i="18"/>
  <c r="A28" i="18"/>
  <c r="A29" i="6"/>
  <c r="A16" i="5"/>
  <c r="A58" i="18"/>
  <c r="A33" i="6"/>
  <c r="C5" i="8"/>
  <c r="A62" i="18"/>
  <c r="A22" i="5"/>
  <c r="A60" i="18"/>
  <c r="A23" i="18"/>
  <c r="A39" i="18"/>
  <c r="A55" i="18"/>
  <c r="A70" i="18"/>
  <c r="A35" i="17"/>
  <c r="A61" i="18"/>
  <c r="A64" i="18"/>
  <c r="A35" i="18"/>
  <c r="A31" i="6"/>
  <c r="A33" i="4"/>
  <c r="A36" i="4"/>
  <c r="A54" i="17"/>
  <c r="A39" i="7"/>
  <c r="C9" i="8"/>
  <c r="C18" i="8"/>
  <c r="A69" i="18"/>
  <c r="AF4" i="17" l="1"/>
  <c r="AF4" i="18"/>
  <c r="AG4" i="6"/>
  <c r="BF90" i="9"/>
  <c r="AG4" i="3"/>
  <c r="AG4" i="18"/>
  <c r="BZ90" i="9"/>
  <c r="BF4" i="9"/>
  <c r="BZ4" i="9" s="1"/>
  <c r="AG4" i="17"/>
  <c r="AG4" i="7"/>
  <c r="AG4" i="5"/>
  <c r="AG4" i="4"/>
  <c r="BE90" i="9"/>
  <c r="BE4" i="9"/>
  <c r="BY4" i="9" s="1"/>
  <c r="AF138" i="3"/>
  <c r="BY90" i="9"/>
  <c r="AF4" i="7"/>
  <c r="AF4" i="4"/>
  <c r="AF4" i="5"/>
  <c r="AF4" i="3"/>
  <c r="AE4" i="4"/>
  <c r="AE4" i="6"/>
  <c r="AE4" i="5"/>
  <c r="AE4" i="3"/>
  <c r="AE4" i="17"/>
  <c r="AE4" i="7"/>
  <c r="AE4" i="18"/>
  <c r="BX90" i="9"/>
  <c r="BD4" i="9"/>
  <c r="BX4" i="9" s="1"/>
  <c r="AE138" i="3"/>
  <c r="BD90" i="9"/>
  <c r="AJ67" i="18" l="1"/>
  <c r="AN74" i="18" s="1"/>
  <c r="A37" i="7"/>
  <c r="A38" i="7"/>
</calcChain>
</file>

<file path=xl/sharedStrings.xml><?xml version="1.0" encoding="utf-8"?>
<sst xmlns="http://schemas.openxmlformats.org/spreadsheetml/2006/main" count="5797" uniqueCount="1006">
  <si>
    <t>年</t>
  </si>
  <si>
    <t>月分</t>
  </si>
  <si>
    <t>レギュラー登録画面</t>
  </si>
  <si>
    <t>じゅっと</t>
    <phoneticPr fontId="9"/>
  </si>
  <si>
    <t>じゅっと</t>
  </si>
  <si>
    <t>クギズケ</t>
    <phoneticPr fontId="9"/>
  </si>
  <si>
    <t>１ｓｔ</t>
  </si>
  <si>
    <t>ミヤネ屋</t>
    <rPh sb="3" eb="4">
      <t>ヤ</t>
    </rPh>
    <phoneticPr fontId="9"/>
  </si>
  <si>
    <t>２ｓｔ</t>
  </si>
  <si>
    <t>土ダメ</t>
    <phoneticPr fontId="9"/>
  </si>
  <si>
    <t>ほんわか</t>
    <phoneticPr fontId="9"/>
  </si>
  <si>
    <t>うさかめ</t>
    <phoneticPr fontId="9"/>
  </si>
  <si>
    <t>委員会</t>
    <phoneticPr fontId="9"/>
  </si>
  <si>
    <t>ジグザグ</t>
    <phoneticPr fontId="9"/>
  </si>
  <si>
    <t>３ｓｔ</t>
  </si>
  <si>
    <t>Ｎｓｔ</t>
    <phoneticPr fontId="9"/>
  </si>
  <si>
    <t>ｔｅｎ！</t>
  </si>
  <si>
    <t>公休</t>
  </si>
  <si>
    <t>日</t>
  </si>
  <si>
    <t>クギズケ</t>
  </si>
  <si>
    <t>ミヤネ屋</t>
  </si>
  <si>
    <t>吉田粗品</t>
    <rPh sb="0" eb="4">
      <t>ヨシダソシナ</t>
    </rPh>
    <phoneticPr fontId="9"/>
  </si>
  <si>
    <t>声</t>
    <rPh sb="0" eb="1">
      <t>コエ</t>
    </rPh>
    <phoneticPr fontId="9"/>
  </si>
  <si>
    <t>ノビしろ</t>
    <phoneticPr fontId="9"/>
  </si>
  <si>
    <t>生放送</t>
    <rPh sb="0" eb="3">
      <t>ナマホウソウ</t>
    </rPh>
    <phoneticPr fontId="9"/>
  </si>
  <si>
    <t>うさかめ</t>
  </si>
  <si>
    <t>ジグザグ</t>
  </si>
  <si>
    <t>ほんわか</t>
  </si>
  <si>
    <t>音道楽</t>
    <rPh sb="0" eb="3">
      <t>オトドウラク</t>
    </rPh>
    <phoneticPr fontId="9"/>
  </si>
  <si>
    <t>委員会</t>
  </si>
  <si>
    <t>土ダメ</t>
  </si>
  <si>
    <t>NT</t>
    <phoneticPr fontId="9"/>
  </si>
  <si>
    <t>Ｒ－１</t>
    <phoneticPr fontId="1"/>
  </si>
  <si>
    <t>読響</t>
    <rPh sb="0" eb="2">
      <t>ヨミキョウ</t>
    </rPh>
    <phoneticPr fontId="9"/>
  </si>
  <si>
    <t>X Games</t>
    <phoneticPr fontId="9"/>
  </si>
  <si>
    <t>NTV幕張</t>
    <rPh sb="3" eb="5">
      <t>マクハリ</t>
    </rPh>
    <phoneticPr fontId="9"/>
  </si>
  <si>
    <t>Ｒ－２</t>
    <phoneticPr fontId="1"/>
  </si>
  <si>
    <t>ＥＮＧ</t>
  </si>
  <si>
    <t>地球便</t>
    <rPh sb="0" eb="3">
      <t>チキュウビン</t>
    </rPh>
    <phoneticPr fontId="9"/>
  </si>
  <si>
    <t>しんご芽</t>
    <rPh sb="3" eb="4">
      <t>メ</t>
    </rPh>
    <phoneticPr fontId="9"/>
  </si>
  <si>
    <t>2st</t>
    <phoneticPr fontId="9"/>
  </si>
  <si>
    <t>ten中継</t>
    <rPh sb="3" eb="5">
      <t>チュウケイ</t>
    </rPh>
    <phoneticPr fontId="9"/>
  </si>
  <si>
    <t>その他</t>
  </si>
  <si>
    <t>Jｱﾗｰﾄ</t>
    <phoneticPr fontId="9"/>
  </si>
  <si>
    <t>EXP</t>
    <phoneticPr fontId="9"/>
  </si>
  <si>
    <t>関西ﾓﾃﾞﾙ</t>
    <rPh sb="0" eb="2">
      <t>カンサイ</t>
    </rPh>
    <phoneticPr fontId="9"/>
  </si>
  <si>
    <t>東通</t>
    <rPh sb="0" eb="2">
      <t>トウツウカントウ</t>
    </rPh>
    <phoneticPr fontId="9"/>
  </si>
  <si>
    <t>高松宮杯</t>
    <rPh sb="0" eb="3">
      <t>タカマツミヤ</t>
    </rPh>
    <rPh sb="3" eb="4">
      <t>ハイ</t>
    </rPh>
    <phoneticPr fontId="9"/>
  </si>
  <si>
    <t>MUSICDAY</t>
  </si>
  <si>
    <t>鳴動試験</t>
    <rPh sb="0" eb="4">
      <t>メイドウシケン</t>
    </rPh>
    <phoneticPr fontId="9"/>
  </si>
  <si>
    <t>ﾊﾟｰﾙｶｯﾌﾟ</t>
    <phoneticPr fontId="9"/>
  </si>
  <si>
    <t>NTV応援</t>
    <rPh sb="3" eb="5">
      <t>オウエン</t>
    </rPh>
    <phoneticPr fontId="9"/>
  </si>
  <si>
    <t>人事配信</t>
    <rPh sb="0" eb="4">
      <t>ジンジハイシン</t>
    </rPh>
    <phoneticPr fontId="9"/>
  </si>
  <si>
    <t>　　──</t>
  </si>
  <si>
    <t>１ＥＤ</t>
    <phoneticPr fontId="9"/>
  </si>
  <si>
    <t>２ＥＤ</t>
    <phoneticPr fontId="9"/>
  </si>
  <si>
    <t>４サブ</t>
    <phoneticPr fontId="9"/>
  </si>
  <si>
    <t>ﾍﾘ訓練</t>
    <rPh sb="2" eb="4">
      <t>クンレン</t>
    </rPh>
    <phoneticPr fontId="9"/>
  </si>
  <si>
    <t>備考</t>
  </si>
  <si>
    <t>公休</t>
    <phoneticPr fontId="4"/>
  </si>
  <si>
    <t>じゅっと</t>
    <phoneticPr fontId="4"/>
  </si>
  <si>
    <t>クギズケ</t>
    <phoneticPr fontId="4"/>
  </si>
  <si>
    <t>ミヤネ屋</t>
    <phoneticPr fontId="4"/>
  </si>
  <si>
    <t>吉田粗品</t>
    <phoneticPr fontId="4"/>
  </si>
  <si>
    <t>声</t>
    <phoneticPr fontId="4"/>
  </si>
  <si>
    <t>ノビしろ</t>
    <phoneticPr fontId="4"/>
  </si>
  <si>
    <t>生放送</t>
    <phoneticPr fontId="4"/>
  </si>
  <si>
    <t>うさかめ</t>
    <phoneticPr fontId="4"/>
  </si>
  <si>
    <t>ジグザグ</t>
    <phoneticPr fontId="4"/>
  </si>
  <si>
    <t>ほんわか</t>
    <phoneticPr fontId="4"/>
  </si>
  <si>
    <t>音道楽</t>
    <phoneticPr fontId="4"/>
  </si>
  <si>
    <t>委員会</t>
    <phoneticPr fontId="4"/>
  </si>
  <si>
    <t>土ダメ</t>
    <phoneticPr fontId="4"/>
  </si>
  <si>
    <t>NT</t>
    <phoneticPr fontId="4"/>
  </si>
  <si>
    <t>Ｎｓｔ</t>
    <phoneticPr fontId="7"/>
  </si>
  <si>
    <t>ｔｅｎ！</t>
    <phoneticPr fontId="4"/>
  </si>
  <si>
    <t>関西ﾓﾃﾞﾙ</t>
    <phoneticPr fontId="4"/>
  </si>
  <si>
    <t>ﾍﾘ訓練</t>
    <phoneticPr fontId="4"/>
  </si>
  <si>
    <t>４サブ</t>
    <phoneticPr fontId="7"/>
  </si>
  <si>
    <t>Ｒ－１</t>
  </si>
  <si>
    <t>読響</t>
    <phoneticPr fontId="4"/>
  </si>
  <si>
    <t>X Games</t>
    <phoneticPr fontId="4"/>
  </si>
  <si>
    <t>NTV幕張</t>
    <phoneticPr fontId="4"/>
  </si>
  <si>
    <t>Ｒ－２</t>
  </si>
  <si>
    <t>地球便</t>
    <phoneticPr fontId="4"/>
  </si>
  <si>
    <t>しんご芽</t>
    <phoneticPr fontId="4"/>
  </si>
  <si>
    <t>2st</t>
    <phoneticPr fontId="4"/>
  </si>
  <si>
    <t>ten中継</t>
    <phoneticPr fontId="4"/>
  </si>
  <si>
    <t>Jｱﾗｰﾄ</t>
    <phoneticPr fontId="4"/>
  </si>
  <si>
    <t>EXP</t>
    <phoneticPr fontId="4"/>
  </si>
  <si>
    <t>東通</t>
    <phoneticPr fontId="4"/>
  </si>
  <si>
    <t>高松宮杯</t>
    <phoneticPr fontId="4"/>
  </si>
  <si>
    <t>MUSICDAY</t>
    <phoneticPr fontId="4"/>
  </si>
  <si>
    <t>鳴動試験</t>
    <phoneticPr fontId="4"/>
  </si>
  <si>
    <t>ﾊﾟｰﾙｶｯﾌﾟ</t>
    <phoneticPr fontId="4"/>
  </si>
  <si>
    <t>NTV応援</t>
    <phoneticPr fontId="4"/>
  </si>
  <si>
    <t>人事配信</t>
    <phoneticPr fontId="4"/>
  </si>
  <si>
    <t>　　──</t>
    <phoneticPr fontId="4"/>
  </si>
  <si>
    <t>小池　一暢</t>
    <rPh sb="0" eb="2">
      <t>コイケ</t>
    </rPh>
    <rPh sb="3" eb="4">
      <t>イチ</t>
    </rPh>
    <rPh sb="4" eb="5">
      <t>ノブ</t>
    </rPh>
    <phoneticPr fontId="4"/>
  </si>
  <si>
    <t>局会</t>
    <rPh sb="0" eb="2">
      <t>キョクカイ</t>
    </rPh>
    <phoneticPr fontId="4"/>
  </si>
  <si>
    <t>ＲＤ</t>
    <phoneticPr fontId="4"/>
  </si>
  <si>
    <t>★</t>
    <phoneticPr fontId="4"/>
  </si>
  <si>
    <t>★★</t>
    <phoneticPr fontId="4"/>
  </si>
  <si>
    <t>ｶﾒﾗG会</t>
    <phoneticPr fontId="4"/>
  </si>
  <si>
    <t>音G/VEG</t>
    <rPh sb="0" eb="1">
      <t>オト</t>
    </rPh>
    <phoneticPr fontId="4"/>
  </si>
  <si>
    <t>技術会議</t>
    <rPh sb="0" eb="4">
      <t>ギジュツカイギ</t>
    </rPh>
    <phoneticPr fontId="4"/>
  </si>
  <si>
    <t>小池</t>
    <rPh sb="0" eb="2">
      <t>コイケ</t>
    </rPh>
    <phoneticPr fontId="4"/>
  </si>
  <si>
    <t>houdou</t>
  </si>
  <si>
    <t>a</t>
  </si>
  <si>
    <t>部長会</t>
  </si>
  <si>
    <t>車両会議</t>
    <phoneticPr fontId="4"/>
  </si>
  <si>
    <t>部長会</t>
    <rPh sb="0" eb="3">
      <t>ブチョウカイ</t>
    </rPh>
    <phoneticPr fontId="4"/>
  </si>
  <si>
    <t>照明G</t>
  </si>
  <si>
    <t>ＴＤ</t>
  </si>
  <si>
    <t>回線Ｇ</t>
    <rPh sb="0" eb="2">
      <t>カイセン</t>
    </rPh>
    <phoneticPr fontId="4"/>
  </si>
  <si>
    <t>制作費会議</t>
    <rPh sb="0" eb="5">
      <t>セイサクヒカイギ</t>
    </rPh>
    <phoneticPr fontId="4"/>
  </si>
  <si>
    <t>NT会議</t>
    <rPh sb="2" eb="4">
      <t>カイギ</t>
    </rPh>
    <phoneticPr fontId="4"/>
  </si>
  <si>
    <t>鈴木　直人</t>
    <rPh sb="0" eb="2">
      <t>スズキ</t>
    </rPh>
    <rPh sb="3" eb="5">
      <t>ナオト</t>
    </rPh>
    <phoneticPr fontId="4"/>
  </si>
  <si>
    <t>　　　━</t>
  </si>
  <si>
    <t>━　　　</t>
  </si>
  <si>
    <t>ｶﾒﾗG会</t>
    <rPh sb="4" eb="5">
      <t>カイ</t>
    </rPh>
    <phoneticPr fontId="4"/>
  </si>
  <si>
    <t>鈴木</t>
    <rPh sb="0" eb="2">
      <t>スズキ</t>
    </rPh>
    <phoneticPr fontId="4"/>
  </si>
  <si>
    <t>camera</t>
  </si>
  <si>
    <t>部長会</t>
    <phoneticPr fontId="4"/>
  </si>
  <si>
    <t>セミナー</t>
    <phoneticPr fontId="4"/>
  </si>
  <si>
    <t>コンプラ</t>
    <phoneticPr fontId="4"/>
  </si>
  <si>
    <t>事故対</t>
    <rPh sb="0" eb="3">
      <t>ジコタイ</t>
    </rPh>
    <phoneticPr fontId="4"/>
  </si>
  <si>
    <t>※</t>
    <phoneticPr fontId="4"/>
  </si>
  <si>
    <t>三村　将之</t>
  </si>
  <si>
    <t>NsubTD</t>
    <phoneticPr fontId="4"/>
  </si>
  <si>
    <t>★★</t>
  </si>
  <si>
    <t>特休</t>
    <rPh sb="0" eb="2">
      <t>トッキュウ</t>
    </rPh>
    <phoneticPr fontId="4"/>
  </si>
  <si>
    <t>設備WG</t>
    <rPh sb="0" eb="2">
      <t>セツビ</t>
    </rPh>
    <phoneticPr fontId="4"/>
  </si>
  <si>
    <t>音声G会</t>
    <rPh sb="0" eb="2">
      <t>オンセイ</t>
    </rPh>
    <rPh sb="3" eb="4">
      <t>カイ</t>
    </rPh>
    <phoneticPr fontId="4"/>
  </si>
  <si>
    <t>三村</t>
    <phoneticPr fontId="4"/>
  </si>
  <si>
    <t>onsei</t>
  </si>
  <si>
    <t>※</t>
    <phoneticPr fontId="1"/>
  </si>
  <si>
    <t>MA更新会</t>
    <rPh sb="2" eb="4">
      <t>コウシン</t>
    </rPh>
    <rPh sb="4" eb="5">
      <t>カイ</t>
    </rPh>
    <phoneticPr fontId="4"/>
  </si>
  <si>
    <t>森本　泰輔</t>
    <phoneticPr fontId="4"/>
  </si>
  <si>
    <t>大規模</t>
    <rPh sb="0" eb="3">
      <t>ダイキボ</t>
    </rPh>
    <phoneticPr fontId="4"/>
  </si>
  <si>
    <t>勤務作成</t>
    <rPh sb="0" eb="2">
      <t>キンム</t>
    </rPh>
    <rPh sb="2" eb="4">
      <t>サクセイ</t>
    </rPh>
    <phoneticPr fontId="4"/>
  </si>
  <si>
    <t>年休</t>
    <rPh sb="0" eb="1">
      <t>ネン</t>
    </rPh>
    <rPh sb="1" eb="2">
      <t>キュウ</t>
    </rPh>
    <phoneticPr fontId="4"/>
  </si>
  <si>
    <t>森本</t>
    <rPh sb="0" eb="2">
      <t>モリモト</t>
    </rPh>
    <phoneticPr fontId="4"/>
  </si>
  <si>
    <t>houdou</t>
    <phoneticPr fontId="4"/>
  </si>
  <si>
    <t>災害</t>
    <rPh sb="0" eb="2">
      <t>サイガイ</t>
    </rPh>
    <phoneticPr fontId="4"/>
  </si>
  <si>
    <t>ＴＤ</t>
    <phoneticPr fontId="4"/>
  </si>
  <si>
    <t>訓練準備</t>
    <rPh sb="0" eb="4">
      <t>クンレンジュンビ</t>
    </rPh>
    <phoneticPr fontId="4"/>
  </si>
  <si>
    <t>VEG会議</t>
    <rPh sb="3" eb="5">
      <t>カイギ</t>
    </rPh>
    <phoneticPr fontId="4"/>
  </si>
  <si>
    <t>坂口　裕一</t>
    <phoneticPr fontId="4"/>
  </si>
  <si>
    <t>代休</t>
    <rPh sb="0" eb="2">
      <t>ダイキュウ</t>
    </rPh>
    <phoneticPr fontId="4"/>
  </si>
  <si>
    <t>NTV会議</t>
    <rPh sb="3" eb="5">
      <t>カイギ</t>
    </rPh>
    <phoneticPr fontId="4"/>
  </si>
  <si>
    <t>★</t>
  </si>
  <si>
    <t>吉田粗品</t>
  </si>
  <si>
    <t>坂口裕</t>
    <phoneticPr fontId="4"/>
  </si>
  <si>
    <t>ＳＷ</t>
    <phoneticPr fontId="4"/>
  </si>
  <si>
    <t>5/31分</t>
    <rPh sb="4" eb="5">
      <t>ブン</t>
    </rPh>
    <phoneticPr fontId="4"/>
  </si>
  <si>
    <t>※</t>
  </si>
  <si>
    <t>13゜～</t>
    <phoneticPr fontId="4"/>
  </si>
  <si>
    <t>湯川　洋輔</t>
    <rPh sb="0" eb="2">
      <t>ユカワ</t>
    </rPh>
    <rPh sb="3" eb="5">
      <t>ヨウスケ</t>
    </rPh>
    <phoneticPr fontId="4"/>
  </si>
  <si>
    <t>近総通</t>
    <rPh sb="0" eb="1">
      <t>コン</t>
    </rPh>
    <rPh sb="1" eb="2">
      <t>ソウ</t>
    </rPh>
    <rPh sb="2" eb="3">
      <t>ツウ</t>
    </rPh>
    <phoneticPr fontId="4"/>
  </si>
  <si>
    <t>ＲＤ</t>
  </si>
  <si>
    <t>年休</t>
    <rPh sb="0" eb="2">
      <t>ネンキュウ</t>
    </rPh>
    <phoneticPr fontId="4"/>
  </si>
  <si>
    <t>湯川</t>
    <rPh sb="0" eb="2">
      <t>ユカワ</t>
    </rPh>
    <phoneticPr fontId="4"/>
  </si>
  <si>
    <t>現地視察</t>
    <rPh sb="0" eb="4">
      <t>ゲンチシサツ</t>
    </rPh>
    <phoneticPr fontId="4"/>
  </si>
  <si>
    <t>窪内　誠</t>
  </si>
  <si>
    <t>VEレク</t>
    <phoneticPr fontId="4"/>
  </si>
  <si>
    <t>VEレク</t>
  </si>
  <si>
    <t>音道楽</t>
  </si>
  <si>
    <t>機材整備</t>
    <rPh sb="0" eb="4">
      <t>キザイセイビ</t>
    </rPh>
    <phoneticPr fontId="4"/>
  </si>
  <si>
    <t>登録</t>
    <rPh sb="0" eb="2">
      <t>トウロク</t>
    </rPh>
    <phoneticPr fontId="4"/>
  </si>
  <si>
    <t>窪内</t>
    <rPh sb="0" eb="2">
      <t>クボウチ</t>
    </rPh>
    <phoneticPr fontId="4"/>
  </si>
  <si>
    <t>VE</t>
    <phoneticPr fontId="4"/>
  </si>
  <si>
    <t>ＶＥ</t>
  </si>
  <si>
    <t>中継車WG</t>
    <rPh sb="0" eb="3">
      <t>チュウケイシャ</t>
    </rPh>
    <phoneticPr fontId="4"/>
  </si>
  <si>
    <t>ＬＤ</t>
  </si>
  <si>
    <t>河戸　将克</t>
    <phoneticPr fontId="4"/>
  </si>
  <si>
    <t>電波</t>
  </si>
  <si>
    <t>読響</t>
  </si>
  <si>
    <t>河戸</t>
    <phoneticPr fontId="4"/>
  </si>
  <si>
    <t>shoumei</t>
  </si>
  <si>
    <t>ＴＤ.LD</t>
  </si>
  <si>
    <t>沖田　一剛</t>
    <rPh sb="0" eb="2">
      <t>オキタ</t>
    </rPh>
    <rPh sb="3" eb="4">
      <t>1</t>
    </rPh>
    <rPh sb="4" eb="5">
      <t>ツヨシ</t>
    </rPh>
    <phoneticPr fontId="4"/>
  </si>
  <si>
    <t>打合せ</t>
    <rPh sb="0" eb="2">
      <t>ウチアワ</t>
    </rPh>
    <phoneticPr fontId="4"/>
  </si>
  <si>
    <t>準備</t>
    <rPh sb="0" eb="2">
      <t>ジュンビ</t>
    </rPh>
    <phoneticPr fontId="4"/>
  </si>
  <si>
    <t>音G/制作</t>
    <rPh sb="0" eb="1">
      <t>オト</t>
    </rPh>
    <rPh sb="3" eb="5">
      <t>セイサク</t>
    </rPh>
    <phoneticPr fontId="4"/>
  </si>
  <si>
    <t>沖田</t>
    <rPh sb="0" eb="2">
      <t>オキタ</t>
    </rPh>
    <phoneticPr fontId="4"/>
  </si>
  <si>
    <t>a</t>
    <phoneticPr fontId="4"/>
  </si>
  <si>
    <t>ＭＩＸ</t>
    <phoneticPr fontId="4"/>
  </si>
  <si>
    <t>5/7分</t>
    <rPh sb="3" eb="4">
      <t>ブン</t>
    </rPh>
    <phoneticPr fontId="4"/>
  </si>
  <si>
    <t>音中AA</t>
    <rPh sb="0" eb="2">
      <t>オトナカ</t>
    </rPh>
    <phoneticPr fontId="4"/>
  </si>
  <si>
    <t>ＡＡ</t>
    <phoneticPr fontId="4"/>
  </si>
  <si>
    <t>5/18分</t>
    <rPh sb="4" eb="5">
      <t>ブン</t>
    </rPh>
    <phoneticPr fontId="4"/>
  </si>
  <si>
    <t>TD/技会</t>
    <rPh sb="3" eb="4">
      <t>ワザ</t>
    </rPh>
    <rPh sb="4" eb="5">
      <t>カイ</t>
    </rPh>
    <phoneticPr fontId="4"/>
  </si>
  <si>
    <t>藤井　義行</t>
    <rPh sb="0" eb="2">
      <t>フジイ</t>
    </rPh>
    <rPh sb="3" eb="5">
      <t>ヨシユキ</t>
    </rPh>
    <phoneticPr fontId="4"/>
  </si>
  <si>
    <t>木ドラ</t>
    <rPh sb="0" eb="1">
      <t>モク</t>
    </rPh>
    <phoneticPr fontId="4"/>
  </si>
  <si>
    <t>NsubTD</t>
  </si>
  <si>
    <t>藤井</t>
    <rPh sb="0" eb="2">
      <t>フジイ</t>
    </rPh>
    <phoneticPr fontId="4"/>
  </si>
  <si>
    <t>b</t>
    <phoneticPr fontId="4"/>
  </si>
  <si>
    <t>5/30分</t>
    <rPh sb="4" eb="5">
      <t>ブン</t>
    </rPh>
    <phoneticPr fontId="4"/>
  </si>
  <si>
    <t>ＣＡＭ</t>
    <phoneticPr fontId="4"/>
  </si>
  <si>
    <t>ＳＷ</t>
  </si>
  <si>
    <t>菊地　健</t>
    <phoneticPr fontId="4"/>
  </si>
  <si>
    <t>声</t>
  </si>
  <si>
    <t>ノビしろ</t>
  </si>
  <si>
    <t>X準備</t>
    <rPh sb="1" eb="3">
      <t>ジュンビ</t>
    </rPh>
    <phoneticPr fontId="4"/>
  </si>
  <si>
    <t>菊地</t>
    <phoneticPr fontId="4"/>
  </si>
  <si>
    <t>VE</t>
  </si>
  <si>
    <t>b</t>
  </si>
  <si>
    <t>吉田粗品</t>
    <rPh sb="0" eb="4">
      <t>ヨシダソシナ</t>
    </rPh>
    <phoneticPr fontId="4"/>
  </si>
  <si>
    <t>浅地　裕夫</t>
    <rPh sb="0" eb="2">
      <t>アサジ</t>
    </rPh>
    <rPh sb="3" eb="4">
      <t>ヒロオ</t>
    </rPh>
    <rPh sb="4" eb="5">
      <t>オット</t>
    </rPh>
    <phoneticPr fontId="4"/>
  </si>
  <si>
    <t>ten下見</t>
    <rPh sb="3" eb="5">
      <t>シタミ</t>
    </rPh>
    <phoneticPr fontId="4"/>
  </si>
  <si>
    <t>ten中継</t>
    <rPh sb="3" eb="5">
      <t>チュウケイ</t>
    </rPh>
    <phoneticPr fontId="4"/>
  </si>
  <si>
    <t>ﾊﾟｰﾙｶｯﾌﾟ</t>
  </si>
  <si>
    <t>回線G</t>
    <rPh sb="0" eb="2">
      <t>カイセン</t>
    </rPh>
    <phoneticPr fontId="4"/>
  </si>
  <si>
    <t>高松宮杯</t>
    <rPh sb="0" eb="4">
      <t>タカマツミヤハイ</t>
    </rPh>
    <phoneticPr fontId="4"/>
  </si>
  <si>
    <t>浅地</t>
    <rPh sb="0" eb="2">
      <t>アサジ</t>
    </rPh>
    <phoneticPr fontId="4"/>
  </si>
  <si>
    <t>岸和田</t>
    <rPh sb="0" eb="3">
      <t>キシワダ</t>
    </rPh>
    <phoneticPr fontId="4"/>
  </si>
  <si>
    <t>高田　裕都</t>
    <rPh sb="0" eb="2">
      <t>タカダ</t>
    </rPh>
    <rPh sb="3" eb="4">
      <t>ヒロシ</t>
    </rPh>
    <rPh sb="4" eb="5">
      <t>ミヤコ</t>
    </rPh>
    <phoneticPr fontId="4"/>
  </si>
  <si>
    <t>高田</t>
    <rPh sb="0" eb="2">
      <t>タカダ</t>
    </rPh>
    <phoneticPr fontId="4"/>
  </si>
  <si>
    <t>窪田　和弘</t>
    <phoneticPr fontId="4"/>
  </si>
  <si>
    <t>年休</t>
  </si>
  <si>
    <t>窪田</t>
    <phoneticPr fontId="4"/>
  </si>
  <si>
    <t>shoumei</t>
    <phoneticPr fontId="4"/>
  </si>
  <si>
    <t>山岡　宗馬</t>
    <rPh sb="0" eb="2">
      <t>ヤマオカ</t>
    </rPh>
    <rPh sb="3" eb="4">
      <t>ソウ</t>
    </rPh>
    <rPh sb="4" eb="5">
      <t>ウマ</t>
    </rPh>
    <phoneticPr fontId="4"/>
  </si>
  <si>
    <t>マスター</t>
    <phoneticPr fontId="4"/>
  </si>
  <si>
    <t>山岡</t>
    <rPh sb="0" eb="2">
      <t>ヤマオカ</t>
    </rPh>
    <phoneticPr fontId="4"/>
  </si>
  <si>
    <t>泊り</t>
    <rPh sb="0" eb="1">
      <t>トマ</t>
    </rPh>
    <phoneticPr fontId="4"/>
  </si>
  <si>
    <t>あけ</t>
    <phoneticPr fontId="4"/>
  </si>
  <si>
    <t>加藤　裕視</t>
    <rPh sb="0" eb="2">
      <t>カトウ</t>
    </rPh>
    <rPh sb="3" eb="4">
      <t>ユウ</t>
    </rPh>
    <rPh sb="4" eb="5">
      <t>シチョウ</t>
    </rPh>
    <phoneticPr fontId="4"/>
  </si>
  <si>
    <t>ミヤネ屋</t>
    <rPh sb="3" eb="4">
      <t>ヤ</t>
    </rPh>
    <phoneticPr fontId="4"/>
  </si>
  <si>
    <t>加藤</t>
    <rPh sb="0" eb="2">
      <t>カトウ</t>
    </rPh>
    <phoneticPr fontId="4"/>
  </si>
  <si>
    <t>野口　忠繁</t>
    <rPh sb="0" eb="2">
      <t>ノグチ</t>
    </rPh>
    <rPh sb="3" eb="4">
      <t>タダシ</t>
    </rPh>
    <rPh sb="4" eb="5">
      <t>シゲル</t>
    </rPh>
    <phoneticPr fontId="4"/>
  </si>
  <si>
    <t>人事配信</t>
  </si>
  <si>
    <t>年休</t>
    <phoneticPr fontId="4"/>
  </si>
  <si>
    <t>野口</t>
    <rPh sb="0" eb="2">
      <t>ノグチ</t>
    </rPh>
    <phoneticPr fontId="4"/>
  </si>
  <si>
    <t>ＴＤ’</t>
    <phoneticPr fontId="4"/>
  </si>
  <si>
    <t>ＴＤ.SW</t>
    <phoneticPr fontId="4"/>
  </si>
  <si>
    <t>下見</t>
    <rPh sb="0" eb="2">
      <t>シタミ</t>
    </rPh>
    <phoneticPr fontId="4"/>
  </si>
  <si>
    <t>堂免　高志</t>
    <rPh sb="0" eb="1">
      <t>ドウ</t>
    </rPh>
    <rPh sb="1" eb="2">
      <t>メン</t>
    </rPh>
    <rPh sb="3" eb="5">
      <t>タカシ</t>
    </rPh>
    <phoneticPr fontId="4"/>
  </si>
  <si>
    <t>マスター</t>
  </si>
  <si>
    <t>音道楽</t>
    <rPh sb="0" eb="3">
      <t>オトドウラク</t>
    </rPh>
    <phoneticPr fontId="4"/>
  </si>
  <si>
    <t>地球便</t>
  </si>
  <si>
    <t>堂免</t>
    <rPh sb="0" eb="2">
      <t>ドウメン</t>
    </rPh>
    <phoneticPr fontId="4"/>
  </si>
  <si>
    <t>LD'</t>
  </si>
  <si>
    <t>5/30分</t>
  </si>
  <si>
    <t>正木　良</t>
  </si>
  <si>
    <t>読響</t>
    <rPh sb="0" eb="2">
      <t>ヨミキョウ</t>
    </rPh>
    <phoneticPr fontId="4"/>
  </si>
  <si>
    <t>正木</t>
    <rPh sb="0" eb="2">
      <t>マサキ</t>
    </rPh>
    <phoneticPr fontId="4"/>
  </si>
  <si>
    <t>ﾘﾊｰｻﾙ</t>
    <phoneticPr fontId="4"/>
  </si>
  <si>
    <t>大矢　晃平</t>
    <phoneticPr fontId="4"/>
  </si>
  <si>
    <t>NTV応援</t>
    <rPh sb="3" eb="5">
      <t>オウエン</t>
    </rPh>
    <phoneticPr fontId="4"/>
  </si>
  <si>
    <t>ten中継</t>
  </si>
  <si>
    <t>大矢</t>
    <rPh sb="0" eb="2">
      <t>オオヤ</t>
    </rPh>
    <phoneticPr fontId="4"/>
  </si>
  <si>
    <t>サッカー</t>
    <phoneticPr fontId="4"/>
  </si>
  <si>
    <t>5/3分</t>
    <rPh sb="3" eb="4">
      <t>ブン</t>
    </rPh>
    <phoneticPr fontId="4"/>
  </si>
  <si>
    <t>ＳＷ’</t>
    <phoneticPr fontId="4"/>
  </si>
  <si>
    <t>池永　裕一</t>
    <rPh sb="0" eb="5">
      <t>イケナガ</t>
    </rPh>
    <phoneticPr fontId="4"/>
  </si>
  <si>
    <t>機材整備</t>
    <rPh sb="0" eb="2">
      <t>キザイ</t>
    </rPh>
    <rPh sb="2" eb="4">
      <t>セイビ</t>
    </rPh>
    <phoneticPr fontId="4"/>
  </si>
  <si>
    <t>池永</t>
    <rPh sb="0" eb="2">
      <t>イケナガ</t>
    </rPh>
    <phoneticPr fontId="4"/>
  </si>
  <si>
    <t>収録</t>
    <rPh sb="0" eb="2">
      <t>シュウロク</t>
    </rPh>
    <phoneticPr fontId="4"/>
  </si>
  <si>
    <t>ＭＩＸ2</t>
    <phoneticPr fontId="4"/>
  </si>
  <si>
    <t>ＴＤ.MIX</t>
    <phoneticPr fontId="4"/>
  </si>
  <si>
    <t>古門　優弥</t>
    <rPh sb="0" eb="2">
      <t>フルカド</t>
    </rPh>
    <rPh sb="3" eb="5">
      <t>ユウヤ</t>
    </rPh>
    <phoneticPr fontId="4"/>
  </si>
  <si>
    <t>Interop</t>
    <phoneticPr fontId="4"/>
  </si>
  <si>
    <t>Interop</t>
  </si>
  <si>
    <t>古門</t>
    <rPh sb="0" eb="2">
      <t>フルカド</t>
    </rPh>
    <phoneticPr fontId="4"/>
  </si>
  <si>
    <t>酒井　宏樹</t>
    <phoneticPr fontId="4"/>
  </si>
  <si>
    <t>酒井</t>
    <rPh sb="0" eb="2">
      <t>サカイ</t>
    </rPh>
    <phoneticPr fontId="4"/>
  </si>
  <si>
    <t>ＭＩＸ’</t>
    <phoneticPr fontId="4"/>
  </si>
  <si>
    <t>鷲津繁比古</t>
    <phoneticPr fontId="4"/>
  </si>
  <si>
    <t>鷲津</t>
  </si>
  <si>
    <t>協会</t>
  </si>
  <si>
    <t>出口　雅樹</t>
    <rPh sb="0" eb="2">
      <t>デグチ</t>
    </rPh>
    <rPh sb="3" eb="5">
      <t>マサキ</t>
    </rPh>
    <phoneticPr fontId="4"/>
  </si>
  <si>
    <t>代休</t>
    <phoneticPr fontId="4"/>
  </si>
  <si>
    <t>出口</t>
    <rPh sb="0" eb="2">
      <t>デグチ</t>
    </rPh>
    <phoneticPr fontId="4"/>
  </si>
  <si>
    <t>※ 5/30</t>
    <phoneticPr fontId="4"/>
  </si>
  <si>
    <t>※ 5/31</t>
    <phoneticPr fontId="4"/>
  </si>
  <si>
    <t>橋本　樹</t>
    <phoneticPr fontId="4"/>
  </si>
  <si>
    <t>番審</t>
    <phoneticPr fontId="4"/>
  </si>
  <si>
    <t>一陸特</t>
    <rPh sb="0" eb="1">
      <t>イチ</t>
    </rPh>
    <rPh sb="1" eb="2">
      <t>リク</t>
    </rPh>
    <rPh sb="2" eb="3">
      <t>トク</t>
    </rPh>
    <phoneticPr fontId="4"/>
  </si>
  <si>
    <t>鳥特機</t>
    <rPh sb="0" eb="1">
      <t>トリ</t>
    </rPh>
    <rPh sb="1" eb="3">
      <t>トッキ</t>
    </rPh>
    <phoneticPr fontId="4"/>
  </si>
  <si>
    <t>橋本</t>
    <rPh sb="0" eb="2">
      <t>ハシモト</t>
    </rPh>
    <phoneticPr fontId="4"/>
  </si>
  <si>
    <t>ＥＮＧ</t>
    <phoneticPr fontId="4"/>
  </si>
  <si>
    <t>小曽根千穂</t>
    <rPh sb="0" eb="3">
      <t>コソネ</t>
    </rPh>
    <rPh sb="3" eb="5">
      <t>チホ</t>
    </rPh>
    <phoneticPr fontId="4"/>
  </si>
  <si>
    <t>小曽根</t>
    <rPh sb="0" eb="3">
      <t>コソネ</t>
    </rPh>
    <phoneticPr fontId="4"/>
  </si>
  <si>
    <t>ＡＵＸ</t>
    <phoneticPr fontId="4"/>
  </si>
  <si>
    <t>出演者</t>
    <rPh sb="0" eb="2">
      <t>シュツエン</t>
    </rPh>
    <rPh sb="2" eb="3">
      <t>シャ</t>
    </rPh>
    <phoneticPr fontId="4"/>
  </si>
  <si>
    <t>中嶋　祥吾</t>
    <rPh sb="0" eb="2">
      <t>ナカジマ</t>
    </rPh>
    <rPh sb="3" eb="5">
      <t>ショウゴ</t>
    </rPh>
    <phoneticPr fontId="4"/>
  </si>
  <si>
    <t>訓練準備</t>
    <rPh sb="0" eb="2">
      <t>クンレン</t>
    </rPh>
    <rPh sb="2" eb="4">
      <t>ジュンビ</t>
    </rPh>
    <phoneticPr fontId="4"/>
  </si>
  <si>
    <t>高松宮杯</t>
    <rPh sb="0" eb="3">
      <t>タカマツミヤ</t>
    </rPh>
    <rPh sb="3" eb="4">
      <t>ハイ</t>
    </rPh>
    <phoneticPr fontId="4"/>
  </si>
  <si>
    <t>中嶋</t>
    <rPh sb="0" eb="2">
      <t>ナカジマ</t>
    </rPh>
    <phoneticPr fontId="4"/>
  </si>
  <si>
    <t>DX会議</t>
    <rPh sb="2" eb="4">
      <t>カイギ</t>
    </rPh>
    <phoneticPr fontId="4"/>
  </si>
  <si>
    <t>ﾍﾘ訓練TD</t>
    <phoneticPr fontId="4"/>
  </si>
  <si>
    <t>ﾍﾘ訓練TD</t>
    <rPh sb="2" eb="4">
      <t>クンレン</t>
    </rPh>
    <phoneticPr fontId="4"/>
  </si>
  <si>
    <t>矢野　鼓子</t>
    <rPh sb="0" eb="1">
      <t>ヤ</t>
    </rPh>
    <rPh sb="1" eb="2">
      <t>ノ</t>
    </rPh>
    <rPh sb="3" eb="4">
      <t>ツヅミ</t>
    </rPh>
    <rPh sb="4" eb="5">
      <t>コ</t>
    </rPh>
    <phoneticPr fontId="4"/>
  </si>
  <si>
    <t>────</t>
  </si>
  <si>
    <t>──　　</t>
  </si>
  <si>
    <t>矢野</t>
    <rPh sb="0" eb="2">
      <t>ヤノ</t>
    </rPh>
    <phoneticPr fontId="4"/>
  </si>
  <si>
    <t>ＶＥ</t>
    <phoneticPr fontId="4"/>
  </si>
  <si>
    <t>山本　瑛悟</t>
    <rPh sb="0" eb="2">
      <t>ヤマモト</t>
    </rPh>
    <rPh sb="3" eb="5">
      <t>エイゴ</t>
    </rPh>
    <phoneticPr fontId="4"/>
  </si>
  <si>
    <t>送信</t>
    <rPh sb="0" eb="2">
      <t>ソウシン</t>
    </rPh>
    <phoneticPr fontId="4"/>
  </si>
  <si>
    <t>山本</t>
    <rPh sb="0" eb="2">
      <t>ヤマモト</t>
    </rPh>
    <phoneticPr fontId="4"/>
  </si>
  <si>
    <t>前泊</t>
    <phoneticPr fontId="4"/>
  </si>
  <si>
    <t>和田山局</t>
    <phoneticPr fontId="4"/>
  </si>
  <si>
    <t>予備日</t>
    <phoneticPr fontId="4"/>
  </si>
  <si>
    <t>ＣＡＭ'</t>
    <phoneticPr fontId="4"/>
  </si>
  <si>
    <t>本社泊</t>
    <phoneticPr fontId="4"/>
  </si>
  <si>
    <t>明け</t>
    <rPh sb="0" eb="1">
      <t>アケ</t>
    </rPh>
    <phoneticPr fontId="4"/>
  </si>
  <si>
    <t>ＣＡ</t>
    <phoneticPr fontId="4"/>
  </si>
  <si>
    <t>ＣＡＭ’</t>
    <phoneticPr fontId="4"/>
  </si>
  <si>
    <t>佐藤　翔</t>
    <rPh sb="0" eb="2">
      <t>サトウ</t>
    </rPh>
    <rPh sb="3" eb="4">
      <t>ショウ</t>
    </rPh>
    <phoneticPr fontId="4"/>
  </si>
  <si>
    <t>佐藤</t>
    <rPh sb="0" eb="2">
      <t>サトウ</t>
    </rPh>
    <phoneticPr fontId="4"/>
  </si>
  <si>
    <t>田口　愛梨</t>
    <rPh sb="0" eb="2">
      <t>タグチ</t>
    </rPh>
    <rPh sb="3" eb="4">
      <t>アイ</t>
    </rPh>
    <rPh sb="4" eb="5">
      <t>ナシ</t>
    </rPh>
    <phoneticPr fontId="4"/>
  </si>
  <si>
    <t>田口</t>
    <rPh sb="0" eb="2">
      <t>タグチ</t>
    </rPh>
    <phoneticPr fontId="4"/>
  </si>
  <si>
    <t>柴田　涼平</t>
    <rPh sb="0" eb="2">
      <t>シバタ</t>
    </rPh>
    <rPh sb="3" eb="5">
      <t>リョウヘイ</t>
    </rPh>
    <phoneticPr fontId="4"/>
  </si>
  <si>
    <t>柴田</t>
    <rPh sb="0" eb="2">
      <t>シバタ</t>
    </rPh>
    <phoneticPr fontId="4"/>
  </si>
  <si>
    <t>ＶＥ′</t>
    <phoneticPr fontId="4"/>
  </si>
  <si>
    <t>ＶＥ′</t>
  </si>
  <si>
    <t>座談会</t>
    <rPh sb="0" eb="3">
      <t>ザダンカイ</t>
    </rPh>
    <phoneticPr fontId="4"/>
  </si>
  <si>
    <t>′</t>
    <phoneticPr fontId="4"/>
  </si>
  <si>
    <t>谷口　英雄</t>
    <rPh sb="0" eb="2">
      <t>タニグチ</t>
    </rPh>
    <rPh sb="3" eb="5">
      <t>ヒデオ</t>
    </rPh>
    <phoneticPr fontId="4"/>
  </si>
  <si>
    <t>谷口</t>
    <rPh sb="0" eb="2">
      <t>タニグチ</t>
    </rPh>
    <phoneticPr fontId="4"/>
  </si>
  <si>
    <t>松本　学</t>
  </si>
  <si>
    <t>松本</t>
    <rPh sb="0" eb="2">
      <t>マツモト</t>
    </rPh>
    <phoneticPr fontId="4"/>
  </si>
  <si>
    <t>ＣＡＭ</t>
  </si>
  <si>
    <t>松下　英男</t>
    <rPh sb="0" eb="2">
      <t>マツシタ</t>
    </rPh>
    <rPh sb="3" eb="5">
      <t>ヒデオ</t>
    </rPh>
    <phoneticPr fontId="4"/>
  </si>
  <si>
    <t>昼NTD</t>
    <rPh sb="0" eb="1">
      <t>ヒル</t>
    </rPh>
    <phoneticPr fontId="4"/>
  </si>
  <si>
    <t>ﾍﾘ訓練VE</t>
    <phoneticPr fontId="4"/>
  </si>
  <si>
    <t>松下</t>
    <rPh sb="0" eb="2">
      <t>マツシタ</t>
    </rPh>
    <phoneticPr fontId="4"/>
  </si>
  <si>
    <t>TD/VEG</t>
    <phoneticPr fontId="4"/>
  </si>
  <si>
    <t>昼NTD</t>
    <phoneticPr fontId="4"/>
  </si>
  <si>
    <t>ミヤネ屋TD</t>
    <rPh sb="3" eb="4">
      <t>ヤ</t>
    </rPh>
    <phoneticPr fontId="4"/>
  </si>
  <si>
    <t>ミヤTD</t>
    <phoneticPr fontId="4"/>
  </si>
  <si>
    <t>藤井　一也</t>
    <rPh sb="0" eb="5">
      <t>フジイ</t>
    </rPh>
    <phoneticPr fontId="4"/>
  </si>
  <si>
    <t>藤井一</t>
    <rPh sb="0" eb="2">
      <t>フジイ</t>
    </rPh>
    <rPh sb="2" eb="3">
      <t>ハジメ</t>
    </rPh>
    <phoneticPr fontId="4"/>
  </si>
  <si>
    <t>hensyu</t>
  </si>
  <si>
    <t>井ノ口鉱三</t>
    <rPh sb="0" eb="1">
      <t>イ</t>
    </rPh>
    <rPh sb="2" eb="3">
      <t>クチ</t>
    </rPh>
    <rPh sb="3" eb="4">
      <t>コウ</t>
    </rPh>
    <rPh sb="4" eb="5">
      <t>３</t>
    </rPh>
    <phoneticPr fontId="4"/>
  </si>
  <si>
    <t>井ノ口</t>
  </si>
  <si>
    <t>西山　貴宣</t>
    <rPh sb="0" eb="5">
      <t>ニシヤマ</t>
    </rPh>
    <phoneticPr fontId="4"/>
  </si>
  <si>
    <t>西山</t>
    <rPh sb="0" eb="2">
      <t>ニシヤマ</t>
    </rPh>
    <phoneticPr fontId="4"/>
  </si>
  <si>
    <t>松久保雄哉</t>
    <rPh sb="0" eb="3">
      <t>マツクボ</t>
    </rPh>
    <rPh sb="3" eb="5">
      <t>ユウヤ</t>
    </rPh>
    <phoneticPr fontId="4"/>
  </si>
  <si>
    <t>杉本　麻也</t>
  </si>
  <si>
    <t>年</t>
    <rPh sb="0" eb="1">
      <t>ネン</t>
    </rPh>
    <phoneticPr fontId="4"/>
  </si>
  <si>
    <t>杉本</t>
    <phoneticPr fontId="4"/>
  </si>
  <si>
    <t>池見　憲一</t>
    <rPh sb="0" eb="2">
      <t>イケミ</t>
    </rPh>
    <rPh sb="3" eb="5">
      <t>ケンイチ</t>
    </rPh>
    <phoneticPr fontId="4"/>
  </si>
  <si>
    <t>池見</t>
    <rPh sb="0" eb="2">
      <t>イケミ</t>
    </rPh>
    <phoneticPr fontId="4"/>
  </si>
  <si>
    <t>籠池　由浩</t>
    <rPh sb="0" eb="2">
      <t>カゴイケ</t>
    </rPh>
    <rPh sb="3" eb="5">
      <t>ヨシヒロ</t>
    </rPh>
    <phoneticPr fontId="4"/>
  </si>
  <si>
    <t>籠池</t>
    <rPh sb="0" eb="2">
      <t>カゴイケ</t>
    </rPh>
    <phoneticPr fontId="4"/>
  </si>
  <si>
    <t>小野木　晋</t>
    <rPh sb="0" eb="2">
      <t>オノ</t>
    </rPh>
    <rPh sb="2" eb="3">
      <t>キ</t>
    </rPh>
    <rPh sb="4" eb="5">
      <t>ススム</t>
    </rPh>
    <phoneticPr fontId="4"/>
  </si>
  <si>
    <t>小野木</t>
    <rPh sb="0" eb="2">
      <t>オノ</t>
    </rPh>
    <rPh sb="2" eb="3">
      <t>キ</t>
    </rPh>
    <phoneticPr fontId="4"/>
  </si>
  <si>
    <t>じゅっと</t>
    <phoneticPr fontId="7"/>
  </si>
  <si>
    <t>クギズケ</t>
    <phoneticPr fontId="7"/>
  </si>
  <si>
    <t>ミヤネ屋</t>
    <phoneticPr fontId="7"/>
  </si>
  <si>
    <t>吉田粗品</t>
    <phoneticPr fontId="7"/>
  </si>
  <si>
    <t>声</t>
    <phoneticPr fontId="7"/>
  </si>
  <si>
    <t>ノビしろ</t>
    <phoneticPr fontId="7"/>
  </si>
  <si>
    <t>生放送</t>
    <phoneticPr fontId="7"/>
  </si>
  <si>
    <t>うさかめ</t>
    <phoneticPr fontId="7"/>
  </si>
  <si>
    <t>ジグザグ</t>
    <phoneticPr fontId="7"/>
  </si>
  <si>
    <t>ほんわか</t>
    <phoneticPr fontId="7"/>
  </si>
  <si>
    <t>音道楽</t>
    <phoneticPr fontId="7"/>
  </si>
  <si>
    <t>委員会</t>
    <phoneticPr fontId="7"/>
  </si>
  <si>
    <t>土ダメ</t>
    <phoneticPr fontId="7"/>
  </si>
  <si>
    <t>NT</t>
    <phoneticPr fontId="7"/>
  </si>
  <si>
    <t>ｔｅｎ！</t>
    <phoneticPr fontId="7"/>
  </si>
  <si>
    <t>関西ﾓﾃﾞﾙ</t>
    <phoneticPr fontId="7"/>
  </si>
  <si>
    <t>ﾍﾘ訓練</t>
    <phoneticPr fontId="7"/>
  </si>
  <si>
    <t>読響</t>
    <phoneticPr fontId="7"/>
  </si>
  <si>
    <t>X Games</t>
    <phoneticPr fontId="7"/>
  </si>
  <si>
    <t>NTV幕張</t>
    <phoneticPr fontId="7"/>
  </si>
  <si>
    <t>地球便</t>
    <phoneticPr fontId="7"/>
  </si>
  <si>
    <t>しんご芽</t>
    <phoneticPr fontId="7"/>
  </si>
  <si>
    <t>2st</t>
    <phoneticPr fontId="7"/>
  </si>
  <si>
    <t>ten中継</t>
    <phoneticPr fontId="7"/>
  </si>
  <si>
    <t>Jｱﾗｰﾄ</t>
    <phoneticPr fontId="7"/>
  </si>
  <si>
    <t>EXP</t>
    <phoneticPr fontId="7"/>
  </si>
  <si>
    <t>東通</t>
    <phoneticPr fontId="7"/>
  </si>
  <si>
    <t>高松宮杯</t>
    <phoneticPr fontId="7"/>
  </si>
  <si>
    <t>MUSICDAY</t>
    <phoneticPr fontId="7"/>
  </si>
  <si>
    <t>鳴動試験</t>
    <phoneticPr fontId="7"/>
  </si>
  <si>
    <t>ﾊﾟｰﾙｶｯﾌﾟ</t>
    <phoneticPr fontId="7"/>
  </si>
  <si>
    <t>NTV応援</t>
    <phoneticPr fontId="7"/>
  </si>
  <si>
    <t>人事配信</t>
    <phoneticPr fontId="7"/>
  </si>
  <si>
    <t>　　──</t>
    <phoneticPr fontId="7"/>
  </si>
  <si>
    <t>しんご芽</t>
  </si>
  <si>
    <t>NexTry</t>
  </si>
  <si>
    <t>別途</t>
    <rPh sb="0" eb="2">
      <t>ベット</t>
    </rPh>
    <phoneticPr fontId="7"/>
  </si>
  <si>
    <t>ALL(SW4)</t>
  </si>
  <si>
    <t>ALL(SW5)</t>
  </si>
  <si>
    <t>ALL(SW3)</t>
  </si>
  <si>
    <t>SW3</t>
    <phoneticPr fontId="7"/>
  </si>
  <si>
    <t>EXP</t>
  </si>
  <si>
    <t>東通</t>
  </si>
  <si>
    <t>NexTry１</t>
    <phoneticPr fontId="7"/>
  </si>
  <si>
    <t>MIX+AA2</t>
  </si>
  <si>
    <t>AA2</t>
    <phoneticPr fontId="7"/>
  </si>
  <si>
    <t>NexTry２</t>
    <phoneticPr fontId="7"/>
  </si>
  <si>
    <t>AA1</t>
    <phoneticPr fontId="7"/>
  </si>
  <si>
    <t>ＭＩＸ</t>
    <phoneticPr fontId="7"/>
  </si>
  <si>
    <t>MIX+AA3</t>
    <phoneticPr fontId="7"/>
  </si>
  <si>
    <t>NexTry３</t>
    <phoneticPr fontId="7"/>
  </si>
  <si>
    <t>MIX+AA1</t>
    <phoneticPr fontId="7"/>
  </si>
  <si>
    <t>NexTry４</t>
    <phoneticPr fontId="7"/>
  </si>
  <si>
    <t>NexTry５</t>
    <phoneticPr fontId="7"/>
  </si>
  <si>
    <t>NexTry６</t>
    <phoneticPr fontId="7"/>
  </si>
  <si>
    <t>MIX+AA1</t>
  </si>
  <si>
    <t>PA</t>
    <phoneticPr fontId="7"/>
  </si>
  <si>
    <t>ｴｷｽﾌﾟﾚｽ１</t>
    <phoneticPr fontId="7"/>
  </si>
  <si>
    <t>ｴｷｽ１</t>
    <phoneticPr fontId="7"/>
  </si>
  <si>
    <t>ｴｷｽﾌﾟﾚｽ２</t>
    <phoneticPr fontId="7"/>
  </si>
  <si>
    <t>ｴｷｽ２</t>
    <phoneticPr fontId="7"/>
  </si>
  <si>
    <t>ｴｷｽﾌﾟﾚｽ３</t>
    <phoneticPr fontId="7"/>
  </si>
  <si>
    <t>ｴｷｽ３</t>
    <phoneticPr fontId="7"/>
  </si>
  <si>
    <t>東通１</t>
    <rPh sb="0" eb="1">
      <t>トウ</t>
    </rPh>
    <rPh sb="1" eb="2">
      <t>ツウ</t>
    </rPh>
    <phoneticPr fontId="7"/>
  </si>
  <si>
    <t>MIX+AA2</t>
    <phoneticPr fontId="7"/>
  </si>
  <si>
    <t>東通２</t>
    <phoneticPr fontId="7"/>
  </si>
  <si>
    <t>SAプロ１</t>
    <phoneticPr fontId="7"/>
  </si>
  <si>
    <t>SAﾌﾟﾛ１</t>
    <phoneticPr fontId="7"/>
  </si>
  <si>
    <t>備考</t>
    <rPh sb="0" eb="2">
      <t>ビコウ</t>
    </rPh>
    <phoneticPr fontId="7"/>
  </si>
  <si>
    <t>(WL使用</t>
    <phoneticPr fontId="7"/>
  </si>
  <si>
    <t>(WL使用</t>
    <rPh sb="3" eb="5">
      <t>シヨウ</t>
    </rPh>
    <phoneticPr fontId="7"/>
  </si>
  <si>
    <t>連絡等)</t>
    <rPh sb="0" eb="2">
      <t>レンラク</t>
    </rPh>
    <rPh sb="2" eb="3">
      <t>トウ</t>
    </rPh>
    <phoneticPr fontId="7"/>
  </si>
  <si>
    <t>じゅっと</t>
    <phoneticPr fontId="6"/>
  </si>
  <si>
    <t>クギズケ</t>
    <phoneticPr fontId="6"/>
  </si>
  <si>
    <t>ミヤネ屋</t>
    <phoneticPr fontId="6"/>
  </si>
  <si>
    <t>吉田粗品</t>
    <phoneticPr fontId="6"/>
  </si>
  <si>
    <t>声</t>
    <phoneticPr fontId="6"/>
  </si>
  <si>
    <t>ノビしろ</t>
    <phoneticPr fontId="6"/>
  </si>
  <si>
    <t>生放送</t>
    <phoneticPr fontId="6"/>
  </si>
  <si>
    <t>うさかめ</t>
    <phoneticPr fontId="6"/>
  </si>
  <si>
    <t>ジグザグ</t>
    <phoneticPr fontId="6"/>
  </si>
  <si>
    <t>ほんわか</t>
    <phoneticPr fontId="6"/>
  </si>
  <si>
    <t>音道楽</t>
    <phoneticPr fontId="6"/>
  </si>
  <si>
    <t>委員会</t>
    <phoneticPr fontId="6"/>
  </si>
  <si>
    <t>土ダメ</t>
    <phoneticPr fontId="6"/>
  </si>
  <si>
    <t>NT</t>
    <phoneticPr fontId="6"/>
  </si>
  <si>
    <t>Ｎｓｔ</t>
    <phoneticPr fontId="6"/>
  </si>
  <si>
    <t>ｔｅｎ！</t>
    <phoneticPr fontId="6"/>
  </si>
  <si>
    <t>関西ﾓﾃﾞﾙ</t>
    <phoneticPr fontId="6"/>
  </si>
  <si>
    <t>ﾍﾘ訓練</t>
    <phoneticPr fontId="6"/>
  </si>
  <si>
    <t>４サブ</t>
    <phoneticPr fontId="6"/>
  </si>
  <si>
    <t>読響</t>
    <phoneticPr fontId="6"/>
  </si>
  <si>
    <t>X Games</t>
    <phoneticPr fontId="6"/>
  </si>
  <si>
    <t>NTV幕張</t>
    <phoneticPr fontId="6"/>
  </si>
  <si>
    <t>地球便</t>
    <phoneticPr fontId="6"/>
  </si>
  <si>
    <t>しんご芽</t>
    <phoneticPr fontId="6"/>
  </si>
  <si>
    <t>2st</t>
    <phoneticPr fontId="6"/>
  </si>
  <si>
    <t>ten中継</t>
    <phoneticPr fontId="6"/>
  </si>
  <si>
    <t>Jｱﾗｰﾄ</t>
    <phoneticPr fontId="6"/>
  </si>
  <si>
    <t>EXP</t>
    <phoneticPr fontId="6"/>
  </si>
  <si>
    <t>東通</t>
    <phoneticPr fontId="6"/>
  </si>
  <si>
    <t>高松宮杯</t>
    <phoneticPr fontId="6"/>
  </si>
  <si>
    <t>MUSICDAY</t>
    <phoneticPr fontId="6"/>
  </si>
  <si>
    <t>鳴動試験</t>
    <phoneticPr fontId="6"/>
  </si>
  <si>
    <t>ﾊﾟｰﾙｶｯﾌﾟ</t>
    <phoneticPr fontId="6"/>
  </si>
  <si>
    <t>NTV応援</t>
    <phoneticPr fontId="6"/>
  </si>
  <si>
    <t>人事配信</t>
    <phoneticPr fontId="6"/>
  </si>
  <si>
    <t>　　──</t>
    <phoneticPr fontId="6"/>
  </si>
  <si>
    <t>NT</t>
  </si>
  <si>
    <t>東通</t>
    <rPh sb="0" eb="2">
      <t>トウツウ</t>
    </rPh>
    <phoneticPr fontId="6"/>
  </si>
  <si>
    <t>外注</t>
    <rPh sb="0" eb="2">
      <t>ガイチュウ</t>
    </rPh>
    <phoneticPr fontId="6"/>
  </si>
  <si>
    <t>ミヤネ屋</t>
    <rPh sb="3" eb="4">
      <t>ヤ</t>
    </rPh>
    <phoneticPr fontId="6"/>
  </si>
  <si>
    <t>備考</t>
    <rPh sb="0" eb="2">
      <t>ビコウ</t>
    </rPh>
    <phoneticPr fontId="6"/>
  </si>
  <si>
    <t>備考</t>
    <phoneticPr fontId="7"/>
  </si>
  <si>
    <t>１ＥＤ</t>
    <phoneticPr fontId="6"/>
  </si>
  <si>
    <t>telop</t>
    <phoneticPr fontId="6"/>
  </si>
  <si>
    <t>２ＥＤ</t>
    <phoneticPr fontId="6"/>
  </si>
  <si>
    <t>４サブ</t>
  </si>
  <si>
    <t>編集準備室</t>
    <rPh sb="0" eb="2">
      <t>ヘンシュウ</t>
    </rPh>
    <rPh sb="2" eb="5">
      <t>ジュンビシツ</t>
    </rPh>
    <phoneticPr fontId="6"/>
  </si>
  <si>
    <t>準備室</t>
    <rPh sb="0" eb="3">
      <t>ジュンビシツ</t>
    </rPh>
    <phoneticPr fontId="6"/>
  </si>
  <si>
    <t>会議</t>
    <phoneticPr fontId="6"/>
  </si>
  <si>
    <t>宿泊ALL</t>
    <rPh sb="0" eb="2">
      <t>シュクハク</t>
    </rPh>
    <phoneticPr fontId="7"/>
  </si>
  <si>
    <t>泊</t>
    <rPh sb="0" eb="1">
      <t>ハク</t>
    </rPh>
    <phoneticPr fontId="7"/>
  </si>
  <si>
    <t>N</t>
    <phoneticPr fontId="7"/>
  </si>
  <si>
    <t>te</t>
    <phoneticPr fontId="7"/>
  </si>
  <si>
    <t>RD</t>
    <phoneticPr fontId="7"/>
  </si>
  <si>
    <t>ｼﾞｭ</t>
    <phoneticPr fontId="7"/>
  </si>
  <si>
    <t>ｳｪ</t>
    <phoneticPr fontId="7"/>
  </si>
  <si>
    <t>ﾉﾋﾞ</t>
    <phoneticPr fontId="7"/>
  </si>
  <si>
    <t>関西ﾓﾃﾞﾙ</t>
  </si>
  <si>
    <t>ﾍﾘ訓練</t>
  </si>
  <si>
    <t>ｼﾞｭ</t>
  </si>
  <si>
    <t>昼NTD</t>
    <rPh sb="0" eb="1">
      <t>ヒル</t>
    </rPh>
    <phoneticPr fontId="7"/>
  </si>
  <si>
    <t>ミヤネ屋TD</t>
    <rPh sb="3" eb="4">
      <t>ヤ</t>
    </rPh>
    <phoneticPr fontId="7"/>
  </si>
  <si>
    <t>ミヤネ屋</t>
    <rPh sb="3" eb="4">
      <t>ヤ</t>
    </rPh>
    <phoneticPr fontId="7"/>
  </si>
  <si>
    <t>ten調整</t>
    <rPh sb="3" eb="5">
      <t>チョウセイ</t>
    </rPh>
    <phoneticPr fontId="7"/>
  </si>
  <si>
    <t>RD調整</t>
    <rPh sb="2" eb="4">
      <t>チョウセイ</t>
    </rPh>
    <phoneticPr fontId="7"/>
  </si>
  <si>
    <t>昼N</t>
    <rPh sb="0" eb="1">
      <t>ヒル</t>
    </rPh>
    <phoneticPr fontId="7"/>
  </si>
  <si>
    <t>発行</t>
  </si>
  <si>
    <t>月</t>
  </si>
  <si>
    <t>曜</t>
  </si>
  <si>
    <t>Nサブ</t>
  </si>
  <si>
    <t>Ｎサブ泊</t>
    <rPh sb="3" eb="4">
      <t>トマリ</t>
    </rPh>
    <phoneticPr fontId="7"/>
  </si>
  <si>
    <t>TEN!TD</t>
    <phoneticPr fontId="7"/>
  </si>
  <si>
    <t>TEN!R</t>
    <phoneticPr fontId="7"/>
  </si>
  <si>
    <t>NｻﾌﾞTD補</t>
    <rPh sb="6" eb="7">
      <t>ホ</t>
    </rPh>
    <phoneticPr fontId="7"/>
  </si>
  <si>
    <t>加藤</t>
  </si>
  <si>
    <t>正木</t>
  </si>
  <si>
    <t>山岡</t>
  </si>
  <si>
    <t>高田</t>
  </si>
  <si>
    <t>浅地</t>
  </si>
  <si>
    <t>森本</t>
  </si>
  <si>
    <t>湯川</t>
  </si>
  <si>
    <t>中嶋</t>
  </si>
  <si>
    <t>小池</t>
  </si>
  <si>
    <t>三村</t>
  </si>
  <si>
    <t>坂口裕</t>
  </si>
  <si>
    <t>窪内</t>
  </si>
  <si>
    <t>松下</t>
    <phoneticPr fontId="7"/>
  </si>
  <si>
    <t>沖田</t>
  </si>
  <si>
    <t>鈴木</t>
  </si>
  <si>
    <t>菊地</t>
  </si>
  <si>
    <t>藤井</t>
  </si>
  <si>
    <t>大矢</t>
  </si>
  <si>
    <t>松下</t>
  </si>
  <si>
    <t>※人事異動・担務変更があった時はAB列のみ入力が必要</t>
    <rPh sb="1" eb="5">
      <t>ジンジイドウ</t>
    </rPh>
    <rPh sb="6" eb="8">
      <t>タンム</t>
    </rPh>
    <rPh sb="8" eb="10">
      <t>ヘンコウ</t>
    </rPh>
    <rPh sb="14" eb="15">
      <t>トキ</t>
    </rPh>
    <rPh sb="18" eb="19">
      <t>レツ</t>
    </rPh>
    <rPh sb="21" eb="23">
      <t>ニュウリョク</t>
    </rPh>
    <rPh sb="24" eb="26">
      <t>ヒツヨウ</t>
    </rPh>
    <phoneticPr fontId="27"/>
  </si>
  <si>
    <t>　　　　　　　　　　　　　　　　　　　　　　　　　　　　　　　　　　　　　　　　　　　　　　　　　　　　　　　　　　　　　　　　　　　　　　　　　　　　　　　　　　　　　　　　　　　　　　　　　　　　　　　</t>
  </si>
  <si>
    <t>Nextry</t>
    <phoneticPr fontId="1"/>
  </si>
  <si>
    <t>EXP</t>
    <phoneticPr fontId="1"/>
  </si>
  <si>
    <t>東通</t>
    <rPh sb="0" eb="1">
      <t>トウ</t>
    </rPh>
    <rPh sb="1" eb="2">
      <t>ツウ</t>
    </rPh>
    <phoneticPr fontId="1"/>
  </si>
  <si>
    <t>ＳＡプロ</t>
    <phoneticPr fontId="1"/>
  </si>
  <si>
    <t>番組名</t>
  </si>
  <si>
    <t>TD</t>
  </si>
  <si>
    <t>SW</t>
  </si>
  <si>
    <t>CAM</t>
  </si>
  <si>
    <t>VTR</t>
  </si>
  <si>
    <t>MIX</t>
  </si>
  <si>
    <t>AA</t>
  </si>
  <si>
    <t>LD</t>
  </si>
  <si>
    <t>SC</t>
  </si>
  <si>
    <t>μSNG</t>
  </si>
  <si>
    <t>SW</t>
    <phoneticPr fontId="1"/>
  </si>
  <si>
    <t>CAM</t>
    <phoneticPr fontId="1"/>
  </si>
  <si>
    <t>CA</t>
    <phoneticPr fontId="1"/>
  </si>
  <si>
    <t>VE</t>
    <phoneticPr fontId="1"/>
  </si>
  <si>
    <t xml:space="preserve">MIX </t>
    <phoneticPr fontId="1"/>
  </si>
  <si>
    <t>AA</t>
    <phoneticPr fontId="1"/>
  </si>
  <si>
    <t>PA</t>
    <phoneticPr fontId="1"/>
  </si>
  <si>
    <t>VTR</t>
    <phoneticPr fontId="1"/>
  </si>
  <si>
    <t>S.C</t>
    <phoneticPr fontId="1"/>
  </si>
  <si>
    <t>河戸</t>
  </si>
  <si>
    <t>出口</t>
  </si>
  <si>
    <t>橋本</t>
  </si>
  <si>
    <t>小曽根</t>
  </si>
  <si>
    <t>酒井</t>
  </si>
  <si>
    <t>池永</t>
  </si>
  <si>
    <t>佐藤</t>
  </si>
  <si>
    <t>ＴＤ兼</t>
  </si>
  <si>
    <t>柴田</t>
  </si>
  <si>
    <t>古門</t>
  </si>
  <si>
    <t>山本</t>
  </si>
  <si>
    <t>野口</t>
  </si>
  <si>
    <t>田口</t>
  </si>
  <si>
    <t>窪田</t>
  </si>
  <si>
    <t>松本</t>
  </si>
  <si>
    <t>池見</t>
  </si>
  <si>
    <t>杉本</t>
  </si>
  <si>
    <t>矢野</t>
  </si>
  <si>
    <t>日</t>
    <rPh sb="0" eb="1">
      <t>ヒ</t>
    </rPh>
    <phoneticPr fontId="1"/>
  </si>
  <si>
    <t>曜</t>
    <rPh sb="0" eb="1">
      <t>ヨウ</t>
    </rPh>
    <phoneticPr fontId="1"/>
  </si>
  <si>
    <t>場所</t>
  </si>
  <si>
    <t>時間</t>
  </si>
  <si>
    <t>ＣＡＭ</t>
    <phoneticPr fontId="1"/>
  </si>
  <si>
    <t>ＣＡ</t>
  </si>
  <si>
    <t>ＶＴＲ</t>
  </si>
  <si>
    <t>Vop</t>
  </si>
  <si>
    <t>ＭＩＸ</t>
  </si>
  <si>
    <t>ＡＡ</t>
  </si>
  <si>
    <t>ＰＡ</t>
  </si>
  <si>
    <t>Ｌop</t>
  </si>
  <si>
    <t>ＳＣ</t>
  </si>
  <si>
    <t>SCop</t>
  </si>
  <si>
    <t>μ/ＳＮＧ</t>
  </si>
  <si>
    <t>ＶＥＸ</t>
  </si>
  <si>
    <t>ＤＲ</t>
  </si>
  <si>
    <t>車両</t>
  </si>
  <si>
    <t>出勤</t>
    <rPh sb="0" eb="2">
      <t>シュッキン</t>
    </rPh>
    <phoneticPr fontId="1"/>
  </si>
  <si>
    <t>本番</t>
    <rPh sb="0" eb="2">
      <t>ホンバン</t>
    </rPh>
    <phoneticPr fontId="1"/>
  </si>
  <si>
    <t>CC</t>
    <phoneticPr fontId="1"/>
  </si>
  <si>
    <t>社</t>
    <rPh sb="0" eb="1">
      <t>シャ</t>
    </rPh>
    <phoneticPr fontId="1"/>
  </si>
  <si>
    <t>数</t>
    <rPh sb="0" eb="1">
      <t>カズ</t>
    </rPh>
    <phoneticPr fontId="1"/>
  </si>
  <si>
    <t>数</t>
  </si>
  <si>
    <t>社</t>
  </si>
  <si>
    <t>N</t>
  </si>
  <si>
    <t>ハ</t>
  </si>
  <si>
    <t>件名</t>
  </si>
  <si>
    <t>開始日</t>
  </si>
  <si>
    <t>開始時刻</t>
  </si>
  <si>
    <t>終了時刻</t>
  </si>
  <si>
    <t>2025/00/01</t>
  </si>
  <si>
    <t>2025/00/02</t>
  </si>
  <si>
    <t>2025/00/03</t>
  </si>
  <si>
    <t>2025/00/04</t>
  </si>
  <si>
    <t>2025/00/05</t>
  </si>
  <si>
    <t>2025/00/06</t>
  </si>
  <si>
    <t>2025/00/07</t>
  </si>
  <si>
    <t>2025/00/08</t>
  </si>
  <si>
    <t>2025/00/09</t>
  </si>
  <si>
    <t>2025/00/10</t>
  </si>
  <si>
    <t>2025/00/11</t>
  </si>
  <si>
    <t>2025/00/12</t>
  </si>
  <si>
    <t>2025/00/13</t>
  </si>
  <si>
    <t>2025/00/14</t>
  </si>
  <si>
    <t>2025/00/15</t>
  </si>
  <si>
    <t>2025/00/16</t>
  </si>
  <si>
    <t>2025/00/17</t>
  </si>
  <si>
    <t>2025/00/18</t>
  </si>
  <si>
    <t>2025/00/19</t>
  </si>
  <si>
    <t>2025/00/20</t>
  </si>
  <si>
    <t>2025/00/21</t>
  </si>
  <si>
    <t>2025/00/22</t>
  </si>
  <si>
    <t>2025/00/23</t>
  </si>
  <si>
    <t>2025/00/24</t>
  </si>
  <si>
    <t>2025/00/25</t>
  </si>
  <si>
    <t>2025/00/26</t>
  </si>
  <si>
    <t>2025/00/27</t>
  </si>
  <si>
    <t>2025/00/28</t>
  </si>
  <si>
    <t>2025/00/29</t>
  </si>
  <si>
    <t>2025/00/30</t>
  </si>
  <si>
    <t>2025/00/31</t>
  </si>
  <si>
    <t>あさイチ</t>
  </si>
  <si>
    <t>晩餐</t>
  </si>
  <si>
    <t>Ｔ−Ｇ</t>
    <phoneticPr fontId="3"/>
  </si>
  <si>
    <t>NsubTD</t>
    <phoneticPr fontId="3"/>
  </si>
  <si>
    <t>ＴＤ</t>
    <phoneticPr fontId="3"/>
  </si>
  <si>
    <t>★★</t>
    <phoneticPr fontId="3"/>
  </si>
  <si>
    <t>あさ＋Ｗ</t>
  </si>
  <si>
    <t>ミニ碁</t>
  </si>
  <si>
    <t>Ｔ−Ｃ</t>
    <phoneticPr fontId="3"/>
  </si>
  <si>
    <t>NsubVE</t>
  </si>
  <si>
    <t>ＳＷ</t>
    <phoneticPr fontId="3"/>
  </si>
  <si>
    <t>★</t>
    <phoneticPr fontId="3"/>
  </si>
  <si>
    <t>ワイド</t>
  </si>
  <si>
    <t>ドクター</t>
  </si>
  <si>
    <t>Ｔ−Ｄ</t>
    <phoneticPr fontId="3"/>
  </si>
  <si>
    <t>　　　━</t>
    <phoneticPr fontId="3"/>
  </si>
  <si>
    <t>ＣＡＭ</t>
    <phoneticPr fontId="3"/>
  </si>
  <si>
    <t>テレヤン</t>
  </si>
  <si>
    <t>グレープ</t>
  </si>
  <si>
    <t>Ｔ−Ｓ</t>
    <phoneticPr fontId="3"/>
  </si>
  <si>
    <t>━　　　</t>
    <phoneticPr fontId="3"/>
  </si>
  <si>
    <t>代休</t>
  </si>
  <si>
    <t>ﾃﾚﾀｲﾑ</t>
  </si>
  <si>
    <t xml:space="preserve">声 </t>
  </si>
  <si>
    <t>Ｔ−ＹＢ</t>
    <phoneticPr fontId="3"/>
  </si>
  <si>
    <t>ズーム</t>
  </si>
  <si>
    <t>特休</t>
  </si>
  <si>
    <t>紅梅亭</t>
  </si>
  <si>
    <t>Ｂu-ＢＷ</t>
    <phoneticPr fontId="3"/>
  </si>
  <si>
    <t>ＳＴＢＹ</t>
  </si>
  <si>
    <t>Ｒ休暇</t>
  </si>
  <si>
    <t>KISSｲﾔ</t>
  </si>
  <si>
    <t>ダウンＴ</t>
  </si>
  <si>
    <t>Ｂｕ−Ｆ</t>
    <phoneticPr fontId="3"/>
  </si>
  <si>
    <t>⋯</t>
  </si>
  <si>
    <t>打合せ</t>
  </si>
  <si>
    <t>Ｗ.ＵＰ</t>
  </si>
  <si>
    <t>特番</t>
  </si>
  <si>
    <t>Ｂｕ−Ｈ</t>
    <phoneticPr fontId="3"/>
  </si>
  <si>
    <t>回試</t>
  </si>
  <si>
    <t>ＥＥＤ</t>
  </si>
  <si>
    <t>下見</t>
  </si>
  <si>
    <t>あさパラ</t>
  </si>
  <si>
    <t>顔出し</t>
  </si>
  <si>
    <t>Ｂｕ−Ｌ</t>
    <phoneticPr fontId="3"/>
  </si>
  <si>
    <t>二段</t>
  </si>
  <si>
    <t>ＳＵＢ</t>
  </si>
  <si>
    <t>会議</t>
  </si>
  <si>
    <t>雪乃丞</t>
  </si>
  <si>
    <t>お天気</t>
  </si>
  <si>
    <t>Ｂｕ−Ｍ</t>
    <phoneticPr fontId="3"/>
  </si>
  <si>
    <t>報待</t>
  </si>
  <si>
    <t>Ｓ.Ｃ</t>
  </si>
  <si>
    <t>研修</t>
  </si>
  <si>
    <t>ダーリン</t>
  </si>
  <si>
    <t>野球</t>
  </si>
  <si>
    <t>ＡＣＥ</t>
  </si>
  <si>
    <t>応援</t>
  </si>
  <si>
    <t>えみぃ</t>
  </si>
  <si>
    <t>Ｊリーグ</t>
  </si>
  <si>
    <t>ＥＮＧ</t>
    <phoneticPr fontId="3"/>
  </si>
  <si>
    <t>トラトラ</t>
  </si>
  <si>
    <t>サッカー</t>
  </si>
  <si>
    <t>ＳＥＴ</t>
  </si>
  <si>
    <t>V＋V</t>
  </si>
  <si>
    <t>アメフト</t>
  </si>
  <si>
    <t>ＴＤ.SW</t>
    <phoneticPr fontId="3"/>
  </si>
  <si>
    <t>V＋L</t>
  </si>
  <si>
    <t>バレー</t>
  </si>
  <si>
    <t>ＴＤ.CAM</t>
    <phoneticPr fontId="3"/>
  </si>
  <si>
    <t>L＋V</t>
  </si>
  <si>
    <t>プロレス</t>
  </si>
  <si>
    <t>ＴＤ.VE</t>
  </si>
  <si>
    <t>BOXING</t>
  </si>
  <si>
    <t>ＴＤ.MIX</t>
  </si>
  <si>
    <t>ゴルフ</t>
  </si>
  <si>
    <t>甲子園</t>
  </si>
  <si>
    <t>ドーム</t>
  </si>
  <si>
    <t>万博</t>
  </si>
  <si>
    <t>長居</t>
  </si>
  <si>
    <t>　　　映</t>
  </si>
  <si>
    <t xml:space="preserve">ユニバー </t>
  </si>
  <si>
    <t>　　　東</t>
  </si>
  <si>
    <t xml:space="preserve">グリーン </t>
  </si>
  <si>
    <t>　　 EXP</t>
  </si>
  <si>
    <t>府立</t>
  </si>
  <si>
    <t>　　　共</t>
  </si>
  <si>
    <t>中央</t>
  </si>
  <si>
    <t>城ホール</t>
    <phoneticPr fontId="3"/>
  </si>
  <si>
    <t>ＣＡＭＥＲＡ</t>
  </si>
  <si>
    <t>クレーン</t>
  </si>
  <si>
    <t>出勤</t>
  </si>
  <si>
    <t>本番</t>
  </si>
  <si>
    <t>勤務</t>
  </si>
  <si>
    <t>Subject</t>
    <phoneticPr fontId="27"/>
  </si>
  <si>
    <t>Start Date</t>
    <phoneticPr fontId="27"/>
  </si>
  <si>
    <t>　　制作技術グループ　　勤務報告書　</t>
    <rPh sb="4" eb="6">
      <t>ギジュツ</t>
    </rPh>
    <phoneticPr fontId="6"/>
  </si>
  <si>
    <t>氏名</t>
  </si>
  <si>
    <t>鈴木　直人</t>
    <phoneticPr fontId="6"/>
  </si>
  <si>
    <t>月　　前半</t>
  </si>
  <si>
    <t>月　　後半</t>
  </si>
  <si>
    <t>日付</t>
  </si>
  <si>
    <t>曜日</t>
  </si>
  <si>
    <t>始業</t>
  </si>
  <si>
    <t>終業</t>
  </si>
  <si>
    <t>泊</t>
  </si>
  <si>
    <t>休日</t>
  </si>
  <si>
    <t>出張</t>
  </si>
  <si>
    <t>日帰</t>
  </si>
  <si>
    <t>勤務内容</t>
  </si>
  <si>
    <t xml:space="preserve">: </t>
  </si>
  <si>
    <t xml:space="preserve">  </t>
  </si>
  <si>
    <t>岳崎　勉</t>
  </si>
  <si>
    <t>窪田　和弘</t>
    <phoneticPr fontId="9"/>
  </si>
  <si>
    <t>大橋　優</t>
    <rPh sb="0" eb="2">
      <t>オオハシ</t>
    </rPh>
    <rPh sb="3" eb="4">
      <t>ユウ</t>
    </rPh>
    <phoneticPr fontId="9"/>
  </si>
  <si>
    <t>澤野　茂</t>
    <rPh sb="0" eb="2">
      <t>サワノ</t>
    </rPh>
    <rPh sb="3" eb="4">
      <t>シゲ</t>
    </rPh>
    <phoneticPr fontId="9"/>
  </si>
  <si>
    <t>但馬　晋二</t>
    <rPh sb="0" eb="2">
      <t>タジマ</t>
    </rPh>
    <rPh sb="3" eb="5">
      <t>シンジ</t>
    </rPh>
    <phoneticPr fontId="9"/>
  </si>
  <si>
    <t>前田　義信</t>
    <rPh sb="0" eb="2">
      <t>マエダ</t>
    </rPh>
    <rPh sb="3" eb="5">
      <t>ヨシノブ</t>
    </rPh>
    <phoneticPr fontId="4"/>
  </si>
  <si>
    <t>福場　清正</t>
    <phoneticPr fontId="9"/>
  </si>
  <si>
    <t>宮川　竜之介</t>
    <rPh sb="0" eb="2">
      <t>ミヤガワ</t>
    </rPh>
    <rPh sb="3" eb="6">
      <t>リュウノスケ</t>
    </rPh>
    <phoneticPr fontId="9"/>
  </si>
  <si>
    <t>千原　徹</t>
    <rPh sb="0" eb="2">
      <t>チハラ</t>
    </rPh>
    <rPh sb="3" eb="4">
      <t>トオル</t>
    </rPh>
    <phoneticPr fontId="9"/>
  </si>
  <si>
    <t>野平　浩二</t>
    <rPh sb="0" eb="2">
      <t>ノヒラ</t>
    </rPh>
    <rPh sb="3" eb="5">
      <t>コウジ</t>
    </rPh>
    <phoneticPr fontId="9"/>
  </si>
  <si>
    <t>奥嶋　駿介</t>
    <rPh sb="0" eb="2">
      <t>オクシマ</t>
    </rPh>
    <rPh sb="3" eb="5">
      <t>シュンスケ</t>
    </rPh>
    <phoneticPr fontId="9"/>
  </si>
  <si>
    <t>小野木　晋</t>
    <rPh sb="0" eb="3">
      <t>オノギ</t>
    </rPh>
    <rPh sb="4" eb="5">
      <t>ススム</t>
    </rPh>
    <phoneticPr fontId="9"/>
  </si>
  <si>
    <t>正木　良</t>
    <rPh sb="0" eb="2">
      <t>マサキ</t>
    </rPh>
    <rPh sb="3" eb="4">
      <t>リョウ</t>
    </rPh>
    <phoneticPr fontId="9"/>
  </si>
  <si>
    <t>村上　和生</t>
    <rPh sb="0" eb="2">
      <t>ムラカミ</t>
    </rPh>
    <rPh sb="3" eb="5">
      <t>カズオ</t>
    </rPh>
    <phoneticPr fontId="9"/>
  </si>
  <si>
    <t>三ツ屋貴友</t>
    <rPh sb="0" eb="1">
      <t>ミ</t>
    </rPh>
    <rPh sb="2" eb="3">
      <t>ヤ</t>
    </rPh>
    <rPh sb="3" eb="4">
      <t>タカ</t>
    </rPh>
    <rPh sb="4" eb="5">
      <t>トモ</t>
    </rPh>
    <phoneticPr fontId="9"/>
  </si>
  <si>
    <t>菊地　健</t>
  </si>
  <si>
    <t>池見　憲一</t>
    <rPh sb="0" eb="1">
      <t>イケ</t>
    </rPh>
    <rPh sb="1" eb="2">
      <t>ミ</t>
    </rPh>
    <rPh sb="3" eb="5">
      <t>ケンイチ</t>
    </rPh>
    <phoneticPr fontId="8"/>
  </si>
  <si>
    <t>吉田　勝</t>
    <rPh sb="0" eb="2">
      <t>ヨシダ</t>
    </rPh>
    <rPh sb="3" eb="4">
      <t>マサ</t>
    </rPh>
    <phoneticPr fontId="9"/>
  </si>
  <si>
    <t>西村　聡</t>
    <rPh sb="0" eb="2">
      <t>ニシムラ</t>
    </rPh>
    <rPh sb="3" eb="4">
      <t>サトシ</t>
    </rPh>
    <phoneticPr fontId="4"/>
  </si>
  <si>
    <t>松尾　昌巳</t>
    <rPh sb="0" eb="2">
      <t>マツオ</t>
    </rPh>
    <rPh sb="3" eb="5">
      <t>マサミ</t>
    </rPh>
    <phoneticPr fontId="9"/>
  </si>
  <si>
    <t>廣江　貞雄</t>
  </si>
  <si>
    <t>田口　護</t>
    <rPh sb="0" eb="2">
      <t>タグチ</t>
    </rPh>
    <rPh sb="3" eb="4">
      <t>マモル</t>
    </rPh>
    <phoneticPr fontId="4"/>
  </si>
  <si>
    <t>松浦　正和</t>
    <phoneticPr fontId="9"/>
  </si>
  <si>
    <t>坂口　拓磨</t>
    <rPh sb="0" eb="2">
      <t>サカグチ</t>
    </rPh>
    <rPh sb="3" eb="4">
      <t>タク</t>
    </rPh>
    <rPh sb="4" eb="5">
      <t>マ</t>
    </rPh>
    <phoneticPr fontId="9"/>
  </si>
  <si>
    <t>国部　泰治</t>
    <rPh sb="0" eb="1">
      <t>クニ</t>
    </rPh>
    <rPh sb="1" eb="2">
      <t>ベ</t>
    </rPh>
    <rPh sb="3" eb="5">
      <t>ヤスハル</t>
    </rPh>
    <phoneticPr fontId="9"/>
  </si>
  <si>
    <t>奥畑　潤一</t>
  </si>
  <si>
    <t>坂口　裕一</t>
    <rPh sb="0" eb="2">
      <t>サカグチ</t>
    </rPh>
    <rPh sb="3" eb="5">
      <t>ユウイチ</t>
    </rPh>
    <phoneticPr fontId="9"/>
  </si>
  <si>
    <t>浜野　眞治</t>
  </si>
  <si>
    <t>小林　祥士</t>
    <rPh sb="0" eb="2">
      <t>コバヤシ</t>
    </rPh>
    <rPh sb="3" eb="4">
      <t>ショウコ</t>
    </rPh>
    <rPh sb="4" eb="5">
      <t>ブシ</t>
    </rPh>
    <phoneticPr fontId="9"/>
  </si>
  <si>
    <t>谷口　英雄</t>
    <rPh sb="0" eb="2">
      <t>タニグチ</t>
    </rPh>
    <rPh sb="3" eb="5">
      <t>ヒデオ</t>
    </rPh>
    <phoneticPr fontId="9"/>
  </si>
  <si>
    <t>井ノ口鉱三</t>
    <rPh sb="0" eb="1">
      <t>イ</t>
    </rPh>
    <rPh sb="2" eb="3">
      <t>クチ</t>
    </rPh>
    <rPh sb="3" eb="4">
      <t>コウ</t>
    </rPh>
    <rPh sb="4" eb="5">
      <t>３</t>
    </rPh>
    <phoneticPr fontId="9"/>
  </si>
  <si>
    <t>浅地　裕夫</t>
  </si>
  <si>
    <t>米田　忠義</t>
    <rPh sb="0" eb="2">
      <t>コメダ</t>
    </rPh>
    <rPh sb="3" eb="5">
      <t>チュウギ</t>
    </rPh>
    <phoneticPr fontId="4"/>
  </si>
  <si>
    <t>小池　一暢</t>
    <phoneticPr fontId="4"/>
  </si>
  <si>
    <t>杉本　麻也</t>
    <phoneticPr fontId="9"/>
  </si>
  <si>
    <t>加藤　裕視</t>
    <rPh sb="0" eb="2">
      <t>カトウ</t>
    </rPh>
    <rPh sb="3" eb="4">
      <t>ユウ</t>
    </rPh>
    <rPh sb="4" eb="5">
      <t>シチョウ</t>
    </rPh>
    <phoneticPr fontId="9"/>
  </si>
  <si>
    <t>塚本　新一</t>
    <rPh sb="0" eb="2">
      <t>ツカモト</t>
    </rPh>
    <rPh sb="3" eb="5">
      <t>シンイチ</t>
    </rPh>
    <phoneticPr fontId="9"/>
  </si>
  <si>
    <t>野口　忠繁</t>
    <rPh sb="0" eb="2">
      <t>ノグチ</t>
    </rPh>
    <rPh sb="3" eb="4">
      <t>タダシゲ</t>
    </rPh>
    <rPh sb="4" eb="5">
      <t>ハンショク</t>
    </rPh>
    <phoneticPr fontId="9"/>
  </si>
  <si>
    <t>湯川　洋輔</t>
    <rPh sb="0" eb="2">
      <t>ユカワ</t>
    </rPh>
    <rPh sb="3" eb="5">
      <t>ヨウスケ</t>
    </rPh>
    <phoneticPr fontId="9"/>
  </si>
  <si>
    <t>石川　尭洋</t>
    <rPh sb="0" eb="2">
      <t>イシカワ</t>
    </rPh>
    <rPh sb="3" eb="4">
      <t>ギョウ</t>
    </rPh>
    <rPh sb="4" eb="5">
      <t>ヨウ</t>
    </rPh>
    <phoneticPr fontId="9"/>
  </si>
  <si>
    <t>前半１</t>
  </si>
  <si>
    <t>前半２</t>
  </si>
  <si>
    <t>後半１</t>
  </si>
  <si>
    <t>後半２</t>
  </si>
  <si>
    <t>Ｎサブ</t>
  </si>
  <si>
    <t>岳崎</t>
  </si>
  <si>
    <t>西村　聡</t>
  </si>
  <si>
    <t>西村</t>
  </si>
  <si>
    <t>澤野　茂</t>
  </si>
  <si>
    <t>澤野</t>
  </si>
  <si>
    <t>田口　護</t>
  </si>
  <si>
    <t>前田　義信</t>
  </si>
  <si>
    <t>前田</t>
  </si>
  <si>
    <t>鈴木　直人</t>
  </si>
  <si>
    <t>千原　徹</t>
  </si>
  <si>
    <t>千原</t>
  </si>
  <si>
    <t>国部　泰治</t>
  </si>
  <si>
    <t>国部</t>
  </si>
  <si>
    <t>小野木　晋</t>
  </si>
  <si>
    <t>小野木</t>
  </si>
  <si>
    <t>坂口　裕一</t>
  </si>
  <si>
    <t>村上　和生</t>
  </si>
  <si>
    <t>村上</t>
  </si>
  <si>
    <t>小林　祥士</t>
  </si>
  <si>
    <t>小林</t>
  </si>
  <si>
    <t>井ノ口鉱三</t>
  </si>
  <si>
    <t>藤井　義行</t>
  </si>
  <si>
    <t>藤井義</t>
  </si>
  <si>
    <t>米田　忠義</t>
  </si>
  <si>
    <t>米田</t>
  </si>
  <si>
    <t>廣江</t>
  </si>
  <si>
    <t>沖田　一剛</t>
  </si>
  <si>
    <t>松浦　正和</t>
  </si>
  <si>
    <t>松浦</t>
  </si>
  <si>
    <t>加藤　裕視</t>
  </si>
  <si>
    <t>坂口　拓磨</t>
  </si>
  <si>
    <t>坂口</t>
  </si>
  <si>
    <t>野口　忠繁</t>
  </si>
  <si>
    <t>奥畑</t>
  </si>
  <si>
    <t>石川　尭洋</t>
  </si>
  <si>
    <t>石川</t>
  </si>
  <si>
    <t>浜野</t>
  </si>
  <si>
    <t>大橋　優</t>
  </si>
  <si>
    <t>大橋</t>
  </si>
  <si>
    <t>谷口　英雄</t>
  </si>
  <si>
    <t>谷口</t>
  </si>
  <si>
    <t>但馬　晋二</t>
  </si>
  <si>
    <t>但馬</t>
  </si>
  <si>
    <t>宮川竜之介</t>
  </si>
  <si>
    <t>宮川</t>
  </si>
  <si>
    <t>小池　一暢</t>
  </si>
  <si>
    <t>奥嶋　駿介</t>
  </si>
  <si>
    <t>奥嶋</t>
  </si>
  <si>
    <t>塚本　新一</t>
  </si>
  <si>
    <t>塚本</t>
  </si>
  <si>
    <t>吉田　勝</t>
  </si>
  <si>
    <t>吉田</t>
  </si>
  <si>
    <t>湯川　洋輔</t>
  </si>
  <si>
    <t>松尾　昌己</t>
  </si>
  <si>
    <t>松尾</t>
  </si>
  <si>
    <t>窪田　和弘</t>
  </si>
  <si>
    <t>福場　清正</t>
  </si>
  <si>
    <t>福場</t>
  </si>
  <si>
    <t>野平　浩二</t>
  </si>
  <si>
    <t>野平</t>
  </si>
  <si>
    <t>三ツ屋貴友</t>
  </si>
  <si>
    <t>三ツ屋</t>
  </si>
  <si>
    <t>池見　憲一</t>
  </si>
  <si>
    <t>橘　俊男</t>
    <rPh sb="0" eb="1">
      <t>タチバナ</t>
    </rPh>
    <rPh sb="2" eb="4">
      <t>トシオ</t>
    </rPh>
    <phoneticPr fontId="9"/>
  </si>
  <si>
    <t>水谷　博行</t>
    <rPh sb="0" eb="2">
      <t>ミズタニ</t>
    </rPh>
    <rPh sb="3" eb="5">
      <t>ヒロユキ</t>
    </rPh>
    <phoneticPr fontId="9"/>
  </si>
  <si>
    <t>森本　泰輔</t>
    <rPh sb="0" eb="2">
      <t>モリモト</t>
    </rPh>
    <rPh sb="3" eb="5">
      <t>タイスケ</t>
    </rPh>
    <phoneticPr fontId="27"/>
  </si>
  <si>
    <t>中　裕豊</t>
    <rPh sb="0" eb="1">
      <t>ナカ</t>
    </rPh>
    <rPh sb="2" eb="3">
      <t>ユウ</t>
    </rPh>
    <rPh sb="3" eb="4">
      <t>ユタカ</t>
    </rPh>
    <phoneticPr fontId="27"/>
  </si>
  <si>
    <t>酒井　宏樹</t>
    <rPh sb="0" eb="2">
      <t>サカイ</t>
    </rPh>
    <rPh sb="3" eb="5">
      <t>ヒロキ</t>
    </rPh>
    <phoneticPr fontId="27"/>
  </si>
  <si>
    <t>藤本　駿</t>
    <rPh sb="0" eb="2">
      <t>フジモト</t>
    </rPh>
    <rPh sb="3" eb="4">
      <t>シュン</t>
    </rPh>
    <phoneticPr fontId="27"/>
  </si>
  <si>
    <t>安井太久也</t>
    <rPh sb="0" eb="2">
      <t>ヤスイ</t>
    </rPh>
    <rPh sb="2" eb="3">
      <t>フト</t>
    </rPh>
    <rPh sb="3" eb="4">
      <t>ヒサシ</t>
    </rPh>
    <rPh sb="4" eb="5">
      <t>ナリ</t>
    </rPh>
    <phoneticPr fontId="9"/>
  </si>
  <si>
    <t>廣畑　秀史</t>
    <rPh sb="0" eb="1">
      <t>ヒロエ</t>
    </rPh>
    <rPh sb="1" eb="2">
      <t>ハタ</t>
    </rPh>
    <rPh sb="3" eb="4">
      <t>ヒデ</t>
    </rPh>
    <rPh sb="4" eb="5">
      <t>シ</t>
    </rPh>
    <phoneticPr fontId="4"/>
  </si>
  <si>
    <t>なまえ：</t>
  </si>
  <si>
    <t>Sun</t>
  </si>
  <si>
    <t>Mon</t>
  </si>
  <si>
    <t>Tue</t>
  </si>
  <si>
    <t>Wed</t>
  </si>
  <si>
    <t>Thu</t>
  </si>
  <si>
    <t>Fri</t>
  </si>
  <si>
    <t>Sat</t>
  </si>
  <si>
    <t>ＴＤ</t>
    <phoneticPr fontId="27"/>
  </si>
  <si>
    <t>ＳＷ</t>
    <phoneticPr fontId="27"/>
  </si>
  <si>
    <t>ＣＡＭ</t>
    <phoneticPr fontId="27"/>
  </si>
  <si>
    <t>ＣＡ</t>
    <phoneticPr fontId="27"/>
  </si>
  <si>
    <t>ＶＥ</t>
    <phoneticPr fontId="27"/>
  </si>
  <si>
    <t>ＭＩＸ</t>
    <phoneticPr fontId="27"/>
  </si>
  <si>
    <t>ＡＡ</t>
    <phoneticPr fontId="27"/>
  </si>
  <si>
    <t>ＰＡ</t>
    <phoneticPr fontId="27"/>
  </si>
  <si>
    <t>ＶＴＲ</t>
    <phoneticPr fontId="27"/>
  </si>
  <si>
    <t>L op</t>
    <phoneticPr fontId="27"/>
  </si>
  <si>
    <t>CA担当</t>
    <rPh sb="2" eb="4">
      <t>タントウ</t>
    </rPh>
    <phoneticPr fontId="27"/>
  </si>
  <si>
    <t>LO人数</t>
    <rPh sb="2" eb="4">
      <t>ニンズウ</t>
    </rPh>
    <phoneticPr fontId="27"/>
  </si>
  <si>
    <t>帯CA</t>
    <rPh sb="0" eb="1">
      <t>オビ</t>
    </rPh>
    <phoneticPr fontId="27"/>
  </si>
  <si>
    <t>じゅっと</t>
    <phoneticPr fontId="27"/>
  </si>
  <si>
    <t>N</t>
    <phoneticPr fontId="27"/>
  </si>
  <si>
    <t>E</t>
    <phoneticPr fontId="27"/>
  </si>
  <si>
    <t>東</t>
    <rPh sb="0" eb="1">
      <t>ヒガシ</t>
    </rPh>
    <phoneticPr fontId="27"/>
  </si>
  <si>
    <t>ミヤネ屋</t>
    <phoneticPr fontId="27"/>
  </si>
  <si>
    <t>ミヤネ屋</t>
    <rPh sb="3" eb="4">
      <t>ヤ</t>
    </rPh>
    <phoneticPr fontId="27"/>
  </si>
  <si>
    <t>ｔｅｎ！</t>
    <phoneticPr fontId="27"/>
  </si>
  <si>
    <t>土ダメ</t>
    <phoneticPr fontId="27"/>
  </si>
  <si>
    <t>ほんわか</t>
    <phoneticPr fontId="27"/>
  </si>
  <si>
    <t>委員会</t>
    <rPh sb="0" eb="3">
      <t>イインカイ</t>
    </rPh>
    <phoneticPr fontId="27"/>
  </si>
  <si>
    <t>モテる</t>
    <phoneticPr fontId="27"/>
  </si>
  <si>
    <t>ジグザグ</t>
    <phoneticPr fontId="27"/>
  </si>
  <si>
    <t>クギズケ</t>
    <phoneticPr fontId="27"/>
  </si>
  <si>
    <t xml:space="preserve">声 </t>
    <phoneticPr fontId="27"/>
  </si>
  <si>
    <t>地球便</t>
    <rPh sb="0" eb="2">
      <t>チキュウ</t>
    </rPh>
    <rPh sb="2" eb="3">
      <t>ビン</t>
    </rPh>
    <phoneticPr fontId="27"/>
  </si>
  <si>
    <t>モンク</t>
    <phoneticPr fontId="27"/>
  </si>
  <si>
    <t>2011/07/02 11:36:08 発行</t>
    <phoneticPr fontId="7"/>
  </si>
  <si>
    <t>技術局報道技術部</t>
    <rPh sb="0" eb="2">
      <t>ギジュツ</t>
    </rPh>
    <rPh sb="2" eb="3">
      <t>キョク</t>
    </rPh>
    <rPh sb="3" eb="5">
      <t>ホウドウ</t>
    </rPh>
    <rPh sb="5" eb="7">
      <t>ギジュツ</t>
    </rPh>
    <rPh sb="7" eb="8">
      <t>ブ</t>
    </rPh>
    <phoneticPr fontId="7"/>
  </si>
  <si>
    <t>Ｎサブ輪番勤務泊および報道中継待機泊</t>
  </si>
  <si>
    <t>月　日</t>
    <rPh sb="0" eb="1">
      <t>ツキ</t>
    </rPh>
    <phoneticPr fontId="7"/>
  </si>
  <si>
    <t>報道待機泊</t>
    <rPh sb="0" eb="2">
      <t>ホウドウ</t>
    </rPh>
    <rPh sb="2" eb="4">
      <t>タイキ</t>
    </rPh>
    <rPh sb="4" eb="5">
      <t>ハク</t>
    </rPh>
    <phoneticPr fontId="7"/>
  </si>
  <si>
    <t>照明G</t>
    <phoneticPr fontId="4"/>
  </si>
  <si>
    <t>※5/31分</t>
    <rPh sb="5" eb="6">
      <t>ブン</t>
    </rPh>
    <phoneticPr fontId="4"/>
  </si>
  <si>
    <t>5/19分</t>
    <phoneticPr fontId="4"/>
  </si>
  <si>
    <t>5/23分</t>
    <phoneticPr fontId="4"/>
  </si>
  <si>
    <t>5/31分</t>
    <phoneticPr fontId="4"/>
  </si>
  <si>
    <t>TVU内覧</t>
    <rPh sb="3" eb="5">
      <t>ナイラン</t>
    </rPh>
    <phoneticPr fontId="4"/>
  </si>
  <si>
    <t>局会</t>
    <phoneticPr fontId="4"/>
  </si>
  <si>
    <t>進行G会</t>
    <rPh sb="0" eb="2">
      <t>シンコウ</t>
    </rPh>
    <rPh sb="3" eb="4">
      <t>カイ</t>
    </rPh>
    <phoneticPr fontId="4"/>
  </si>
  <si>
    <t>ﾏｽﾀｰG会</t>
    <rPh sb="5" eb="6">
      <t>カイ</t>
    </rPh>
    <phoneticPr fontId="4"/>
  </si>
  <si>
    <t>PT研修</t>
    <rPh sb="2" eb="4">
      <t>ケンシュウ</t>
    </rPh>
    <phoneticPr fontId="4"/>
  </si>
  <si>
    <t>あけ/G会</t>
    <rPh sb="4" eb="5">
      <t>カイ</t>
    </rPh>
    <phoneticPr fontId="4"/>
  </si>
  <si>
    <t>ヤ</t>
    <phoneticPr fontId="4"/>
  </si>
  <si>
    <t>堂免</t>
  </si>
  <si>
    <t>NT</t>
    <phoneticPr fontId="1"/>
  </si>
  <si>
    <t>沖田</t>
    <phoneticPr fontId="1"/>
  </si>
  <si>
    <t>松下</t>
    <phoneticPr fontId="1"/>
  </si>
  <si>
    <t>坂口裕</t>
    <phoneticPr fontId="1"/>
  </si>
  <si>
    <t>ＴＤ.CAM</t>
  </si>
  <si>
    <t>ＴＤ.CAM</t>
    <phoneticPr fontId="4"/>
  </si>
  <si>
    <t>出口</t>
    <rPh sb="0" eb="2">
      <t>デグチ</t>
    </rPh>
    <phoneticPr fontId="1"/>
  </si>
  <si>
    <t>局会</t>
  </si>
  <si>
    <t>AWS</t>
  </si>
  <si>
    <t>委員会２</t>
  </si>
  <si>
    <t xml:space="preserve"> </t>
  </si>
  <si>
    <t>委員会'</t>
  </si>
  <si>
    <t>中継車WG</t>
  </si>
  <si>
    <t>イベント</t>
  </si>
  <si>
    <t>ほんわか１</t>
  </si>
  <si>
    <t>編集G会議</t>
  </si>
  <si>
    <t>Play</t>
  </si>
  <si>
    <t>SP編集2</t>
  </si>
  <si>
    <t>AI</t>
  </si>
  <si>
    <t>編集1</t>
  </si>
  <si>
    <t>5/30</t>
  </si>
  <si>
    <t>委員会１</t>
  </si>
  <si>
    <t>ｺﾝﾃﾝﾂ</t>
  </si>
  <si>
    <t>室内楽’</t>
  </si>
  <si>
    <t>室内楽</t>
  </si>
  <si>
    <t>ほんわか１'</t>
  </si>
  <si>
    <t>SP編集1</t>
  </si>
  <si>
    <t>音道楽√</t>
  </si>
  <si>
    <t>フェスタ</t>
  </si>
  <si>
    <t>ほんわか２</t>
  </si>
  <si>
    <t>あけ</t>
  </si>
  <si>
    <t>5/6</t>
  </si>
  <si>
    <t>A/D</t>
  </si>
  <si>
    <t>検証機</t>
  </si>
  <si>
    <t>XAVC</t>
  </si>
  <si>
    <t>堀さんPG</t>
  </si>
  <si>
    <t>telop</t>
  </si>
  <si>
    <t>設定</t>
  </si>
  <si>
    <t>検証</t>
  </si>
  <si>
    <t>編集2</t>
  </si>
  <si>
    <t>しんごの芽</t>
  </si>
  <si>
    <t>シャカリキ調査団</t>
  </si>
  <si>
    <t>#841</t>
  </si>
  <si>
    <t>6月本編③</t>
  </si>
  <si>
    <t>6月本編PG</t>
  </si>
  <si>
    <t>#556</t>
  </si>
  <si>
    <t>#842</t>
  </si>
  <si>
    <t>7月出しVTR③</t>
  </si>
  <si>
    <t>7月出しVTR①④</t>
  </si>
  <si>
    <t>7月出しVTR②</t>
  </si>
  <si>
    <t>#557</t>
  </si>
  <si>
    <t>6月本編④</t>
  </si>
  <si>
    <t>#843</t>
  </si>
  <si>
    <t>#844</t>
  </si>
  <si>
    <t>#559</t>
  </si>
  <si>
    <t>#845</t>
  </si>
  <si>
    <t>しんごの🌱</t>
  </si>
  <si>
    <t>モノモノ</t>
  </si>
  <si>
    <t>#413</t>
  </si>
  <si>
    <t>スピンオフ_白</t>
  </si>
  <si>
    <t>#414</t>
  </si>
  <si>
    <t>コンクール</t>
  </si>
  <si>
    <t>#415</t>
  </si>
  <si>
    <t>SP#1</t>
  </si>
  <si>
    <t>7月本編①</t>
  </si>
  <si>
    <t>7月本編②</t>
  </si>
  <si>
    <t>Nextry</t>
  </si>
  <si>
    <t>ピーチ</t>
  </si>
  <si>
    <t>地球便VTR</t>
  </si>
  <si>
    <t>ジグザグPR</t>
  </si>
  <si>
    <t>シャカリキ調査団
修正日</t>
  </si>
  <si>
    <t>スピンオフ_黒</t>
  </si>
  <si>
    <t>#558</t>
  </si>
  <si>
    <t>松久保</t>
    <rPh sb="0" eb="3">
      <t>マツクボ</t>
    </rPh>
    <phoneticPr fontId="4"/>
  </si>
  <si>
    <t>09:30:00:00</t>
  </si>
  <si>
    <t>16:30:00:00</t>
  </si>
  <si>
    <t>18:00:00:00</t>
  </si>
  <si>
    <t>木ドラ</t>
    <phoneticPr fontId="27"/>
  </si>
  <si>
    <t>代休5/30分</t>
    <phoneticPr fontId="27"/>
  </si>
  <si>
    <t>代休5/31分</t>
    <phoneticPr fontId="27"/>
  </si>
  <si>
    <t>じゅっとＴＤ’</t>
  </si>
  <si>
    <t>じゅっとＴＤ’</t>
    <phoneticPr fontId="27"/>
  </si>
  <si>
    <t>公休</t>
    <phoneticPr fontId="27"/>
  </si>
  <si>
    <t>ミヤネ屋ＴＤ</t>
    <phoneticPr fontId="27"/>
  </si>
  <si>
    <t>ほんわかＣＡＭ</t>
    <phoneticPr fontId="27"/>
  </si>
  <si>
    <t>11:00:00:00</t>
  </si>
  <si>
    <t>20:30:00:00</t>
  </si>
  <si>
    <t>声ＣＡＭ</t>
    <phoneticPr fontId="27"/>
  </si>
  <si>
    <t>10:00:00:00</t>
  </si>
  <si>
    <t>16:00:00:00</t>
  </si>
  <si>
    <t>委員会ＴＤ.SW</t>
    <phoneticPr fontId="27"/>
  </si>
  <si>
    <t>08:30:00:00</t>
  </si>
  <si>
    <t>読響下見</t>
    <phoneticPr fontId="27"/>
  </si>
  <si>
    <t>土ダメＳＷ</t>
  </si>
  <si>
    <t>09:00:00:00</t>
  </si>
  <si>
    <t>準備</t>
  </si>
  <si>
    <t>読響ＳＷ</t>
    <phoneticPr fontId="27"/>
  </si>
  <si>
    <t>じゅっとＴＤ</t>
    <phoneticPr fontId="27"/>
  </si>
  <si>
    <t>ジグザグＳＷ</t>
    <phoneticPr fontId="27"/>
  </si>
  <si>
    <t>音道楽ＳＷ</t>
    <phoneticPr fontId="27"/>
  </si>
  <si>
    <t>人事配信</t>
    <phoneticPr fontId="27"/>
  </si>
  <si>
    <t>X準備</t>
    <phoneticPr fontId="27"/>
  </si>
  <si>
    <t>年休※</t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</si>
</sst>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aaa"/>
    <numFmt numFmtId="177" formatCode="m/d"/>
  </numFmts>
  <fonts count="49">
    <font>
      <sz val="11"/>
      <name val="ＭＳ Ｐゴシック"/>
      <charset val="128"/>
    </font>
    <font>
      <sz val="12"/>
      <name val="Osaka"/>
      <family val="3"/>
      <charset val="128"/>
    </font>
    <font>
      <sz val="18"/>
      <name val="中ゴシック体"/>
      <family val="3"/>
      <charset val="128"/>
    </font>
    <font>
      <sz val="14"/>
      <name val="中ゴシック体"/>
      <family val="3"/>
      <charset val="128"/>
    </font>
    <font>
      <sz val="18"/>
      <color indexed="9"/>
      <name val="中ゴシック体"/>
      <family val="3"/>
      <charset val="128"/>
    </font>
    <font>
      <sz val="12"/>
      <name val="中ゴシック体"/>
      <family val="3"/>
      <charset val="128"/>
    </font>
    <font>
      <sz val="9"/>
      <name val="細明朝体"/>
      <family val="3"/>
      <charset val="128"/>
    </font>
    <font>
      <sz val="18"/>
      <name val="Osaka"/>
      <family val="3"/>
      <charset val="128"/>
    </font>
    <font>
      <sz val="12"/>
      <color indexed="10"/>
      <name val="Osaka"/>
      <family val="3"/>
      <charset val="128"/>
    </font>
    <font>
      <sz val="12"/>
      <name val="細明朝体"/>
      <family val="3"/>
      <charset val="128"/>
    </font>
    <font>
      <sz val="8"/>
      <name val="ＭＳ ゴシック"/>
      <family val="3"/>
      <charset val="128"/>
    </font>
    <font>
      <sz val="10"/>
      <name val="ＭＳ Ｐゴシック"/>
      <family val="3"/>
      <charset val="128"/>
    </font>
    <font>
      <sz val="12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明朝"/>
      <family val="1"/>
      <charset val="128"/>
    </font>
    <font>
      <sz val="9"/>
      <name val="ＭＳ ゴシック"/>
      <family val="3"/>
      <charset val="128"/>
    </font>
    <font>
      <sz val="11"/>
      <name val="ＭＳ ゴシック"/>
      <family val="3"/>
      <charset val="128"/>
    </font>
    <font>
      <sz val="12"/>
      <color indexed="9"/>
      <name val="ＭＳ ゴシック"/>
      <family val="3"/>
      <charset val="128"/>
    </font>
    <font>
      <sz val="9"/>
      <name val="ＭＳ 明朝"/>
      <family val="1"/>
      <charset val="128"/>
    </font>
    <font>
      <sz val="14"/>
      <name val="ＭＳ ゴシック"/>
      <family val="3"/>
      <charset val="128"/>
    </font>
    <font>
      <sz val="9"/>
      <name val="ＭＳ Ｐゴシック"/>
      <family val="3"/>
      <charset val="128"/>
    </font>
    <font>
      <sz val="10"/>
      <color indexed="9"/>
      <name val="ＭＳ ゴシック"/>
      <family val="3"/>
      <charset val="128"/>
    </font>
    <font>
      <sz val="18"/>
      <name val="ＭＳ ゴシック"/>
      <family val="3"/>
      <charset val="128"/>
    </font>
    <font>
      <i/>
      <u/>
      <sz val="18"/>
      <name val="ＭＳ ゴシック"/>
      <family val="3"/>
      <charset val="128"/>
    </font>
    <font>
      <i/>
      <sz val="12"/>
      <name val="ＭＳ ゴシック"/>
      <family val="3"/>
      <charset val="128"/>
    </font>
    <font>
      <sz val="18"/>
      <color indexed="9"/>
      <name val="ＭＳ ゴシック"/>
      <family val="3"/>
      <charset val="128"/>
    </font>
    <font>
      <b/>
      <sz val="18"/>
      <name val="ＭＳ 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sz val="6"/>
      <name val="ＭＳ ゴシック"/>
      <family val="3"/>
      <charset val="128"/>
    </font>
    <font>
      <sz val="11"/>
      <color theme="0" tint="-0.249977111117893"/>
      <name val="UD Digi Kyokasho NK-R"/>
      <family val="1"/>
      <charset val="128"/>
    </font>
    <font>
      <sz val="10"/>
      <color rgb="FFFF0000"/>
      <name val="UD Digi Kyokasho NK-R"/>
      <family val="1"/>
      <charset val="128"/>
    </font>
    <font>
      <sz val="11"/>
      <name val="UD Digi Kyokasho NK-R"/>
      <family val="1"/>
      <charset val="128"/>
    </font>
    <font>
      <sz val="10"/>
      <name val="UD Digi Kyokasho NK-R"/>
      <family val="1"/>
      <charset val="128"/>
    </font>
    <font>
      <sz val="8"/>
      <name val="ＭＳ 明朝"/>
      <family val="1"/>
    </font>
    <font>
      <sz val="8"/>
      <name val="ＭＳ Ｐ明朝"/>
      <family val="1"/>
      <charset val="128"/>
    </font>
    <font>
      <sz val="18"/>
      <color rgb="FF000000"/>
      <name val="ＭＳ Ｐゴシック"/>
      <family val="3"/>
      <charset val="128"/>
    </font>
    <font>
      <sz val="18"/>
      <color rgb="FF000000"/>
      <name val="Osaka"/>
      <family val="3"/>
      <charset val="128"/>
    </font>
    <font>
      <sz val="12"/>
      <color rgb="FFFF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4"/>
      <color rgb="FFFF0000"/>
      <name val="ＭＳ Ｐゴシック"/>
      <family val="3"/>
      <charset val="128"/>
    </font>
    <font>
      <sz val="12"/>
      <color rgb="FFFF0000"/>
      <name val="Osaka"/>
      <family val="3"/>
      <charset val="128"/>
    </font>
    <font>
      <sz val="11"/>
      <color rgb="FF00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24"/>
      <color rgb="FF000000"/>
      <name val="ＭＳ Ｐゴシック"/>
      <family val="3"/>
      <charset val="128"/>
    </font>
    <font>
      <sz val="24"/>
      <color rgb="FF000000"/>
      <name val="Osaka"/>
      <family val="3"/>
      <charset val="128"/>
    </font>
    <font>
      <sz val="12"/>
      <color rgb="FF000000"/>
      <name val="Osaka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ck">
        <color indexed="64"/>
      </left>
      <right style="medium">
        <color indexed="64"/>
      </right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 style="thick">
        <color indexed="64"/>
      </right>
      <top/>
      <bottom style="medium">
        <color auto="1"/>
      </bottom>
      <diagonal/>
    </border>
  </borders>
  <cellStyleXfs count="3">
    <xf numFmtId="0" fontId="0" fillId="0" borderId="0"/>
    <xf numFmtId="0" fontId="1" fillId="0" borderId="0"/>
    <xf numFmtId="0" fontId="28" fillId="0" borderId="0"/>
  </cellStyleXfs>
  <cellXfs count="54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quotePrefix="1" applyFont="1" applyAlignment="1">
      <alignment horizontal="center"/>
    </xf>
    <xf numFmtId="176" fontId="10" fillId="0" borderId="3" xfId="0" applyNumberFormat="1" applyFont="1" applyBorder="1" applyAlignment="1">
      <alignment horizontal="center"/>
    </xf>
    <xf numFmtId="17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left"/>
    </xf>
    <xf numFmtId="176" fontId="10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4" fillId="2" borderId="2" xfId="0" applyFont="1" applyFill="1" applyBorder="1" applyAlignment="1" applyProtection="1">
      <alignment horizontal="center"/>
      <protection locked="0"/>
    </xf>
    <xf numFmtId="0" fontId="14" fillId="2" borderId="5" xfId="0" applyFont="1" applyFill="1" applyBorder="1" applyAlignment="1" applyProtection="1">
      <alignment horizontal="center"/>
      <protection locked="0"/>
    </xf>
    <xf numFmtId="0" fontId="14" fillId="2" borderId="3" xfId="0" applyFont="1" applyFill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3" borderId="2" xfId="0" applyFont="1" applyFill="1" applyBorder="1" applyAlignment="1" applyProtection="1">
      <alignment horizontal="center"/>
      <protection locked="0"/>
    </xf>
    <xf numFmtId="0" fontId="14" fillId="3" borderId="5" xfId="0" applyFont="1" applyFill="1" applyBorder="1" applyAlignment="1" applyProtection="1">
      <alignment horizontal="center"/>
      <protection locked="0"/>
    </xf>
    <xf numFmtId="0" fontId="14" fillId="3" borderId="3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3" borderId="8" xfId="0" applyFont="1" applyFill="1" applyBorder="1" applyAlignment="1" applyProtection="1">
      <alignment horizontal="center"/>
      <protection locked="0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2" fillId="0" borderId="0" xfId="0" applyFont="1"/>
    <xf numFmtId="0" fontId="14" fillId="0" borderId="0" xfId="0" applyFont="1" applyAlignment="1">
      <alignment horizontal="center"/>
    </xf>
    <xf numFmtId="0" fontId="13" fillId="0" borderId="16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2" fillId="0" borderId="0" xfId="0" applyFont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0" fontId="19" fillId="0" borderId="0" xfId="0" applyFont="1"/>
    <xf numFmtId="0" fontId="19" fillId="0" borderId="18" xfId="0" applyFont="1" applyBorder="1" applyAlignment="1">
      <alignment horizontal="center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2" borderId="6" xfId="0" applyFont="1" applyFill="1" applyBorder="1" applyProtection="1">
      <protection locked="0"/>
    </xf>
    <xf numFmtId="56" fontId="19" fillId="0" borderId="0" xfId="0" applyNumberFormat="1" applyFont="1"/>
    <xf numFmtId="14" fontId="19" fillId="0" borderId="0" xfId="0" applyNumberFormat="1" applyFont="1"/>
    <xf numFmtId="176" fontId="21" fillId="0" borderId="0" xfId="0" applyNumberFormat="1" applyFont="1" applyAlignment="1">
      <alignment horizontal="center"/>
    </xf>
    <xf numFmtId="0" fontId="13" fillId="0" borderId="0" xfId="0" applyFont="1" applyAlignment="1" applyProtection="1">
      <alignment horizontal="right"/>
      <protection locked="0"/>
    </xf>
    <xf numFmtId="0" fontId="13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0" fontId="21" fillId="0" borderId="0" xfId="0" applyFont="1" applyAlignment="1">
      <alignment horizontal="center"/>
    </xf>
    <xf numFmtId="0" fontId="13" fillId="0" borderId="0" xfId="0" applyFont="1"/>
    <xf numFmtId="0" fontId="22" fillId="0" borderId="0" xfId="1" applyFont="1" applyAlignment="1">
      <alignment horizontal="left"/>
    </xf>
    <xf numFmtId="0" fontId="12" fillId="0" borderId="0" xfId="1" applyFont="1" applyAlignment="1">
      <alignment horizontal="centerContinuous"/>
    </xf>
    <xf numFmtId="0" fontId="12" fillId="0" borderId="0" xfId="1" applyFont="1"/>
    <xf numFmtId="0" fontId="22" fillId="0" borderId="0" xfId="1" applyFont="1"/>
    <xf numFmtId="0" fontId="23" fillId="0" borderId="0" xfId="1" applyFont="1" applyAlignment="1">
      <alignment horizontal="centerContinuous"/>
    </xf>
    <xf numFmtId="0" fontId="22" fillId="0" borderId="0" xfId="1" applyFont="1" applyAlignment="1">
      <alignment horizontal="centerContinuous"/>
    </xf>
    <xf numFmtId="0" fontId="12" fillId="0" borderId="22" xfId="1" applyFont="1" applyBorder="1" applyAlignment="1">
      <alignment horizontal="center"/>
    </xf>
    <xf numFmtId="0" fontId="12" fillId="0" borderId="0" xfId="1" applyFont="1" applyAlignment="1">
      <alignment horizontal="center"/>
    </xf>
    <xf numFmtId="0" fontId="19" fillId="0" borderId="23" xfId="1" applyFont="1" applyBorder="1" applyAlignment="1">
      <alignment horizontal="center" vertical="center"/>
    </xf>
    <xf numFmtId="176" fontId="12" fillId="0" borderId="23" xfId="1" applyNumberFormat="1" applyFont="1" applyBorder="1" applyAlignment="1">
      <alignment horizontal="center" vertical="center"/>
    </xf>
    <xf numFmtId="0" fontId="12" fillId="0" borderId="23" xfId="1" applyFont="1" applyBorder="1"/>
    <xf numFmtId="0" fontId="12" fillId="0" borderId="23" xfId="1" applyFont="1" applyBorder="1" applyAlignment="1">
      <alignment horizontal="center" vertical="center"/>
    </xf>
    <xf numFmtId="0" fontId="24" fillId="0" borderId="23" xfId="1" applyFont="1" applyBorder="1"/>
    <xf numFmtId="0" fontId="16" fillId="0" borderId="0" xfId="0" applyFont="1"/>
    <xf numFmtId="0" fontId="22" fillId="0" borderId="0" xfId="0" applyFont="1" applyAlignment="1">
      <alignment vertical="center"/>
    </xf>
    <xf numFmtId="0" fontId="22" fillId="0" borderId="0" xfId="0" applyFont="1" applyAlignment="1">
      <alignment horizontal="right" vertical="center"/>
    </xf>
    <xf numFmtId="0" fontId="22" fillId="0" borderId="0" xfId="0" applyFont="1" applyAlignment="1" applyProtection="1">
      <alignment vertical="center"/>
      <protection locked="0"/>
    </xf>
    <xf numFmtId="0" fontId="22" fillId="3" borderId="24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22" fillId="3" borderId="2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5" xfId="0" applyFont="1" applyBorder="1" applyAlignment="1" applyProtection="1">
      <alignment horizontal="left" vertical="center"/>
      <protection locked="0"/>
    </xf>
    <xf numFmtId="0" fontId="22" fillId="0" borderId="10" xfId="0" applyFont="1" applyBorder="1" applyAlignment="1" applyProtection="1">
      <alignment horizontal="left" vertical="center"/>
      <protection locked="0"/>
    </xf>
    <xf numFmtId="0" fontId="22" fillId="0" borderId="0" xfId="0" applyFont="1" applyAlignment="1">
      <alignment horizontal="left" vertical="center"/>
    </xf>
    <xf numFmtId="0" fontId="22" fillId="0" borderId="5" xfId="0" applyFont="1" applyBorder="1" applyAlignment="1" applyProtection="1">
      <alignment horizontal="center" vertical="center"/>
      <protection locked="0"/>
    </xf>
    <xf numFmtId="0" fontId="22" fillId="0" borderId="10" xfId="0" applyFont="1" applyBorder="1" applyAlignment="1" applyProtection="1">
      <alignment horizontal="center" vertical="center"/>
      <protection locked="0"/>
    </xf>
    <xf numFmtId="0" fontId="22" fillId="0" borderId="9" xfId="0" applyFont="1" applyBorder="1" applyAlignment="1" applyProtection="1">
      <alignment horizontal="left" vertical="center"/>
      <protection locked="0"/>
    </xf>
    <xf numFmtId="0" fontId="22" fillId="0" borderId="9" xfId="0" applyFont="1" applyBorder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vertical="center"/>
      <protection hidden="1"/>
    </xf>
    <xf numFmtId="20" fontId="19" fillId="0" borderId="0" xfId="0" applyNumberFormat="1" applyFont="1"/>
    <xf numFmtId="56" fontId="14" fillId="2" borderId="3" xfId="0" applyNumberFormat="1" applyFont="1" applyFill="1" applyBorder="1" applyAlignment="1" applyProtection="1">
      <alignment horizontal="center"/>
      <protection locked="0"/>
    </xf>
    <xf numFmtId="0" fontId="22" fillId="0" borderId="0" xfId="0" applyFont="1" applyAlignment="1">
      <alignment horizontal="center"/>
    </xf>
    <xf numFmtId="0" fontId="22" fillId="0" borderId="0" xfId="0" applyFont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19" fillId="0" borderId="20" xfId="0" applyFont="1" applyBorder="1" applyAlignment="1">
      <alignment horizontal="center" wrapText="1"/>
    </xf>
    <xf numFmtId="0" fontId="10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left"/>
    </xf>
    <xf numFmtId="0" fontId="19" fillId="0" borderId="0" xfId="0" applyFont="1" applyAlignment="1">
      <alignment horizontal="right"/>
    </xf>
    <xf numFmtId="0" fontId="19" fillId="0" borderId="21" xfId="0" applyFont="1" applyBorder="1" applyAlignment="1">
      <alignment horizontal="right"/>
    </xf>
    <xf numFmtId="0" fontId="22" fillId="0" borderId="0" xfId="0" applyFont="1"/>
    <xf numFmtId="0" fontId="19" fillId="2" borderId="3" xfId="0" applyFont="1" applyFill="1" applyBorder="1" applyAlignment="1" applyProtection="1">
      <alignment horizontal="left"/>
      <protection locked="0"/>
    </xf>
    <xf numFmtId="0" fontId="19" fillId="2" borderId="3" xfId="0" applyFont="1" applyFill="1" applyBorder="1" applyProtection="1">
      <protection locked="0"/>
    </xf>
    <xf numFmtId="0" fontId="19" fillId="2" borderId="27" xfId="0" applyFont="1" applyFill="1" applyBorder="1" applyProtection="1">
      <protection locked="0"/>
    </xf>
    <xf numFmtId="0" fontId="19" fillId="2" borderId="28" xfId="0" applyFont="1" applyFill="1" applyBorder="1" applyProtection="1">
      <protection locked="0"/>
    </xf>
    <xf numFmtId="0" fontId="19" fillId="0" borderId="29" xfId="0" applyFont="1" applyBorder="1" applyAlignment="1">
      <alignment horizontal="center"/>
    </xf>
    <xf numFmtId="0" fontId="26" fillId="0" borderId="0" xfId="0" applyFont="1" applyAlignment="1">
      <alignment horizontal="left"/>
    </xf>
    <xf numFmtId="0" fontId="19" fillId="0" borderId="0" xfId="0" applyFont="1" applyAlignment="1">
      <alignment vertical="top" wrapText="1"/>
    </xf>
    <xf numFmtId="0" fontId="19" fillId="0" borderId="0" xfId="0" applyFont="1" applyAlignment="1">
      <alignment horizontal="left" vertical="top"/>
    </xf>
    <xf numFmtId="0" fontId="19" fillId="0" borderId="18" xfId="0" applyFont="1" applyBorder="1" applyAlignment="1">
      <alignment horizontal="right"/>
    </xf>
    <xf numFmtId="0" fontId="19" fillId="0" borderId="0" xfId="0" applyFont="1" applyAlignment="1">
      <alignment horizontal="right" vertical="top"/>
    </xf>
    <xf numFmtId="176" fontId="19" fillId="0" borderId="6" xfId="0" applyNumberFormat="1" applyFont="1" applyBorder="1" applyAlignment="1">
      <alignment horizontal="center"/>
    </xf>
    <xf numFmtId="56" fontId="14" fillId="2" borderId="2" xfId="0" applyNumberFormat="1" applyFon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3" borderId="9" xfId="0" applyFont="1" applyFill="1" applyBorder="1" applyAlignment="1" applyProtection="1">
      <alignment horizontal="left" vertical="center"/>
      <protection locked="0"/>
    </xf>
    <xf numFmtId="0" fontId="22" fillId="3" borderId="9" xfId="0" applyFont="1" applyFill="1" applyBorder="1" applyAlignment="1" applyProtection="1">
      <alignment horizontal="center" vertical="center"/>
      <protection locked="0"/>
    </xf>
    <xf numFmtId="0" fontId="22" fillId="3" borderId="5" xfId="0" applyFont="1" applyFill="1" applyBorder="1" applyAlignment="1" applyProtection="1">
      <alignment horizontal="left" vertical="center"/>
      <protection locked="0"/>
    </xf>
    <xf numFmtId="0" fontId="22" fillId="3" borderId="5" xfId="0" applyFont="1" applyFill="1" applyBorder="1" applyAlignment="1" applyProtection="1">
      <alignment horizontal="center" vertical="center"/>
      <protection locked="0"/>
    </xf>
    <xf numFmtId="0" fontId="22" fillId="3" borderId="8" xfId="0" applyFont="1" applyFill="1" applyBorder="1" applyAlignment="1" applyProtection="1">
      <alignment horizontal="center" vertical="center"/>
      <protection locked="0"/>
    </xf>
    <xf numFmtId="0" fontId="22" fillId="3" borderId="10" xfId="0" applyFont="1" applyFill="1" applyBorder="1" applyAlignment="1" applyProtection="1">
      <alignment horizontal="left" vertical="center"/>
      <protection locked="0"/>
    </xf>
    <xf numFmtId="0" fontId="22" fillId="3" borderId="10" xfId="0" applyFont="1" applyFill="1" applyBorder="1" applyAlignment="1" applyProtection="1">
      <alignment horizontal="center" vertical="center"/>
      <protection locked="0"/>
    </xf>
    <xf numFmtId="0" fontId="22" fillId="3" borderId="14" xfId="0" applyFont="1" applyFill="1" applyBorder="1" applyAlignment="1" applyProtection="1">
      <alignment horizontal="center" vertical="center"/>
      <protection locked="0"/>
    </xf>
    <xf numFmtId="177" fontId="19" fillId="0" borderId="0" xfId="0" applyNumberFormat="1" applyFont="1"/>
    <xf numFmtId="0" fontId="14" fillId="3" borderId="0" xfId="0" applyFont="1" applyFill="1" applyAlignment="1" applyProtection="1">
      <alignment horizontal="center"/>
      <protection locked="0"/>
    </xf>
    <xf numFmtId="0" fontId="13" fillId="0" borderId="30" xfId="0" applyFont="1" applyBorder="1" applyAlignment="1">
      <alignment horizontal="center"/>
    </xf>
    <xf numFmtId="176" fontId="13" fillId="0" borderId="31" xfId="0" applyNumberFormat="1" applyFont="1" applyBorder="1" applyAlignment="1">
      <alignment horizontal="center"/>
    </xf>
    <xf numFmtId="0" fontId="14" fillId="3" borderId="32" xfId="0" applyFont="1" applyFill="1" applyBorder="1" applyAlignment="1" applyProtection="1">
      <alignment horizontal="center"/>
      <protection locked="0"/>
    </xf>
    <xf numFmtId="0" fontId="13" fillId="0" borderId="33" xfId="0" applyFont="1" applyBorder="1" applyAlignment="1">
      <alignment horizontal="center"/>
    </xf>
    <xf numFmtId="0" fontId="14" fillId="3" borderId="34" xfId="0" applyFont="1" applyFill="1" applyBorder="1" applyAlignment="1" applyProtection="1">
      <alignment horizontal="center"/>
      <protection locked="0"/>
    </xf>
    <xf numFmtId="0" fontId="14" fillId="3" borderId="1" xfId="0" applyFont="1" applyFill="1" applyBorder="1" applyAlignment="1" applyProtection="1">
      <alignment horizontal="center"/>
      <protection locked="0"/>
    </xf>
    <xf numFmtId="0" fontId="14" fillId="3" borderId="35" xfId="0" applyFont="1" applyFill="1" applyBorder="1" applyAlignment="1" applyProtection="1">
      <alignment horizontal="center"/>
      <protection locked="0"/>
    </xf>
    <xf numFmtId="0" fontId="13" fillId="0" borderId="36" xfId="0" applyFont="1" applyBorder="1" applyAlignment="1">
      <alignment horizontal="center"/>
    </xf>
    <xf numFmtId="0" fontId="13" fillId="0" borderId="37" xfId="0" applyFont="1" applyBorder="1" applyAlignment="1">
      <alignment horizontal="center"/>
    </xf>
    <xf numFmtId="0" fontId="13" fillId="0" borderId="38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40" xfId="0" applyFont="1" applyBorder="1" applyAlignment="1">
      <alignment horizontal="center"/>
    </xf>
    <xf numFmtId="56" fontId="14" fillId="5" borderId="2" xfId="0" applyNumberFormat="1" applyFont="1" applyFill="1" applyBorder="1" applyAlignment="1" applyProtection="1">
      <alignment horizontal="center"/>
      <protection locked="0"/>
    </xf>
    <xf numFmtId="56" fontId="14" fillId="5" borderId="3" xfId="0" applyNumberFormat="1" applyFont="1" applyFill="1" applyBorder="1" applyAlignment="1" applyProtection="1">
      <alignment horizontal="center"/>
      <protection locked="0"/>
    </xf>
    <xf numFmtId="56" fontId="14" fillId="6" borderId="2" xfId="0" applyNumberFormat="1" applyFont="1" applyFill="1" applyBorder="1" applyAlignment="1" applyProtection="1">
      <alignment horizontal="center"/>
      <protection locked="0"/>
    </xf>
    <xf numFmtId="56" fontId="14" fillId="6" borderId="3" xfId="0" applyNumberFormat="1" applyFont="1" applyFill="1" applyBorder="1" applyAlignment="1" applyProtection="1">
      <alignment horizontal="center"/>
      <protection locked="0"/>
    </xf>
    <xf numFmtId="0" fontId="14" fillId="6" borderId="2" xfId="0" applyFont="1" applyFill="1" applyBorder="1" applyAlignment="1" applyProtection="1">
      <alignment horizontal="center" vertical="center"/>
      <protection locked="0"/>
    </xf>
    <xf numFmtId="0" fontId="14" fillId="6" borderId="3" xfId="0" applyFont="1" applyFill="1" applyBorder="1" applyAlignment="1" applyProtection="1">
      <alignment horizontal="center" vertical="center"/>
      <protection locked="0"/>
    </xf>
    <xf numFmtId="0" fontId="14" fillId="6" borderId="2" xfId="0" applyFont="1" applyFill="1" applyBorder="1" applyAlignment="1" applyProtection="1">
      <alignment horizontal="center"/>
      <protection locked="0"/>
    </xf>
    <xf numFmtId="0" fontId="13" fillId="6" borderId="2" xfId="0" applyFont="1" applyFill="1" applyBorder="1" applyAlignment="1" applyProtection="1">
      <alignment horizontal="center" vertical="center"/>
      <protection locked="0"/>
    </xf>
    <xf numFmtId="0" fontId="13" fillId="6" borderId="7" xfId="0" applyFont="1" applyFill="1" applyBorder="1" applyAlignment="1" applyProtection="1">
      <alignment horizontal="center" vertical="center"/>
      <protection locked="0"/>
    </xf>
    <xf numFmtId="0" fontId="14" fillId="5" borderId="2" xfId="0" applyFont="1" applyFill="1" applyBorder="1" applyAlignment="1" applyProtection="1">
      <alignment horizontal="center" vertical="center"/>
      <protection locked="0"/>
    </xf>
    <xf numFmtId="0" fontId="14" fillId="5" borderId="7" xfId="0" applyFont="1" applyFill="1" applyBorder="1" applyAlignment="1" applyProtection="1">
      <alignment horizontal="center" vertical="center"/>
      <protection locked="0"/>
    </xf>
    <xf numFmtId="0" fontId="14" fillId="5" borderId="3" xfId="0" applyFont="1" applyFill="1" applyBorder="1" applyAlignment="1" applyProtection="1">
      <alignment horizontal="center" vertical="center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0" fontId="14" fillId="4" borderId="2" xfId="0" applyFont="1" applyFill="1" applyBorder="1" applyAlignment="1" applyProtection="1">
      <alignment vertical="center"/>
      <protection locked="0"/>
    </xf>
    <xf numFmtId="0" fontId="14" fillId="4" borderId="7" xfId="0" applyFont="1" applyFill="1" applyBorder="1" applyAlignment="1" applyProtection="1">
      <alignment horizontal="center" vertical="center"/>
      <protection locked="0"/>
    </xf>
    <xf numFmtId="56" fontId="14" fillId="4" borderId="2" xfId="0" applyNumberFormat="1" applyFont="1" applyFill="1" applyBorder="1" applyAlignment="1" applyProtection="1">
      <alignment horizontal="center"/>
      <protection locked="0"/>
    </xf>
    <xf numFmtId="56" fontId="14" fillId="4" borderId="3" xfId="0" applyNumberFormat="1" applyFont="1" applyFill="1" applyBorder="1" applyAlignment="1" applyProtection="1">
      <alignment horizontal="center"/>
      <protection locked="0"/>
    </xf>
    <xf numFmtId="56" fontId="14" fillId="7" borderId="2" xfId="0" applyNumberFormat="1" applyFont="1" applyFill="1" applyBorder="1" applyAlignment="1" applyProtection="1">
      <alignment horizontal="center"/>
      <protection locked="0"/>
    </xf>
    <xf numFmtId="56" fontId="14" fillId="7" borderId="3" xfId="0" applyNumberFormat="1" applyFont="1" applyFill="1" applyBorder="1" applyAlignment="1" applyProtection="1">
      <alignment horizontal="center"/>
      <protection locked="0"/>
    </xf>
    <xf numFmtId="56" fontId="14" fillId="8" borderId="2" xfId="0" applyNumberFormat="1" applyFont="1" applyFill="1" applyBorder="1" applyAlignment="1" applyProtection="1">
      <alignment horizontal="center"/>
      <protection locked="0"/>
    </xf>
    <xf numFmtId="56" fontId="14" fillId="8" borderId="3" xfId="0" applyNumberFormat="1" applyFont="1" applyFill="1" applyBorder="1" applyAlignment="1" applyProtection="1">
      <alignment horizontal="center"/>
      <protection locked="0"/>
    </xf>
    <xf numFmtId="0" fontId="14" fillId="8" borderId="2" xfId="0" applyFont="1" applyFill="1" applyBorder="1" applyAlignment="1" applyProtection="1">
      <alignment horizontal="center" vertical="center"/>
      <protection locked="0"/>
    </xf>
    <xf numFmtId="0" fontId="14" fillId="8" borderId="3" xfId="0" applyFont="1" applyFill="1" applyBorder="1" applyAlignment="1" applyProtection="1">
      <alignment horizontal="center" vertical="center"/>
      <protection locked="0"/>
    </xf>
    <xf numFmtId="56" fontId="14" fillId="8" borderId="2" xfId="0" applyNumberFormat="1" applyFont="1" applyFill="1" applyBorder="1" applyAlignment="1" applyProtection="1">
      <alignment horizontal="center" vertical="center"/>
      <protection locked="0"/>
    </xf>
    <xf numFmtId="0" fontId="14" fillId="8" borderId="2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/>
      <protection locked="0"/>
    </xf>
    <xf numFmtId="0" fontId="19" fillId="2" borderId="44" xfId="0" applyFont="1" applyFill="1" applyBorder="1" applyProtection="1">
      <protection locked="0"/>
    </xf>
    <xf numFmtId="56" fontId="14" fillId="2" borderId="41" xfId="0" applyNumberFormat="1" applyFont="1" applyFill="1" applyBorder="1" applyAlignment="1" applyProtection="1">
      <alignment horizontal="center"/>
      <protection locked="0"/>
    </xf>
    <xf numFmtId="56" fontId="14" fillId="2" borderId="21" xfId="0" applyNumberFormat="1" applyFont="1" applyFill="1" applyBorder="1" applyAlignment="1" applyProtection="1">
      <alignment horizontal="center"/>
      <protection locked="0"/>
    </xf>
    <xf numFmtId="56" fontId="14" fillId="7" borderId="41" xfId="0" applyNumberFormat="1" applyFont="1" applyFill="1" applyBorder="1" applyAlignment="1" applyProtection="1">
      <alignment horizontal="center"/>
      <protection locked="0"/>
    </xf>
    <xf numFmtId="56" fontId="14" fillId="7" borderId="21" xfId="0" applyNumberFormat="1" applyFont="1" applyFill="1" applyBorder="1" applyAlignment="1" applyProtection="1">
      <alignment horizontal="center"/>
      <protection locked="0"/>
    </xf>
    <xf numFmtId="56" fontId="14" fillId="4" borderId="41" xfId="0" applyNumberFormat="1" applyFont="1" applyFill="1" applyBorder="1" applyAlignment="1" applyProtection="1">
      <alignment horizontal="center"/>
      <protection locked="0"/>
    </xf>
    <xf numFmtId="56" fontId="14" fillId="4" borderId="21" xfId="0" applyNumberFormat="1" applyFont="1" applyFill="1" applyBorder="1" applyAlignment="1" applyProtection="1">
      <alignment horizontal="center"/>
      <protection locked="0"/>
    </xf>
    <xf numFmtId="56" fontId="14" fillId="8" borderId="41" xfId="0" applyNumberFormat="1" applyFont="1" applyFill="1" applyBorder="1" applyAlignment="1" applyProtection="1">
      <alignment horizontal="center"/>
      <protection locked="0"/>
    </xf>
    <xf numFmtId="56" fontId="14" fillId="8" borderId="21" xfId="0" applyNumberFormat="1" applyFont="1" applyFill="1" applyBorder="1" applyAlignment="1" applyProtection="1">
      <alignment horizontal="center"/>
      <protection locked="0"/>
    </xf>
    <xf numFmtId="56" fontId="14" fillId="6" borderId="41" xfId="0" applyNumberFormat="1" applyFont="1" applyFill="1" applyBorder="1" applyAlignment="1" applyProtection="1">
      <alignment horizontal="center"/>
      <protection locked="0"/>
    </xf>
    <xf numFmtId="56" fontId="14" fillId="6" borderId="21" xfId="0" applyNumberFormat="1" applyFont="1" applyFill="1" applyBorder="1" applyAlignment="1" applyProtection="1">
      <alignment horizontal="center"/>
      <protection locked="0"/>
    </xf>
    <xf numFmtId="56" fontId="14" fillId="5" borderId="41" xfId="0" applyNumberFormat="1" applyFont="1" applyFill="1" applyBorder="1" applyAlignment="1" applyProtection="1">
      <alignment horizontal="center"/>
      <protection locked="0"/>
    </xf>
    <xf numFmtId="56" fontId="14" fillId="5" borderId="21" xfId="0" applyNumberFormat="1" applyFont="1" applyFill="1" applyBorder="1" applyAlignment="1" applyProtection="1">
      <alignment horizontal="center"/>
      <protection locked="0"/>
    </xf>
    <xf numFmtId="0" fontId="14" fillId="4" borderId="41" xfId="0" applyFont="1" applyFill="1" applyBorder="1" applyAlignment="1" applyProtection="1">
      <alignment horizontal="center" vertical="center"/>
      <protection locked="0"/>
    </xf>
    <xf numFmtId="0" fontId="14" fillId="4" borderId="41" xfId="0" applyFont="1" applyFill="1" applyBorder="1" applyAlignment="1" applyProtection="1">
      <alignment vertical="center"/>
      <protection locked="0"/>
    </xf>
    <xf numFmtId="0" fontId="14" fillId="4" borderId="46" xfId="0" applyFont="1" applyFill="1" applyBorder="1" applyAlignment="1" applyProtection="1">
      <alignment horizontal="center" vertical="center"/>
      <protection locked="0"/>
    </xf>
    <xf numFmtId="0" fontId="14" fillId="8" borderId="41" xfId="0" applyFont="1" applyFill="1" applyBorder="1" applyAlignment="1" applyProtection="1">
      <alignment horizontal="center" vertical="center"/>
      <protection locked="0"/>
    </xf>
    <xf numFmtId="0" fontId="14" fillId="8" borderId="21" xfId="0" applyFont="1" applyFill="1" applyBorder="1" applyAlignment="1" applyProtection="1">
      <alignment horizontal="center" vertical="center"/>
      <protection locked="0"/>
    </xf>
    <xf numFmtId="56" fontId="14" fillId="8" borderId="41" xfId="0" applyNumberFormat="1" applyFont="1" applyFill="1" applyBorder="1" applyAlignment="1" applyProtection="1">
      <alignment horizontal="center" vertical="center"/>
      <protection locked="0"/>
    </xf>
    <xf numFmtId="0" fontId="14" fillId="8" borderId="46" xfId="0" applyFont="1" applyFill="1" applyBorder="1" applyAlignment="1" applyProtection="1">
      <alignment horizontal="center" vertical="center"/>
      <protection locked="0"/>
    </xf>
    <xf numFmtId="0" fontId="14" fillId="6" borderId="41" xfId="0" applyFont="1" applyFill="1" applyBorder="1" applyAlignment="1" applyProtection="1">
      <alignment horizontal="center" vertical="center"/>
      <protection locked="0"/>
    </xf>
    <xf numFmtId="0" fontId="14" fillId="6" borderId="21" xfId="0" applyFont="1" applyFill="1" applyBorder="1" applyAlignment="1" applyProtection="1">
      <alignment horizontal="center" vertical="center"/>
      <protection locked="0"/>
    </xf>
    <xf numFmtId="0" fontId="13" fillId="6" borderId="41" xfId="0" applyFont="1" applyFill="1" applyBorder="1" applyAlignment="1" applyProtection="1">
      <alignment horizontal="center" vertical="center"/>
      <protection locked="0"/>
    </xf>
    <xf numFmtId="0" fontId="13" fillId="6" borderId="46" xfId="0" applyFont="1" applyFill="1" applyBorder="1" applyAlignment="1" applyProtection="1">
      <alignment horizontal="center" vertical="center"/>
      <protection locked="0"/>
    </xf>
    <xf numFmtId="0" fontId="14" fillId="5" borderId="41" xfId="0" applyFont="1" applyFill="1" applyBorder="1" applyAlignment="1" applyProtection="1">
      <alignment horizontal="center" vertical="center"/>
      <protection locked="0"/>
    </xf>
    <xf numFmtId="0" fontId="14" fillId="5" borderId="21" xfId="0" applyFont="1" applyFill="1" applyBorder="1" applyAlignment="1" applyProtection="1">
      <alignment horizontal="center" vertical="center"/>
      <protection locked="0"/>
    </xf>
    <xf numFmtId="0" fontId="14" fillId="5" borderId="46" xfId="0" applyFont="1" applyFill="1" applyBorder="1" applyAlignment="1" applyProtection="1">
      <alignment horizontal="center" vertical="center"/>
      <protection locked="0"/>
    </xf>
    <xf numFmtId="56" fontId="14" fillId="8" borderId="3" xfId="0" applyNumberFormat="1" applyFont="1" applyFill="1" applyBorder="1" applyAlignment="1" applyProtection="1">
      <alignment horizontal="center" vertical="center"/>
      <protection locked="0"/>
    </xf>
    <xf numFmtId="0" fontId="19" fillId="0" borderId="43" xfId="0" applyFont="1" applyBorder="1" applyAlignment="1">
      <alignment horizontal="right"/>
    </xf>
    <xf numFmtId="176" fontId="19" fillId="0" borderId="44" xfId="0" applyNumberFormat="1" applyFont="1" applyBorder="1" applyAlignment="1">
      <alignment horizontal="center"/>
    </xf>
    <xf numFmtId="0" fontId="19" fillId="2" borderId="45" xfId="0" applyFont="1" applyFill="1" applyBorder="1" applyAlignment="1" applyProtection="1">
      <alignment horizontal="left"/>
      <protection locked="0"/>
    </xf>
    <xf numFmtId="0" fontId="19" fillId="2" borderId="47" xfId="0" applyFont="1" applyFill="1" applyBorder="1" applyProtection="1">
      <protection locked="0"/>
    </xf>
    <xf numFmtId="0" fontId="19" fillId="2" borderId="45" xfId="0" applyFont="1" applyFill="1" applyBorder="1" applyProtection="1">
      <protection locked="0"/>
    </xf>
    <xf numFmtId="0" fontId="28" fillId="0" borderId="0" xfId="2" applyAlignment="1">
      <alignment horizontal="center" vertical="center"/>
    </xf>
    <xf numFmtId="0" fontId="28" fillId="0" borderId="49" xfId="2" applyBorder="1" applyAlignment="1">
      <alignment horizontal="center" vertical="center"/>
    </xf>
    <xf numFmtId="0" fontId="28" fillId="0" borderId="50" xfId="2" applyBorder="1" applyAlignment="1">
      <alignment horizontal="center" vertical="center"/>
    </xf>
    <xf numFmtId="0" fontId="28" fillId="0" borderId="51" xfId="2" applyBorder="1" applyAlignment="1">
      <alignment horizontal="center" vertical="center"/>
    </xf>
    <xf numFmtId="0" fontId="28" fillId="0" borderId="52" xfId="2" applyBorder="1" applyAlignment="1">
      <alignment horizontal="center" vertical="center"/>
    </xf>
    <xf numFmtId="0" fontId="28" fillId="0" borderId="53" xfId="2" applyBorder="1" applyAlignment="1">
      <alignment horizontal="center" vertical="center"/>
    </xf>
    <xf numFmtId="0" fontId="28" fillId="0" borderId="54" xfId="2" applyBorder="1" applyAlignment="1">
      <alignment horizontal="center" vertical="center"/>
    </xf>
    <xf numFmtId="0" fontId="28" fillId="0" borderId="21" xfId="2" applyBorder="1" applyAlignment="1">
      <alignment horizontal="center" vertical="center"/>
    </xf>
    <xf numFmtId="0" fontId="28" fillId="0" borderId="55" xfId="2" applyBorder="1" applyAlignment="1">
      <alignment horizontal="center" vertical="center"/>
    </xf>
    <xf numFmtId="0" fontId="28" fillId="0" borderId="27" xfId="2" applyBorder="1" applyAlignment="1">
      <alignment horizontal="center" vertical="center"/>
    </xf>
    <xf numFmtId="0" fontId="28" fillId="0" borderId="56" xfId="2" applyBorder="1" applyAlignment="1">
      <alignment horizontal="center" vertical="center"/>
    </xf>
    <xf numFmtId="0" fontId="28" fillId="0" borderId="57" xfId="2" applyBorder="1" applyAlignment="1">
      <alignment horizontal="center" vertical="center"/>
    </xf>
    <xf numFmtId="0" fontId="28" fillId="0" borderId="58" xfId="2" applyBorder="1" applyAlignment="1">
      <alignment horizontal="center" vertical="center"/>
    </xf>
    <xf numFmtId="0" fontId="28" fillId="0" borderId="43" xfId="2" applyBorder="1" applyAlignment="1">
      <alignment horizontal="center" vertical="center"/>
    </xf>
    <xf numFmtId="0" fontId="28" fillId="0" borderId="23" xfId="2" applyBorder="1" applyAlignment="1">
      <alignment horizontal="center" vertical="center"/>
    </xf>
    <xf numFmtId="0" fontId="28" fillId="0" borderId="47" xfId="2" applyBorder="1" applyAlignment="1">
      <alignment horizontal="center" vertical="center"/>
    </xf>
    <xf numFmtId="0" fontId="28" fillId="0" borderId="59" xfId="2" applyBorder="1" applyAlignment="1">
      <alignment horizontal="center" vertical="center"/>
    </xf>
    <xf numFmtId="0" fontId="28" fillId="0" borderId="60" xfId="2" applyBorder="1" applyAlignment="1">
      <alignment horizontal="center" vertical="center"/>
    </xf>
    <xf numFmtId="0" fontId="28" fillId="0" borderId="61" xfId="2" applyBorder="1" applyAlignment="1">
      <alignment horizontal="center" vertical="center"/>
    </xf>
    <xf numFmtId="0" fontId="28" fillId="0" borderId="62" xfId="2" applyBorder="1" applyAlignment="1">
      <alignment horizontal="center" vertical="center"/>
    </xf>
    <xf numFmtId="0" fontId="28" fillId="0" borderId="63" xfId="2" applyBorder="1" applyAlignment="1">
      <alignment horizontal="center" vertical="center"/>
    </xf>
    <xf numFmtId="0" fontId="28" fillId="0" borderId="64" xfId="2" applyBorder="1" applyAlignment="1">
      <alignment horizontal="center" vertical="center"/>
    </xf>
    <xf numFmtId="0" fontId="10" fillId="0" borderId="0" xfId="2" applyFont="1" applyAlignment="1">
      <alignment horizontal="center"/>
    </xf>
    <xf numFmtId="176" fontId="10" fillId="0" borderId="0" xfId="2" applyNumberFormat="1" applyFont="1" applyAlignment="1">
      <alignment horizontal="center"/>
    </xf>
    <xf numFmtId="0" fontId="10" fillId="0" borderId="0" xfId="2" applyFont="1" applyAlignment="1">
      <alignment horizontal="left"/>
    </xf>
    <xf numFmtId="0" fontId="13" fillId="0" borderId="31" xfId="0" applyFont="1" applyBorder="1" applyAlignment="1">
      <alignment horizontal="center"/>
    </xf>
    <xf numFmtId="176" fontId="21" fillId="0" borderId="31" xfId="0" applyNumberFormat="1" applyFont="1" applyBorder="1" applyAlignment="1">
      <alignment horizontal="center"/>
    </xf>
    <xf numFmtId="0" fontId="13" fillId="0" borderId="31" xfId="0" applyFont="1" applyBorder="1" applyAlignment="1" applyProtection="1">
      <alignment horizontal="right"/>
      <protection locked="0"/>
    </xf>
    <xf numFmtId="0" fontId="13" fillId="0" borderId="31" xfId="0" applyFont="1" applyBorder="1" applyAlignment="1">
      <alignment horizontal="left"/>
    </xf>
    <xf numFmtId="0" fontId="13" fillId="0" borderId="31" xfId="0" applyFont="1" applyBorder="1" applyAlignment="1">
      <alignment horizontal="right"/>
    </xf>
    <xf numFmtId="0" fontId="21" fillId="0" borderId="31" xfId="0" applyFont="1" applyBorder="1" applyAlignment="1">
      <alignment horizontal="center"/>
    </xf>
    <xf numFmtId="0" fontId="13" fillId="0" borderId="31" xfId="2" applyFont="1" applyBorder="1"/>
    <xf numFmtId="0" fontId="10" fillId="0" borderId="31" xfId="2" applyFont="1" applyBorder="1" applyAlignment="1">
      <alignment horizontal="center"/>
    </xf>
    <xf numFmtId="0" fontId="10" fillId="0" borderId="31" xfId="0" applyFont="1" applyBorder="1" applyAlignment="1">
      <alignment horizontal="center"/>
    </xf>
    <xf numFmtId="0" fontId="10" fillId="0" borderId="31" xfId="0" applyFont="1" applyBorder="1"/>
    <xf numFmtId="0" fontId="10" fillId="0" borderId="41" xfId="0" applyFont="1" applyBorder="1" applyAlignment="1">
      <alignment horizontal="center"/>
    </xf>
    <xf numFmtId="0" fontId="10" fillId="0" borderId="1" xfId="2" applyFont="1" applyBorder="1" applyAlignment="1">
      <alignment horizontal="center"/>
    </xf>
    <xf numFmtId="0" fontId="10" fillId="0" borderId="3" xfId="2" applyFont="1" applyBorder="1" applyAlignment="1">
      <alignment horizontal="center"/>
    </xf>
    <xf numFmtId="176" fontId="10" fillId="0" borderId="3" xfId="2" applyNumberFormat="1" applyFont="1" applyBorder="1" applyAlignment="1">
      <alignment horizontal="center"/>
    </xf>
    <xf numFmtId="0" fontId="10" fillId="0" borderId="6" xfId="2" applyFont="1" applyBorder="1" applyAlignment="1">
      <alignment horizontal="center"/>
    </xf>
    <xf numFmtId="0" fontId="10" fillId="0" borderId="21" xfId="2" applyFont="1" applyBorder="1" applyAlignment="1">
      <alignment horizontal="center"/>
    </xf>
    <xf numFmtId="0" fontId="28" fillId="0" borderId="0" xfId="0" applyFont="1"/>
    <xf numFmtId="49" fontId="14" fillId="2" borderId="41" xfId="0" applyNumberFormat="1" applyFont="1" applyFill="1" applyBorder="1" applyAlignment="1" applyProtection="1">
      <alignment horizontal="center"/>
      <protection locked="0"/>
    </xf>
    <xf numFmtId="49" fontId="14" fillId="2" borderId="2" xfId="0" applyNumberFormat="1" applyFont="1" applyFill="1" applyBorder="1" applyAlignment="1" applyProtection="1">
      <alignment horizontal="center"/>
      <protection locked="0"/>
    </xf>
    <xf numFmtId="49" fontId="14" fillId="2" borderId="21" xfId="0" applyNumberFormat="1" applyFont="1" applyFill="1" applyBorder="1" applyAlignment="1" applyProtection="1">
      <alignment horizontal="center"/>
      <protection locked="0"/>
    </xf>
    <xf numFmtId="49" fontId="14" fillId="2" borderId="3" xfId="0" applyNumberFormat="1" applyFont="1" applyFill="1" applyBorder="1" applyAlignment="1" applyProtection="1">
      <alignment horizontal="center"/>
      <protection locked="0"/>
    </xf>
    <xf numFmtId="0" fontId="19" fillId="0" borderId="65" xfId="0" applyFont="1" applyBorder="1"/>
    <xf numFmtId="176" fontId="19" fillId="0" borderId="66" xfId="0" applyNumberFormat="1" applyFont="1" applyBorder="1"/>
    <xf numFmtId="0" fontId="19" fillId="0" borderId="67" xfId="0" applyFont="1" applyBorder="1"/>
    <xf numFmtId="0" fontId="19" fillId="2" borderId="66" xfId="0" applyFont="1" applyFill="1" applyBorder="1" applyProtection="1">
      <protection locked="0"/>
    </xf>
    <xf numFmtId="56" fontId="14" fillId="9" borderId="41" xfId="0" applyNumberFormat="1" applyFont="1" applyFill="1" applyBorder="1" applyAlignment="1" applyProtection="1">
      <alignment horizontal="center"/>
      <protection locked="0"/>
    </xf>
    <xf numFmtId="56" fontId="14" fillId="9" borderId="2" xfId="0" applyNumberFormat="1" applyFont="1" applyFill="1" applyBorder="1" applyAlignment="1" applyProtection="1">
      <alignment horizontal="center"/>
      <protection locked="0"/>
    </xf>
    <xf numFmtId="56" fontId="14" fillId="9" borderId="21" xfId="0" applyNumberFormat="1" applyFont="1" applyFill="1" applyBorder="1" applyAlignment="1" applyProtection="1">
      <alignment horizontal="center"/>
      <protection locked="0"/>
    </xf>
    <xf numFmtId="56" fontId="14" fillId="9" borderId="3" xfId="0" applyNumberFormat="1" applyFont="1" applyFill="1" applyBorder="1" applyAlignment="1" applyProtection="1">
      <alignment horizontal="center"/>
      <protection locked="0"/>
    </xf>
    <xf numFmtId="0" fontId="14" fillId="7" borderId="46" xfId="0" applyFont="1" applyFill="1" applyBorder="1" applyAlignment="1" applyProtection="1">
      <alignment horizontal="center" vertical="center"/>
      <protection locked="0"/>
    </xf>
    <xf numFmtId="0" fontId="14" fillId="7" borderId="7" xfId="0" applyFont="1" applyFill="1" applyBorder="1" applyAlignment="1" applyProtection="1">
      <alignment horizontal="center" vertical="center"/>
      <protection locked="0"/>
    </xf>
    <xf numFmtId="0" fontId="14" fillId="4" borderId="5" xfId="0" applyFont="1" applyFill="1" applyBorder="1" applyAlignment="1" applyProtection="1">
      <alignment horizontal="center" vertical="center"/>
      <protection locked="0"/>
    </xf>
    <xf numFmtId="0" fontId="14" fillId="4" borderId="5" xfId="0" applyFont="1" applyFill="1" applyBorder="1" applyAlignment="1" applyProtection="1">
      <alignment vertical="center"/>
      <protection locked="0"/>
    </xf>
    <xf numFmtId="0" fontId="14" fillId="4" borderId="8" xfId="0" applyFont="1" applyFill="1" applyBorder="1" applyAlignment="1" applyProtection="1">
      <alignment horizontal="center" vertical="center"/>
      <protection locked="0"/>
    </xf>
    <xf numFmtId="56" fontId="14" fillId="2" borderId="5" xfId="0" applyNumberFormat="1" applyFont="1" applyFill="1" applyBorder="1" applyAlignment="1" applyProtection="1">
      <alignment horizontal="center"/>
      <protection locked="0"/>
    </xf>
    <xf numFmtId="56" fontId="14" fillId="2" borderId="6" xfId="0" applyNumberFormat="1" applyFont="1" applyFill="1" applyBorder="1" applyAlignment="1" applyProtection="1">
      <alignment horizontal="center"/>
      <protection locked="0"/>
    </xf>
    <xf numFmtId="49" fontId="14" fillId="2" borderId="5" xfId="0" applyNumberFormat="1" applyFont="1" applyFill="1" applyBorder="1" applyAlignment="1" applyProtection="1">
      <alignment horizontal="center"/>
      <protection locked="0"/>
    </xf>
    <xf numFmtId="49" fontId="14" fillId="2" borderId="6" xfId="0" applyNumberFormat="1" applyFont="1" applyFill="1" applyBorder="1" applyAlignment="1" applyProtection="1">
      <alignment horizontal="center"/>
      <protection locked="0"/>
    </xf>
    <xf numFmtId="56" fontId="14" fillId="6" borderId="5" xfId="0" applyNumberFormat="1" applyFont="1" applyFill="1" applyBorder="1" applyAlignment="1" applyProtection="1">
      <alignment horizontal="center"/>
      <protection locked="0"/>
    </xf>
    <xf numFmtId="56" fontId="14" fillId="6" borderId="6" xfId="0" applyNumberFormat="1" applyFont="1" applyFill="1" applyBorder="1" applyAlignment="1" applyProtection="1">
      <alignment horizontal="center"/>
      <protection locked="0"/>
    </xf>
    <xf numFmtId="56" fontId="14" fillId="4" borderId="5" xfId="0" applyNumberFormat="1" applyFont="1" applyFill="1" applyBorder="1" applyAlignment="1" applyProtection="1">
      <alignment horizontal="center"/>
      <protection locked="0"/>
    </xf>
    <xf numFmtId="56" fontId="14" fillId="4" borderId="6" xfId="0" applyNumberFormat="1" applyFont="1" applyFill="1" applyBorder="1" applyAlignment="1" applyProtection="1">
      <alignment horizontal="center"/>
      <protection locked="0"/>
    </xf>
    <xf numFmtId="56" fontId="14" fillId="7" borderId="5" xfId="0" applyNumberFormat="1" applyFont="1" applyFill="1" applyBorder="1" applyAlignment="1" applyProtection="1">
      <alignment horizontal="center"/>
      <protection locked="0"/>
    </xf>
    <xf numFmtId="56" fontId="14" fillId="7" borderId="6" xfId="0" applyNumberFormat="1" applyFont="1" applyFill="1" applyBorder="1" applyAlignment="1" applyProtection="1">
      <alignment horizontal="center"/>
      <protection locked="0"/>
    </xf>
    <xf numFmtId="56" fontId="14" fillId="9" borderId="5" xfId="0" applyNumberFormat="1" applyFont="1" applyFill="1" applyBorder="1" applyAlignment="1" applyProtection="1">
      <alignment horizontal="center"/>
      <protection locked="0"/>
    </xf>
    <xf numFmtId="56" fontId="14" fillId="9" borderId="6" xfId="0" applyNumberFormat="1" applyFont="1" applyFill="1" applyBorder="1" applyAlignment="1" applyProtection="1">
      <alignment horizontal="center"/>
      <protection locked="0"/>
    </xf>
    <xf numFmtId="56" fontId="14" fillId="8" borderId="5" xfId="0" applyNumberFormat="1" applyFont="1" applyFill="1" applyBorder="1" applyAlignment="1" applyProtection="1">
      <alignment horizontal="center"/>
      <protection locked="0"/>
    </xf>
    <xf numFmtId="56" fontId="14" fillId="8" borderId="6" xfId="0" applyNumberFormat="1" applyFont="1" applyFill="1" applyBorder="1" applyAlignment="1" applyProtection="1">
      <alignment horizontal="center"/>
      <protection locked="0"/>
    </xf>
    <xf numFmtId="56" fontId="14" fillId="5" borderId="5" xfId="0" applyNumberFormat="1" applyFont="1" applyFill="1" applyBorder="1" applyAlignment="1" applyProtection="1">
      <alignment horizontal="center"/>
      <protection locked="0"/>
    </xf>
    <xf numFmtId="56" fontId="14" fillId="5" borderId="6" xfId="0" applyNumberFormat="1" applyFont="1" applyFill="1" applyBorder="1" applyAlignment="1" applyProtection="1">
      <alignment horizontal="center"/>
      <protection locked="0"/>
    </xf>
    <xf numFmtId="0" fontId="14" fillId="8" borderId="5" xfId="0" applyFont="1" applyFill="1" applyBorder="1" applyAlignment="1" applyProtection="1">
      <alignment horizontal="center" vertical="center"/>
      <protection locked="0"/>
    </xf>
    <xf numFmtId="0" fontId="14" fillId="8" borderId="6" xfId="0" applyFont="1" applyFill="1" applyBorder="1" applyAlignment="1" applyProtection="1">
      <alignment horizontal="center" vertical="center"/>
      <protection locked="0"/>
    </xf>
    <xf numFmtId="56" fontId="14" fillId="8" borderId="5" xfId="0" applyNumberFormat="1" applyFont="1" applyFill="1" applyBorder="1" applyAlignment="1" applyProtection="1">
      <alignment horizontal="center" vertical="center"/>
      <protection locked="0"/>
    </xf>
    <xf numFmtId="0" fontId="14" fillId="8" borderId="8" xfId="0" applyFont="1" applyFill="1" applyBorder="1" applyAlignment="1" applyProtection="1">
      <alignment horizontal="center" vertical="center"/>
      <protection locked="0"/>
    </xf>
    <xf numFmtId="0" fontId="14" fillId="5" borderId="5" xfId="0" applyFont="1" applyFill="1" applyBorder="1" applyAlignment="1" applyProtection="1">
      <alignment horizontal="center" vertical="center"/>
      <protection locked="0"/>
    </xf>
    <xf numFmtId="0" fontId="14" fillId="5" borderId="6" xfId="0" applyFont="1" applyFill="1" applyBorder="1" applyAlignment="1" applyProtection="1">
      <alignment horizontal="center" vertical="center"/>
      <protection locked="0"/>
    </xf>
    <xf numFmtId="0" fontId="14" fillId="5" borderId="8" xfId="0" applyFont="1" applyFill="1" applyBorder="1" applyAlignment="1" applyProtection="1">
      <alignment horizontal="center" vertical="center"/>
      <protection locked="0"/>
    </xf>
    <xf numFmtId="0" fontId="14" fillId="6" borderId="5" xfId="0" applyFont="1" applyFill="1" applyBorder="1" applyAlignment="1" applyProtection="1">
      <alignment horizontal="center" vertical="center"/>
      <protection locked="0"/>
    </xf>
    <xf numFmtId="0" fontId="14" fillId="6" borderId="6" xfId="0" applyFont="1" applyFill="1" applyBorder="1" applyAlignment="1" applyProtection="1">
      <alignment horizontal="center" vertical="center"/>
      <protection locked="0"/>
    </xf>
    <xf numFmtId="0" fontId="13" fillId="6" borderId="5" xfId="0" applyFont="1" applyFill="1" applyBorder="1" applyAlignment="1" applyProtection="1">
      <alignment horizontal="center" vertical="center"/>
      <protection locked="0"/>
    </xf>
    <xf numFmtId="0" fontId="13" fillId="6" borderId="8" xfId="0" applyFont="1" applyFill="1" applyBorder="1" applyAlignment="1" applyProtection="1">
      <alignment horizontal="center" vertical="center"/>
      <protection locked="0"/>
    </xf>
    <xf numFmtId="0" fontId="14" fillId="7" borderId="8" xfId="0" applyFont="1" applyFill="1" applyBorder="1" applyAlignment="1" applyProtection="1">
      <alignment horizontal="center" vertical="center"/>
      <protection locked="0"/>
    </xf>
    <xf numFmtId="0" fontId="14" fillId="2" borderId="41" xfId="0" applyFont="1" applyFill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8" borderId="41" xfId="0" applyFont="1" applyFill="1" applyBorder="1" applyAlignment="1" applyProtection="1">
      <alignment horizontal="center"/>
      <protection locked="0"/>
    </xf>
    <xf numFmtId="0" fontId="14" fillId="8" borderId="3" xfId="0" applyFont="1" applyFill="1" applyBorder="1" applyAlignment="1" applyProtection="1">
      <alignment horizontal="center"/>
      <protection locked="0"/>
    </xf>
    <xf numFmtId="0" fontId="14" fillId="8" borderId="21" xfId="0" applyFont="1" applyFill="1" applyBorder="1" applyAlignment="1" applyProtection="1">
      <alignment horizontal="center"/>
      <protection locked="0"/>
    </xf>
    <xf numFmtId="56" fontId="14" fillId="7" borderId="3" xfId="0" quotePrefix="1" applyNumberFormat="1" applyFont="1" applyFill="1" applyBorder="1" applyAlignment="1" applyProtection="1">
      <alignment horizontal="center"/>
      <protection locked="0"/>
    </xf>
    <xf numFmtId="0" fontId="14" fillId="2" borderId="3" xfId="0" applyFont="1" applyFill="1" applyBorder="1" applyAlignment="1" applyProtection="1">
      <alignment horizontal="center" vertical="center"/>
      <protection locked="0"/>
    </xf>
    <xf numFmtId="0" fontId="14" fillId="2" borderId="21" xfId="0" applyFont="1" applyFill="1" applyBorder="1" applyAlignment="1" applyProtection="1">
      <alignment horizontal="center" vertical="center"/>
      <protection locked="0"/>
    </xf>
    <xf numFmtId="0" fontId="14" fillId="2" borderId="6" xfId="0" applyFont="1" applyFill="1" applyBorder="1" applyAlignment="1" applyProtection="1">
      <alignment horizontal="center" vertical="center"/>
      <protection locked="0"/>
    </xf>
    <xf numFmtId="0" fontId="14" fillId="2" borderId="2" xfId="0" applyFont="1" applyFill="1" applyBorder="1" applyAlignment="1" applyProtection="1">
      <alignment horizontal="center" vertical="center"/>
      <protection locked="0"/>
    </xf>
    <xf numFmtId="0" fontId="14" fillId="2" borderId="41" xfId="0" applyFont="1" applyFill="1" applyBorder="1" applyAlignment="1" applyProtection="1">
      <alignment horizontal="center" vertical="center"/>
      <protection locked="0"/>
    </xf>
    <xf numFmtId="0" fontId="14" fillId="2" borderId="5" xfId="0" applyFont="1" applyFill="1" applyBorder="1" applyAlignment="1" applyProtection="1">
      <alignment horizontal="center" vertical="center"/>
      <protection locked="0"/>
    </xf>
    <xf numFmtId="0" fontId="14" fillId="7" borderId="2" xfId="0" applyFont="1" applyFill="1" applyBorder="1" applyAlignment="1">
      <alignment horizontal="center" vertical="center"/>
    </xf>
    <xf numFmtId="0" fontId="14" fillId="7" borderId="41" xfId="0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28" fillId="0" borderId="0" xfId="2" applyAlignment="1">
      <alignment vertical="center"/>
    </xf>
    <xf numFmtId="0" fontId="28" fillId="0" borderId="0" xfId="2"/>
    <xf numFmtId="0" fontId="11" fillId="0" borderId="0" xfId="0" applyFont="1" applyAlignment="1">
      <alignment horizontal="left"/>
    </xf>
    <xf numFmtId="56" fontId="14" fillId="6" borderId="3" xfId="0" quotePrefix="1" applyNumberFormat="1" applyFont="1" applyFill="1" applyBorder="1" applyAlignment="1" applyProtection="1">
      <alignment horizontal="center"/>
      <protection locked="0"/>
    </xf>
    <xf numFmtId="56" fontId="14" fillId="7" borderId="21" xfId="0" quotePrefix="1" applyNumberFormat="1" applyFont="1" applyFill="1" applyBorder="1" applyAlignment="1" applyProtection="1">
      <alignment horizontal="center"/>
      <protection locked="0"/>
    </xf>
    <xf numFmtId="176" fontId="13" fillId="0" borderId="0" xfId="0" applyNumberFormat="1" applyFont="1" applyAlignment="1">
      <alignment horizontal="center"/>
    </xf>
    <xf numFmtId="0" fontId="13" fillId="0" borderId="15" xfId="0" applyFont="1" applyBorder="1" applyAlignment="1">
      <alignment horizontal="left"/>
    </xf>
    <xf numFmtId="0" fontId="13" fillId="0" borderId="10" xfId="0" applyFont="1" applyBorder="1" applyAlignment="1">
      <alignment horizontal="center"/>
    </xf>
    <xf numFmtId="0" fontId="13" fillId="0" borderId="4" xfId="0" applyFont="1" applyBorder="1" applyAlignment="1">
      <alignment horizontal="left"/>
    </xf>
    <xf numFmtId="0" fontId="13" fillId="0" borderId="17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0" xfId="0" applyFont="1" applyBorder="1" applyAlignment="1">
      <alignment horizontal="left"/>
    </xf>
    <xf numFmtId="0" fontId="13" fillId="0" borderId="14" xfId="0" applyFont="1" applyBorder="1" applyAlignment="1">
      <alignment horizontal="right"/>
    </xf>
    <xf numFmtId="0" fontId="13" fillId="0" borderId="9" xfId="0" applyFont="1" applyBorder="1" applyAlignment="1">
      <alignment horizontal="left"/>
    </xf>
    <xf numFmtId="0" fontId="13" fillId="0" borderId="13" xfId="0" applyFont="1" applyBorder="1" applyAlignment="1">
      <alignment horizontal="right"/>
    </xf>
    <xf numFmtId="176" fontId="13" fillId="0" borderId="7" xfId="0" applyNumberFormat="1" applyFont="1" applyBorder="1" applyAlignment="1">
      <alignment horizontal="center"/>
    </xf>
    <xf numFmtId="176" fontId="13" fillId="0" borderId="8" xfId="0" applyNumberFormat="1" applyFont="1" applyBorder="1" applyAlignment="1">
      <alignment horizont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4" fillId="6" borderId="3" xfId="0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18" fillId="0" borderId="2" xfId="0" applyFont="1" applyBorder="1" applyAlignment="1">
      <alignment horizontal="center"/>
    </xf>
    <xf numFmtId="56" fontId="18" fillId="0" borderId="2" xfId="0" applyNumberFormat="1" applyFont="1" applyBorder="1" applyAlignment="1">
      <alignment horizontal="center"/>
    </xf>
    <xf numFmtId="56" fontId="18" fillId="0" borderId="2" xfId="0" applyNumberFormat="1" applyFont="1" applyBorder="1" applyAlignment="1" applyProtection="1">
      <alignment horizontal="center"/>
      <protection locked="0"/>
    </xf>
    <xf numFmtId="0" fontId="18" fillId="0" borderId="5" xfId="0" applyFont="1" applyBorder="1" applyAlignment="1">
      <alignment horizontal="center"/>
    </xf>
    <xf numFmtId="56" fontId="18" fillId="0" borderId="5" xfId="0" applyNumberFormat="1" applyFont="1" applyBorder="1" applyAlignment="1">
      <alignment horizontal="center"/>
    </xf>
    <xf numFmtId="56" fontId="18" fillId="0" borderId="5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56" fontId="18" fillId="0" borderId="3" xfId="0" applyNumberFormat="1" applyFont="1" applyBorder="1" applyAlignment="1">
      <alignment horizontal="center"/>
    </xf>
    <xf numFmtId="56" fontId="18" fillId="0" borderId="6" xfId="0" applyNumberFormat="1" applyFont="1" applyBorder="1" applyAlignment="1">
      <alignment horizontal="center"/>
    </xf>
    <xf numFmtId="56" fontId="18" fillId="0" borderId="3" xfId="0" applyNumberFormat="1" applyFont="1" applyBorder="1" applyAlignment="1" applyProtection="1">
      <alignment horizontal="center"/>
      <protection locked="0"/>
    </xf>
    <xf numFmtId="56" fontId="18" fillId="0" borderId="6" xfId="0" applyNumberFormat="1" applyFont="1" applyBorder="1" applyAlignment="1" applyProtection="1">
      <alignment horizontal="center"/>
      <protection locked="0"/>
    </xf>
    <xf numFmtId="0" fontId="13" fillId="0" borderId="3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28" fillId="10" borderId="57" xfId="2" applyFill="1" applyBorder="1" applyAlignment="1">
      <alignment horizontal="center" vertical="center"/>
    </xf>
    <xf numFmtId="0" fontId="32" fillId="0" borderId="0" xfId="2" applyFont="1" applyAlignment="1">
      <alignment horizontal="left" vertical="center"/>
    </xf>
    <xf numFmtId="0" fontId="28" fillId="0" borderId="0" xfId="2" applyAlignment="1">
      <alignment horizontal="center"/>
    </xf>
    <xf numFmtId="0" fontId="33" fillId="0" borderId="68" xfId="2" applyFont="1" applyBorder="1" applyAlignment="1">
      <alignment horizontal="center"/>
    </xf>
    <xf numFmtId="0" fontId="33" fillId="0" borderId="69" xfId="2" applyFont="1" applyBorder="1" applyAlignment="1">
      <alignment horizontal="center"/>
    </xf>
    <xf numFmtId="0" fontId="33" fillId="11" borderId="69" xfId="2" applyFont="1" applyFill="1" applyBorder="1"/>
    <xf numFmtId="0" fontId="34" fillId="0" borderId="69" xfId="2" applyFont="1" applyBorder="1" applyAlignment="1">
      <alignment horizontal="center"/>
    </xf>
    <xf numFmtId="0" fontId="33" fillId="0" borderId="70" xfId="2" applyFont="1" applyBorder="1" applyAlignment="1">
      <alignment horizontal="center"/>
    </xf>
    <xf numFmtId="0" fontId="33" fillId="0" borderId="71" xfId="2" applyFont="1" applyBorder="1" applyAlignment="1">
      <alignment horizontal="center"/>
    </xf>
    <xf numFmtId="0" fontId="33" fillId="0" borderId="72" xfId="2" applyFont="1" applyBorder="1" applyAlignment="1">
      <alignment horizontal="center"/>
    </xf>
    <xf numFmtId="0" fontId="33" fillId="11" borderId="72" xfId="2" applyFont="1" applyFill="1" applyBorder="1"/>
    <xf numFmtId="0" fontId="34" fillId="0" borderId="72" xfId="2" applyFont="1" applyBorder="1" applyAlignment="1">
      <alignment horizontal="center"/>
    </xf>
    <xf numFmtId="0" fontId="33" fillId="0" borderId="73" xfId="2" applyFont="1" applyBorder="1" applyAlignment="1">
      <alignment horizontal="center"/>
    </xf>
    <xf numFmtId="56" fontId="14" fillId="2" borderId="2" xfId="0" applyNumberFormat="1" applyFont="1" applyFill="1" applyBorder="1" applyAlignment="1" applyProtection="1">
      <alignment horizontal="center" vertical="center"/>
      <protection locked="0"/>
    </xf>
    <xf numFmtId="56" fontId="14" fillId="7" borderId="2" xfId="0" applyNumberFormat="1" applyFont="1" applyFill="1" applyBorder="1" applyAlignment="1" applyProtection="1">
      <alignment horizontal="center" vertical="center"/>
      <protection locked="0"/>
    </xf>
    <xf numFmtId="56" fontId="14" fillId="7" borderId="3" xfId="0" applyNumberFormat="1" applyFont="1" applyFill="1" applyBorder="1" applyAlignment="1" applyProtection="1">
      <alignment horizontal="center" vertical="center"/>
      <protection locked="0"/>
    </xf>
    <xf numFmtId="56" fontId="14" fillId="2" borderId="41" xfId="0" applyNumberFormat="1" applyFont="1" applyFill="1" applyBorder="1" applyAlignment="1" applyProtection="1">
      <alignment horizontal="center" vertical="center"/>
      <protection locked="0"/>
    </xf>
    <xf numFmtId="0" fontId="14" fillId="8" borderId="5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20" fontId="10" fillId="0" borderId="3" xfId="2" applyNumberFormat="1" applyFont="1" applyBorder="1" applyAlignment="1">
      <alignment horizontal="center"/>
    </xf>
    <xf numFmtId="20" fontId="10" fillId="0" borderId="1" xfId="2" applyNumberFormat="1" applyFont="1" applyBorder="1" applyAlignment="1">
      <alignment horizontal="center"/>
    </xf>
    <xf numFmtId="0" fontId="10" fillId="7" borderId="2" xfId="0" applyFont="1" applyFill="1" applyBorder="1" applyAlignment="1">
      <alignment horizontal="center" vertical="center"/>
    </xf>
    <xf numFmtId="0" fontId="12" fillId="4" borderId="0" xfId="0" applyFont="1" applyFill="1" applyAlignment="1" applyProtection="1">
      <alignment horizontal="center"/>
      <protection locked="0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0" fontId="14" fillId="0" borderId="2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7" borderId="41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56" fontId="35" fillId="8" borderId="3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3" fillId="0" borderId="1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4" fillId="8" borderId="2" xfId="0" applyFont="1" applyFill="1" applyBorder="1" applyAlignment="1">
      <alignment horizontal="center" vertical="center"/>
    </xf>
    <xf numFmtId="0" fontId="14" fillId="8" borderId="41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/>
    </xf>
    <xf numFmtId="0" fontId="14" fillId="8" borderId="21" xfId="0" applyFont="1" applyFill="1" applyBorder="1" applyAlignment="1">
      <alignment horizontal="center" vertical="center"/>
    </xf>
    <xf numFmtId="0" fontId="14" fillId="8" borderId="6" xfId="0" applyFont="1" applyFill="1" applyBorder="1" applyAlignment="1">
      <alignment horizontal="center" vertical="center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8" borderId="46" xfId="0" applyFont="1" applyFill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4" fillId="0" borderId="10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4" fillId="4" borderId="2" xfId="0" applyFont="1" applyFill="1" applyBorder="1" applyAlignment="1">
      <alignment horizontal="center" vertical="center"/>
    </xf>
    <xf numFmtId="0" fontId="14" fillId="4" borderId="41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9" fillId="7" borderId="2" xfId="0" applyFont="1" applyFill="1" applyBorder="1" applyAlignment="1">
      <alignment horizontal="center" vertical="center"/>
    </xf>
    <xf numFmtId="0" fontId="29" fillId="7" borderId="41" xfId="0" applyFont="1" applyFill="1" applyBorder="1" applyAlignment="1">
      <alignment horizontal="center" vertical="center"/>
    </xf>
    <xf numFmtId="0" fontId="29" fillId="7" borderId="5" xfId="0" applyFont="1" applyFill="1" applyBorder="1" applyAlignment="1">
      <alignment horizontal="center" vertical="center"/>
    </xf>
    <xf numFmtId="0" fontId="29" fillId="7" borderId="3" xfId="0" applyFont="1" applyFill="1" applyBorder="1" applyAlignment="1">
      <alignment horizontal="center" vertical="center"/>
    </xf>
    <xf numFmtId="0" fontId="29" fillId="7" borderId="21" xfId="0" applyFont="1" applyFill="1" applyBorder="1" applyAlignment="1">
      <alignment horizontal="center" vertical="center"/>
    </xf>
    <xf numFmtId="0" fontId="29" fillId="7" borderId="6" xfId="0" applyFont="1" applyFill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3" fillId="0" borderId="11" xfId="0" applyFont="1" applyBorder="1" applyAlignment="1">
      <alignment horizontal="right" vertical="center"/>
    </xf>
    <xf numFmtId="0" fontId="13" fillId="0" borderId="12" xfId="0" applyFont="1" applyBorder="1" applyAlignment="1">
      <alignment horizontal="left" vertical="center"/>
    </xf>
    <xf numFmtId="0" fontId="14" fillId="0" borderId="0" xfId="0" applyFont="1" applyAlignment="1">
      <alignment vertical="center"/>
    </xf>
    <xf numFmtId="0" fontId="20" fillId="0" borderId="0" xfId="0" applyFont="1" applyAlignment="1">
      <alignment horizontal="center"/>
    </xf>
    <xf numFmtId="0" fontId="31" fillId="0" borderId="0" xfId="2" applyFont="1" applyAlignment="1">
      <alignment horizontal="center"/>
    </xf>
    <xf numFmtId="56" fontId="14" fillId="0" borderId="0" xfId="0" applyNumberFormat="1" applyFont="1" applyAlignment="1" applyProtection="1">
      <alignment horizontal="center"/>
      <protection locked="0"/>
    </xf>
    <xf numFmtId="0" fontId="29" fillId="0" borderId="10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4" fillId="0" borderId="41" xfId="0" applyFont="1" applyBorder="1" applyAlignment="1">
      <alignment horizontal="center"/>
    </xf>
    <xf numFmtId="0" fontId="13" fillId="0" borderId="41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3" fillId="0" borderId="10" xfId="0" applyFont="1" applyBorder="1" applyAlignment="1">
      <alignment horizontal="left" vertical="center"/>
    </xf>
    <xf numFmtId="0" fontId="13" fillId="0" borderId="14" xfId="0" applyFont="1" applyBorder="1" applyAlignment="1">
      <alignment horizontal="right" vertical="center"/>
    </xf>
    <xf numFmtId="0" fontId="13" fillId="0" borderId="9" xfId="0" applyFont="1" applyBorder="1" applyAlignment="1">
      <alignment horizontal="left" vertical="center"/>
    </xf>
    <xf numFmtId="0" fontId="13" fillId="0" borderId="13" xfId="0" applyFont="1" applyBorder="1" applyAlignment="1">
      <alignment horizontal="right" vertical="center"/>
    </xf>
    <xf numFmtId="0" fontId="13" fillId="0" borderId="74" xfId="0" applyFont="1" applyBorder="1" applyAlignment="1">
      <alignment horizontal="center" vertical="center"/>
    </xf>
    <xf numFmtId="0" fontId="13" fillId="0" borderId="78" xfId="0" applyFont="1" applyBorder="1" applyAlignment="1">
      <alignment horizontal="center" vertical="center"/>
    </xf>
    <xf numFmtId="0" fontId="14" fillId="8" borderId="75" xfId="0" applyFont="1" applyFill="1" applyBorder="1" applyAlignment="1" applyProtection="1">
      <alignment horizontal="center" vertical="center"/>
      <protection locked="0"/>
    </xf>
    <xf numFmtId="0" fontId="14" fillId="8" borderId="76" xfId="0" applyFont="1" applyFill="1" applyBorder="1" applyAlignment="1" applyProtection="1">
      <alignment horizontal="center" vertical="center"/>
      <protection locked="0"/>
    </xf>
    <xf numFmtId="0" fontId="14" fillId="8" borderId="77" xfId="0" applyFont="1" applyFill="1" applyBorder="1" applyAlignment="1" applyProtection="1">
      <alignment horizontal="center" vertical="center"/>
      <protection locked="0"/>
    </xf>
    <xf numFmtId="0" fontId="36" fillId="0" borderId="2" xfId="0" applyFont="1" applyBorder="1" applyAlignment="1">
      <alignment horizontal="center" vertical="center"/>
    </xf>
    <xf numFmtId="0" fontId="13" fillId="0" borderId="74" xfId="0" applyFont="1" applyBorder="1" applyAlignment="1">
      <alignment horizontal="center"/>
    </xf>
    <xf numFmtId="176" fontId="13" fillId="0" borderId="75" xfId="0" applyNumberFormat="1" applyFont="1" applyBorder="1" applyAlignment="1">
      <alignment horizontal="center"/>
    </xf>
    <xf numFmtId="0" fontId="13" fillId="0" borderId="74" xfId="0" applyFont="1" applyBorder="1" applyAlignment="1">
      <alignment horizontal="right"/>
    </xf>
    <xf numFmtId="176" fontId="13" fillId="0" borderId="77" xfId="0" applyNumberFormat="1" applyFont="1" applyBorder="1" applyAlignment="1">
      <alignment horizontal="center"/>
    </xf>
    <xf numFmtId="0" fontId="13" fillId="0" borderId="78" xfId="0" applyFont="1" applyBorder="1" applyAlignment="1">
      <alignment horizontal="right"/>
    </xf>
    <xf numFmtId="0" fontId="14" fillId="2" borderId="75" xfId="0" applyFont="1" applyFill="1" applyBorder="1" applyAlignment="1" applyProtection="1">
      <alignment horizontal="center"/>
      <protection locked="0"/>
    </xf>
    <xf numFmtId="0" fontId="14" fillId="2" borderId="77" xfId="0" applyFont="1" applyFill="1" applyBorder="1" applyAlignment="1" applyProtection="1">
      <alignment horizontal="center"/>
      <protection locked="0"/>
    </xf>
    <xf numFmtId="0" fontId="13" fillId="0" borderId="78" xfId="0" applyFont="1" applyBorder="1" applyAlignment="1">
      <alignment horizontal="center"/>
    </xf>
    <xf numFmtId="176" fontId="13" fillId="0" borderId="76" xfId="0" applyNumberFormat="1" applyFont="1" applyBorder="1" applyAlignment="1">
      <alignment horizontal="center"/>
    </xf>
    <xf numFmtId="0" fontId="14" fillId="0" borderId="75" xfId="0" applyFont="1" applyBorder="1" applyAlignment="1">
      <alignment horizontal="center"/>
    </xf>
    <xf numFmtId="0" fontId="14" fillId="0" borderId="76" xfId="0" applyFont="1" applyBorder="1" applyAlignment="1">
      <alignment horizontal="center"/>
    </xf>
    <xf numFmtId="0" fontId="14" fillId="0" borderId="77" xfId="0" applyFont="1" applyBorder="1" applyAlignment="1">
      <alignment horizontal="center"/>
    </xf>
    <xf numFmtId="56" fontId="14" fillId="2" borderId="75" xfId="0" applyNumberFormat="1" applyFont="1" applyFill="1" applyBorder="1" applyAlignment="1" applyProtection="1">
      <alignment horizontal="center"/>
      <protection locked="0"/>
    </xf>
    <xf numFmtId="56" fontId="14" fillId="2" borderId="76" xfId="0" applyNumberFormat="1" applyFont="1" applyFill="1" applyBorder="1" applyAlignment="1" applyProtection="1">
      <alignment horizontal="center"/>
      <protection locked="0"/>
    </xf>
    <xf numFmtId="56" fontId="14" fillId="2" borderId="77" xfId="0" applyNumberFormat="1" applyFont="1" applyFill="1" applyBorder="1" applyAlignment="1" applyProtection="1">
      <alignment horizontal="center"/>
      <protection locked="0"/>
    </xf>
    <xf numFmtId="56" fontId="14" fillId="6" borderId="75" xfId="0" applyNumberFormat="1" applyFont="1" applyFill="1" applyBorder="1" applyAlignment="1" applyProtection="1">
      <alignment horizontal="center"/>
      <protection locked="0"/>
    </xf>
    <xf numFmtId="56" fontId="14" fillId="6" borderId="76" xfId="0" applyNumberFormat="1" applyFont="1" applyFill="1" applyBorder="1" applyAlignment="1" applyProtection="1">
      <alignment horizontal="center"/>
      <protection locked="0"/>
    </xf>
    <xf numFmtId="56" fontId="14" fillId="6" borderId="77" xfId="0" applyNumberFormat="1" applyFont="1" applyFill="1" applyBorder="1" applyAlignment="1" applyProtection="1">
      <alignment horizontal="center"/>
      <protection locked="0"/>
    </xf>
    <xf numFmtId="56" fontId="14" fillId="5" borderId="75" xfId="0" applyNumberFormat="1" applyFont="1" applyFill="1" applyBorder="1" applyAlignment="1" applyProtection="1">
      <alignment horizontal="center"/>
      <protection locked="0"/>
    </xf>
    <xf numFmtId="56" fontId="14" fillId="5" borderId="76" xfId="0" applyNumberFormat="1" applyFont="1" applyFill="1" applyBorder="1" applyAlignment="1" applyProtection="1">
      <alignment horizontal="center"/>
      <protection locked="0"/>
    </xf>
    <xf numFmtId="56" fontId="14" fillId="5" borderId="77" xfId="0" applyNumberFormat="1" applyFont="1" applyFill="1" applyBorder="1" applyAlignment="1" applyProtection="1">
      <alignment horizontal="center"/>
      <protection locked="0"/>
    </xf>
    <xf numFmtId="0" fontId="14" fillId="0" borderId="74" xfId="0" applyFont="1" applyBorder="1" applyAlignment="1">
      <alignment horizontal="center"/>
    </xf>
    <xf numFmtId="56" fontId="14" fillId="7" borderId="75" xfId="0" applyNumberFormat="1" applyFont="1" applyFill="1" applyBorder="1" applyAlignment="1" applyProtection="1">
      <alignment horizontal="center"/>
      <protection locked="0"/>
    </xf>
    <xf numFmtId="56" fontId="14" fillId="7" borderId="76" xfId="0" applyNumberFormat="1" applyFont="1" applyFill="1" applyBorder="1" applyAlignment="1" applyProtection="1">
      <alignment horizontal="center"/>
      <protection locked="0"/>
    </xf>
    <xf numFmtId="56" fontId="14" fillId="7" borderId="77" xfId="0" applyNumberFormat="1" applyFont="1" applyFill="1" applyBorder="1" applyAlignment="1" applyProtection="1">
      <alignment horizontal="center"/>
      <protection locked="0"/>
    </xf>
    <xf numFmtId="0" fontId="14" fillId="0" borderId="78" xfId="0" applyFont="1" applyBorder="1" applyAlignment="1">
      <alignment horizontal="center"/>
    </xf>
    <xf numFmtId="56" fontId="14" fillId="9" borderId="75" xfId="0" applyNumberFormat="1" applyFont="1" applyFill="1" applyBorder="1" applyAlignment="1" applyProtection="1">
      <alignment horizontal="center"/>
      <protection locked="0"/>
    </xf>
    <xf numFmtId="56" fontId="14" fillId="9" borderId="76" xfId="0" applyNumberFormat="1" applyFont="1" applyFill="1" applyBorder="1" applyAlignment="1" applyProtection="1">
      <alignment horizontal="center"/>
      <protection locked="0"/>
    </xf>
    <xf numFmtId="56" fontId="14" fillId="9" borderId="77" xfId="0" applyNumberFormat="1" applyFont="1" applyFill="1" applyBorder="1" applyAlignment="1" applyProtection="1">
      <alignment horizontal="center"/>
      <protection locked="0"/>
    </xf>
    <xf numFmtId="0" fontId="13" fillId="0" borderId="74" xfId="0" applyFont="1" applyBorder="1" applyAlignment="1">
      <alignment horizontal="right" vertical="center"/>
    </xf>
    <xf numFmtId="176" fontId="13" fillId="0" borderId="75" xfId="0" applyNumberFormat="1" applyFont="1" applyBorder="1" applyAlignment="1">
      <alignment horizontal="center" vertical="center"/>
    </xf>
    <xf numFmtId="176" fontId="13" fillId="0" borderId="76" xfId="0" applyNumberFormat="1" applyFont="1" applyBorder="1" applyAlignment="1">
      <alignment horizontal="center" vertical="center"/>
    </xf>
    <xf numFmtId="176" fontId="13" fillId="0" borderId="77" xfId="0" applyNumberFormat="1" applyFont="1" applyBorder="1" applyAlignment="1">
      <alignment horizontal="center" vertical="center"/>
    </xf>
    <xf numFmtId="0" fontId="13" fillId="0" borderId="78" xfId="0" applyFont="1" applyBorder="1" applyAlignment="1">
      <alignment horizontal="right" vertical="center"/>
    </xf>
    <xf numFmtId="0" fontId="14" fillId="0" borderId="75" xfId="0" applyFont="1" applyBorder="1" applyAlignment="1">
      <alignment horizontal="center" vertical="center"/>
    </xf>
    <xf numFmtId="0" fontId="14" fillId="0" borderId="76" xfId="0" applyFont="1" applyBorder="1" applyAlignment="1">
      <alignment horizontal="center" vertical="center"/>
    </xf>
    <xf numFmtId="0" fontId="14" fillId="0" borderId="77" xfId="0" applyFont="1" applyBorder="1" applyAlignment="1">
      <alignment horizontal="center" vertical="center"/>
    </xf>
    <xf numFmtId="0" fontId="36" fillId="0" borderId="75" xfId="0" applyFont="1" applyBorder="1" applyAlignment="1">
      <alignment horizontal="center" vertical="center"/>
    </xf>
    <xf numFmtId="0" fontId="10" fillId="0" borderId="75" xfId="0" applyFont="1" applyBorder="1" applyAlignment="1">
      <alignment horizontal="center" vertical="center"/>
    </xf>
    <xf numFmtId="0" fontId="10" fillId="0" borderId="76" xfId="0" applyFont="1" applyBorder="1" applyAlignment="1">
      <alignment horizontal="center" vertical="center"/>
    </xf>
    <xf numFmtId="0" fontId="10" fillId="0" borderId="77" xfId="0" applyFont="1" applyBorder="1" applyAlignment="1">
      <alignment horizontal="center" vertical="center"/>
    </xf>
    <xf numFmtId="0" fontId="14" fillId="6" borderId="75" xfId="0" applyFont="1" applyFill="1" applyBorder="1" applyAlignment="1" applyProtection="1">
      <alignment horizontal="center" vertical="center"/>
      <protection locked="0"/>
    </xf>
    <xf numFmtId="0" fontId="14" fillId="6" borderId="75" xfId="0" applyFont="1" applyFill="1" applyBorder="1" applyAlignment="1" applyProtection="1">
      <alignment horizontal="center"/>
      <protection locked="0"/>
    </xf>
    <xf numFmtId="0" fontId="14" fillId="6" borderId="76" xfId="0" applyFont="1" applyFill="1" applyBorder="1" applyAlignment="1" applyProtection="1">
      <alignment horizontal="center" vertical="center"/>
      <protection locked="0"/>
    </xf>
    <xf numFmtId="0" fontId="14" fillId="6" borderId="77" xfId="0" applyFont="1" applyFill="1" applyBorder="1" applyAlignment="1" applyProtection="1">
      <alignment horizontal="center" vertical="center"/>
      <protection locked="0"/>
    </xf>
    <xf numFmtId="0" fontId="14" fillId="5" borderId="75" xfId="0" applyFont="1" applyFill="1" applyBorder="1" applyAlignment="1" applyProtection="1">
      <alignment horizontal="center" vertical="center"/>
      <protection locked="0"/>
    </xf>
    <xf numFmtId="0" fontId="14" fillId="5" borderId="76" xfId="0" applyFont="1" applyFill="1" applyBorder="1" applyAlignment="1" applyProtection="1">
      <alignment horizontal="center" vertical="center"/>
      <protection locked="0"/>
    </xf>
    <xf numFmtId="0" fontId="14" fillId="5" borderId="77" xfId="0" applyFont="1" applyFill="1" applyBorder="1" applyAlignment="1" applyProtection="1">
      <alignment horizontal="center" vertical="center"/>
      <protection locked="0"/>
    </xf>
    <xf numFmtId="0" fontId="14" fillId="2" borderId="75" xfId="0" applyFont="1" applyFill="1" applyBorder="1" applyAlignment="1" applyProtection="1">
      <alignment horizontal="center" vertical="center"/>
      <protection locked="0"/>
    </xf>
    <xf numFmtId="0" fontId="14" fillId="2" borderId="76" xfId="0" applyFont="1" applyFill="1" applyBorder="1" applyAlignment="1" applyProtection="1">
      <alignment horizontal="center" vertical="center"/>
      <protection locked="0"/>
    </xf>
    <xf numFmtId="0" fontId="14" fillId="2" borderId="77" xfId="0" applyFont="1" applyFill="1" applyBorder="1" applyAlignment="1" applyProtection="1">
      <alignment horizontal="center" vertical="center"/>
      <protection locked="0"/>
    </xf>
    <xf numFmtId="0" fontId="14" fillId="2" borderId="76" xfId="0" applyFont="1" applyFill="1" applyBorder="1" applyAlignment="1" applyProtection="1">
      <alignment horizontal="center"/>
      <protection locked="0"/>
    </xf>
    <xf numFmtId="0" fontId="14" fillId="7" borderId="75" xfId="0" applyFont="1" applyFill="1" applyBorder="1" applyAlignment="1">
      <alignment horizontal="center" vertical="center"/>
    </xf>
    <xf numFmtId="0" fontId="14" fillId="7" borderId="76" xfId="0" applyFont="1" applyFill="1" applyBorder="1" applyAlignment="1">
      <alignment horizontal="center" vertical="center"/>
    </xf>
    <xf numFmtId="0" fontId="14" fillId="7" borderId="77" xfId="0" applyFont="1" applyFill="1" applyBorder="1" applyAlignment="1">
      <alignment horizontal="center" vertical="center"/>
    </xf>
    <xf numFmtId="0" fontId="10" fillId="7" borderId="75" xfId="0" applyFont="1" applyFill="1" applyBorder="1" applyAlignment="1" applyProtection="1">
      <alignment horizontal="center" vertical="center"/>
      <protection locked="0"/>
    </xf>
    <xf numFmtId="0" fontId="10" fillId="7" borderId="76" xfId="0" applyFont="1" applyFill="1" applyBorder="1" applyAlignment="1" applyProtection="1">
      <alignment horizontal="center" vertical="center"/>
      <protection locked="0"/>
    </xf>
    <xf numFmtId="0" fontId="10" fillId="7" borderId="77" xfId="0" applyFont="1" applyFill="1" applyBorder="1" applyAlignment="1" applyProtection="1">
      <alignment horizontal="center" vertical="center"/>
      <protection locked="0"/>
    </xf>
    <xf numFmtId="0" fontId="19" fillId="0" borderId="76" xfId="0" applyFont="1" applyBorder="1"/>
    <xf numFmtId="176" fontId="19" fillId="0" borderId="77" xfId="0" applyNumberFormat="1" applyFont="1" applyBorder="1"/>
    <xf numFmtId="0" fontId="19" fillId="0" borderId="75" xfId="0" applyFont="1" applyBorder="1"/>
    <xf numFmtId="0" fontId="19" fillId="2" borderId="77" xfId="0" applyFont="1" applyFill="1" applyBorder="1" applyProtection="1">
      <protection locked="0"/>
    </xf>
    <xf numFmtId="0" fontId="10" fillId="0" borderId="76" xfId="0" applyFont="1" applyBorder="1" applyAlignment="1">
      <alignment horizontal="center"/>
    </xf>
    <xf numFmtId="176" fontId="10" fillId="0" borderId="75" xfId="0" applyNumberFormat="1" applyFont="1" applyBorder="1" applyAlignment="1">
      <alignment horizontal="center"/>
    </xf>
    <xf numFmtId="0" fontId="10" fillId="0" borderId="75" xfId="0" applyFont="1" applyBorder="1"/>
    <xf numFmtId="0" fontId="10" fillId="0" borderId="77" xfId="0" applyFont="1" applyBorder="1" applyAlignment="1">
      <alignment horizontal="center"/>
    </xf>
    <xf numFmtId="0" fontId="10" fillId="0" borderId="76" xfId="2" applyFont="1" applyBorder="1" applyAlignment="1">
      <alignment horizontal="center"/>
    </xf>
    <xf numFmtId="176" fontId="10" fillId="0" borderId="75" xfId="2" applyNumberFormat="1" applyFont="1" applyBorder="1" applyAlignment="1">
      <alignment horizontal="center"/>
    </xf>
    <xf numFmtId="0" fontId="10" fillId="0" borderId="75" xfId="2" applyFont="1" applyBorder="1" applyAlignment="1">
      <alignment horizontal="center"/>
    </xf>
    <xf numFmtId="0" fontId="10" fillId="0" borderId="77" xfId="2" applyFont="1" applyBorder="1" applyAlignment="1">
      <alignment horizontal="center"/>
    </xf>
    <xf numFmtId="0" fontId="18" fillId="0" borderId="75" xfId="0" applyFont="1" applyBorder="1" applyAlignment="1">
      <alignment horizontal="center"/>
    </xf>
    <xf numFmtId="0" fontId="18" fillId="0" borderId="77" xfId="0" applyFont="1" applyBorder="1" applyAlignment="1">
      <alignment horizontal="center"/>
    </xf>
    <xf numFmtId="56" fontId="18" fillId="0" borderId="75" xfId="0" applyNumberFormat="1" applyFont="1" applyBorder="1" applyAlignment="1">
      <alignment horizontal="center"/>
    </xf>
    <xf numFmtId="56" fontId="18" fillId="0" borderId="77" xfId="0" applyNumberFormat="1" applyFont="1" applyBorder="1" applyAlignment="1">
      <alignment horizontal="center"/>
    </xf>
    <xf numFmtId="0" fontId="22" fillId="3" borderId="74" xfId="0" applyFont="1" applyFill="1" applyBorder="1" applyAlignment="1" applyProtection="1">
      <alignment horizontal="center" vertical="center"/>
      <protection locked="0"/>
    </xf>
    <xf numFmtId="0" fontId="22" fillId="3" borderId="77" xfId="0" applyFont="1" applyFill="1" applyBorder="1" applyAlignment="1" applyProtection="1">
      <alignment horizontal="center" vertical="center"/>
      <protection locked="0"/>
    </xf>
    <xf numFmtId="0" fontId="22" fillId="0" borderId="77" xfId="0" applyFont="1" applyBorder="1" applyAlignment="1" applyProtection="1">
      <alignment horizontal="center" vertical="center"/>
      <protection locked="0"/>
    </xf>
    <xf numFmtId="0" fontId="22" fillId="0" borderId="78" xfId="0" applyFont="1" applyBorder="1" applyAlignment="1" applyProtection="1">
      <alignment horizontal="center" vertical="center"/>
      <protection locked="0"/>
    </xf>
    <xf numFmtId="0" fontId="22" fillId="0" borderId="74" xfId="0" applyFont="1" applyBorder="1" applyAlignment="1" applyProtection="1">
      <alignment horizontal="center" vertical="center"/>
      <protection locked="0"/>
    </xf>
    <xf numFmtId="56" fontId="22" fillId="0" borderId="77" xfId="0" applyNumberFormat="1" applyFont="1" applyBorder="1" applyAlignment="1" applyProtection="1">
      <alignment horizontal="center" vertical="center"/>
      <protection locked="0"/>
    </xf>
    <xf numFmtId="0" fontId="22" fillId="3" borderId="78" xfId="0" applyFont="1" applyFill="1" applyBorder="1" applyAlignment="1" applyProtection="1">
      <alignment horizontal="center" vertical="center"/>
      <protection locked="0"/>
    </xf>
    <xf numFmtId="0" fontId="19" fillId="0" borderId="76" xfId="0" applyFont="1" applyBorder="1" applyAlignment="1">
      <alignment horizontal="right"/>
    </xf>
    <xf numFmtId="176" fontId="19" fillId="0" borderId="77" xfId="0" applyNumberFormat="1" applyFont="1" applyBorder="1" applyAlignment="1">
      <alignment horizontal="center"/>
    </xf>
    <xf numFmtId="0" fontId="19" fillId="2" borderId="75" xfId="0" applyFont="1" applyFill="1" applyBorder="1" applyAlignment="1" applyProtection="1">
      <alignment horizontal="left"/>
      <protection locked="0"/>
    </xf>
    <xf numFmtId="0" fontId="19" fillId="2" borderId="75" xfId="0" applyFont="1" applyFill="1" applyBorder="1" applyProtection="1">
      <protection locked="0"/>
    </xf>
    <xf numFmtId="0" fontId="19" fillId="0" borderId="1" xfId="0" applyFont="1" applyBorder="1"/>
    <xf numFmtId="176" fontId="19" fillId="0" borderId="1" xfId="0" applyNumberFormat="1" applyFont="1" applyBorder="1"/>
    <xf numFmtId="0" fontId="19" fillId="2" borderId="1" xfId="0" applyFont="1" applyFill="1" applyBorder="1" applyProtection="1">
      <protection locked="0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10" fillId="0" borderId="3" xfId="0" applyFont="1" applyBorder="1" applyAlignment="1">
      <alignment horizontal="left"/>
    </xf>
    <xf numFmtId="0" fontId="10" fillId="0" borderId="2" xfId="0" applyFont="1" applyBorder="1" applyAlignment="1">
      <alignment horizontal="center"/>
    </xf>
    <xf numFmtId="0" fontId="10" fillId="0" borderId="75" xfId="0" applyFont="1" applyBorder="1" applyAlignment="1">
      <alignment horizontal="center"/>
    </xf>
    <xf numFmtId="0" fontId="10" fillId="0" borderId="75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1" xfId="0" applyFont="1" applyBorder="1" applyAlignment="1">
      <alignment horizontal="center"/>
    </xf>
    <xf numFmtId="14" fontId="28" fillId="0" borderId="0" xfId="2" applyNumberFormat="1"/>
    <xf numFmtId="0" fontId="13" fillId="0" borderId="3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10" fillId="0" borderId="3" xfId="0" applyFont="1" applyBorder="1" applyAlignment="1">
      <alignment horizontal="left"/>
    </xf>
    <xf numFmtId="0" fontId="10" fillId="0" borderId="3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5" xfId="0" applyFont="1" applyBorder="1" applyAlignment="1">
      <alignment horizontal="center"/>
    </xf>
    <xf numFmtId="0" fontId="10" fillId="0" borderId="75" xfId="0" applyFont="1" applyBorder="1" applyAlignment="1">
      <alignment horizontal="left"/>
    </xf>
    <xf numFmtId="0" fontId="10" fillId="0" borderId="2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10" fillId="0" borderId="1" xfId="0" applyFont="1" applyBorder="1" applyAlignment="1">
      <alignment horizontal="center"/>
    </xf>
  </cellXfs>
  <cellStyles count="3">
    <cellStyle name="標準" xfId="0" builtinId="0"/>
    <cellStyle name="標準 2" xfId="2" xr:uid="{26E27198-FD6B-411C-9ECB-C253E3FEB800}"/>
    <cellStyle name="標準_勤務報告書" xfId="1" xr:uid="{00000000-0005-0000-0000-000001000000}"/>
  </cellStyles>
  <dxfs count="0"/>
  <tableStyles count="0" defaultTableStyle="TableStyleMedium2" defaultPivotStyle="PivotStyleLight16"/>
  <colors>
    <mruColors>
      <color rgb="FFFF99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15</xdr:row>
          <xdr:rowOff>298450</xdr:rowOff>
        </xdr:from>
        <xdr:to>
          <xdr:col>8</xdr:col>
          <xdr:colOff>190500</xdr:colOff>
          <xdr:row>19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月間設定に発行</a:t>
              </a: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Osaka"/>
                  <a:ea typeface="ＭＳ Ｐゴシック"/>
                </a:rPr>
                <a:t>→</a:t>
              </a: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上書きに注意！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0</xdr:row>
          <xdr:rowOff>114300</xdr:rowOff>
        </xdr:from>
        <xdr:to>
          <xdr:col>1</xdr:col>
          <xdr:colOff>412750</xdr:colOff>
          <xdr:row>1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</xdr:colOff>
          <xdr:row>0</xdr:row>
          <xdr:rowOff>69850</xdr:rowOff>
        </xdr:from>
        <xdr:to>
          <xdr:col>21</xdr:col>
          <xdr:colOff>412750</xdr:colOff>
          <xdr:row>1</xdr:row>
          <xdr:rowOff>69850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番組更新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31750</xdr:rowOff>
        </xdr:from>
        <xdr:to>
          <xdr:col>1</xdr:col>
          <xdr:colOff>527050</xdr:colOff>
          <xdr:row>1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412750</xdr:colOff>
          <xdr:row>0</xdr:row>
          <xdr:rowOff>38100</xdr:rowOff>
        </xdr:from>
        <xdr:to>
          <xdr:col>9</xdr:col>
          <xdr:colOff>342900</xdr:colOff>
          <xdr:row>1</xdr:row>
          <xdr:rowOff>107950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印刷用に転送</a:t>
              </a:r>
              <a:r>
                <a:rPr lang="ja-JP" altLang="en-US" sz="1200" b="0" i="0" u="none" strike="noStrike" baseline="0">
                  <a:solidFill>
                    <a:srgbClr val="FF0000"/>
                  </a:solidFill>
                  <a:latin typeface="Osaka"/>
                  <a:ea typeface="ＭＳ Ｐゴシック"/>
                </a:rPr>
                <a:t>→</a:t>
              </a:r>
              <a:endParaRPr lang="ja-JP" altLang="en-US" sz="1200" b="0" i="0" u="none" strike="noStrike" baseline="0">
                <a:solidFill>
                  <a:srgbClr val="FF0000"/>
                </a:solidFill>
                <a:latin typeface="Osak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107950</xdr:colOff>
          <xdr:row>0</xdr:row>
          <xdr:rowOff>38100</xdr:rowOff>
        </xdr:from>
        <xdr:to>
          <xdr:col>13</xdr:col>
          <xdr:colOff>31750</xdr:colOff>
          <xdr:row>1</xdr:row>
          <xdr:rowOff>107950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サイネージ用へ出力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38100</xdr:rowOff>
        </xdr:from>
        <xdr:to>
          <xdr:col>1</xdr:col>
          <xdr:colOff>533400</xdr:colOff>
          <xdr:row>1</xdr:row>
          <xdr:rowOff>107950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146050</xdr:colOff>
          <xdr:row>0</xdr:row>
          <xdr:rowOff>69850</xdr:rowOff>
        </xdr:from>
        <xdr:to>
          <xdr:col>1</xdr:col>
          <xdr:colOff>374650</xdr:colOff>
          <xdr:row>1</xdr:row>
          <xdr:rowOff>184150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38100</xdr:rowOff>
        </xdr:from>
        <xdr:to>
          <xdr:col>1</xdr:col>
          <xdr:colOff>533400</xdr:colOff>
          <xdr:row>1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38100</xdr:rowOff>
        </xdr:from>
        <xdr:to>
          <xdr:col>1</xdr:col>
          <xdr:colOff>533400</xdr:colOff>
          <xdr:row>1</xdr:row>
          <xdr:rowOff>107950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38100</xdr:rowOff>
        </xdr:from>
        <xdr:to>
          <xdr:col>1</xdr:col>
          <xdr:colOff>533400</xdr:colOff>
          <xdr:row>1</xdr:row>
          <xdr:rowOff>107950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38100</xdr:rowOff>
        </xdr:from>
        <xdr:to>
          <xdr:col>1</xdr:col>
          <xdr:colOff>533400</xdr:colOff>
          <xdr:row>1</xdr:row>
          <xdr:rowOff>107950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0</xdr:row>
          <xdr:rowOff>69850</xdr:rowOff>
        </xdr:from>
        <xdr:to>
          <xdr:col>3</xdr:col>
          <xdr:colOff>260350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報待確認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1</xdr:row>
          <xdr:rowOff>107950</xdr:rowOff>
        </xdr:from>
        <xdr:to>
          <xdr:col>9</xdr:col>
          <xdr:colOff>838200</xdr:colOff>
          <xdr:row>2</xdr:row>
          <xdr:rowOff>146050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0</xdr:row>
          <xdr:rowOff>69850</xdr:rowOff>
        </xdr:from>
        <xdr:to>
          <xdr:col>2</xdr:col>
          <xdr:colOff>266700</xdr:colOff>
          <xdr:row>0</xdr:row>
          <xdr:rowOff>222250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ｃｈｅｃｋ!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222250</xdr:colOff>
          <xdr:row>0</xdr:row>
          <xdr:rowOff>69850</xdr:rowOff>
        </xdr:from>
        <xdr:to>
          <xdr:col>12</xdr:col>
          <xdr:colOff>222250</xdr:colOff>
          <xdr:row>0</xdr:row>
          <xdr:rowOff>228600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罫線清書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69850</xdr:colOff>
          <xdr:row>0</xdr:row>
          <xdr:rowOff>31750</xdr:rowOff>
        </xdr:from>
        <xdr:to>
          <xdr:col>18</xdr:col>
          <xdr:colOff>260350</xdr:colOff>
          <xdr:row>0</xdr:row>
          <xdr:rowOff>222250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B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スタッフ表に転送 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107950</xdr:colOff>
          <xdr:row>0</xdr:row>
          <xdr:rowOff>38100</xdr:rowOff>
        </xdr:from>
        <xdr:to>
          <xdr:col>29</xdr:col>
          <xdr:colOff>184150</xdr:colOff>
          <xdr:row>0</xdr:row>
          <xdr:rowOff>222250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B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発注表に転送 （20ｘｘ_ｘ月スタッフ発注表.xlsを開いてから実行）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31750</xdr:rowOff>
        </xdr:from>
        <xdr:to>
          <xdr:col>12</xdr:col>
          <xdr:colOff>374650</xdr:colOff>
          <xdr:row>0</xdr:row>
          <xdr:rowOff>228600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清書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527050</xdr:colOff>
          <xdr:row>0</xdr:row>
          <xdr:rowOff>69850</xdr:rowOff>
        </xdr:from>
        <xdr:to>
          <xdr:col>10</xdr:col>
          <xdr:colOff>381000</xdr:colOff>
          <xdr:row>0</xdr:row>
          <xdr:rowOff>222250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ｃｈｅｃｋ!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4</xdr:row>
      <xdr:rowOff>19049</xdr:rowOff>
    </xdr:from>
    <xdr:to>
      <xdr:col>6</xdr:col>
      <xdr:colOff>165099</xdr:colOff>
      <xdr:row>9</xdr:row>
      <xdr:rowOff>25400</xdr:rowOff>
    </xdr:to>
    <xdr:sp macro="[0]!Googleカレンダー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 bwMode="auto">
        <a:xfrm>
          <a:off x="1038224" y="828674"/>
          <a:ext cx="1984375" cy="91122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600"/>
            <a:t>Google</a:t>
          </a:r>
          <a:r>
            <a:rPr kumimoji="1" lang="ja-JP" altLang="en-US" sz="1600"/>
            <a:t>カレンダーの</a:t>
          </a:r>
          <a:endParaRPr kumimoji="1" lang="en-US" altLang="ja-JP" sz="1600"/>
        </a:p>
        <a:p>
          <a:pPr algn="l"/>
          <a:r>
            <a:rPr kumimoji="1" lang="ja-JP" altLang="en-US" sz="1600"/>
            <a:t>インポート用の</a:t>
          </a:r>
          <a:endParaRPr kumimoji="1" lang="en-US" altLang="ja-JP" sz="1600"/>
        </a:p>
        <a:p>
          <a:pPr algn="l"/>
          <a:r>
            <a:rPr kumimoji="1" lang="en-US" altLang="ja-JP" sz="1600"/>
            <a:t>CSV</a:t>
          </a:r>
          <a:r>
            <a:rPr kumimoji="1" lang="ja-JP" altLang="en-US" sz="1600"/>
            <a:t>ファイルの出力</a:t>
          </a:r>
        </a:p>
      </xdr:txBody>
    </xdr:sp>
    <xdr:clientData/>
  </xdr:twoCellAnchor>
  <xdr:twoCellAnchor>
    <xdr:from>
      <xdr:col>3</xdr:col>
      <xdr:colOff>0</xdr:colOff>
      <xdr:row>13</xdr:row>
      <xdr:rowOff>57150</xdr:rowOff>
    </xdr:from>
    <xdr:to>
      <xdr:col>8</xdr:col>
      <xdr:colOff>409576</xdr:colOff>
      <xdr:row>18</xdr:row>
      <xdr:rowOff>101600</xdr:rowOff>
    </xdr:to>
    <xdr:sp macro="[0]!Outlook予定表CSV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 bwMode="auto">
        <a:xfrm>
          <a:off x="1028700" y="2495550"/>
          <a:ext cx="3457576" cy="949325"/>
        </a:xfrm>
        <a:prstGeom prst="rect">
          <a:avLst/>
        </a:prstGeom>
        <a:solidFill>
          <a:srgbClr val="00B0F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kumimoji="1" lang="en-US" altLang="ja-JP" sz="1800"/>
            <a:t>Outlook</a:t>
          </a:r>
          <a:r>
            <a:rPr kumimoji="1" lang="ja-JP" altLang="en-US" sz="1800"/>
            <a:t>予定表の</a:t>
          </a:r>
          <a:endParaRPr kumimoji="1" lang="en-US" altLang="ja-JP" sz="1800"/>
        </a:p>
        <a:p>
          <a:pPr algn="l"/>
          <a:r>
            <a:rPr kumimoji="1" lang="ja-JP" altLang="en-US" sz="1800"/>
            <a:t>インポート用</a:t>
          </a:r>
          <a:r>
            <a:rPr kumimoji="1" lang="en-US" altLang="ja-JP" sz="1800"/>
            <a:t>CSV</a:t>
          </a:r>
          <a:r>
            <a:rPr kumimoji="1" lang="ja-JP" altLang="en-US" sz="1800"/>
            <a:t>ファイルの出力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38100</xdr:rowOff>
        </xdr:from>
        <xdr:to>
          <xdr:col>3</xdr:col>
          <xdr:colOff>31750</xdr:colOff>
          <xdr:row>0</xdr:row>
          <xdr:rowOff>260350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清書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15</xdr:row>
          <xdr:rowOff>107950</xdr:rowOff>
        </xdr:from>
        <xdr:to>
          <xdr:col>7</xdr:col>
          <xdr:colOff>114300</xdr:colOff>
          <xdr:row>19</xdr:row>
          <xdr:rowOff>107950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41148" rIns="64008" bIns="4114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勤務報告書１</a:t>
              </a: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Osaka"/>
                  <a:ea typeface="ＭＳ Ｐゴシック"/>
                </a:rPr>
                <a:t>s</a:t>
              </a:r>
              <a:endParaRPr lang="ja-JP" altLang="en-US" sz="1200" b="0" i="0" u="none" strike="noStrike" baseline="0">
                <a:solidFill>
                  <a:srgbClr val="000000"/>
                </a:solidFill>
                <a:latin typeface="Osaka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右より名前を選んで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3</xdr:row>
          <xdr:rowOff>76200</xdr:rowOff>
        </xdr:from>
        <xdr:to>
          <xdr:col>7</xdr:col>
          <xdr:colOff>146050</xdr:colOff>
          <xdr:row>7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1148" rIns="64008" bIns="4114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一斉印刷</a:t>
              </a: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Osaka"/>
                  <a:ea typeface="ＭＳ Ｐゴシック"/>
                </a:rPr>
                <a:t>_1</a:t>
              </a:r>
              <a:endParaRPr lang="ja-JP" altLang="en-US" sz="1200" b="0" i="0" u="none" strike="noStrike" baseline="0">
                <a:solidFill>
                  <a:srgbClr val="000000"/>
                </a:solidFill>
                <a:latin typeface="Osaka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紙資源を大切に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8</xdr:row>
          <xdr:rowOff>76200</xdr:rowOff>
        </xdr:from>
        <xdr:to>
          <xdr:col>7</xdr:col>
          <xdr:colOff>146050</xdr:colOff>
          <xdr:row>12</xdr:row>
          <xdr:rowOff>76200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1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1148" rIns="64008" bIns="4114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一斉印刷</a:t>
              </a: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Osaka"/>
                  <a:ea typeface="ＭＳ Ｐゴシック"/>
                </a:rPr>
                <a:t>_2</a:t>
              </a:r>
              <a:endParaRPr lang="ja-JP" altLang="en-US" sz="1200" b="0" i="0" u="none" strike="noStrike" baseline="0">
                <a:solidFill>
                  <a:srgbClr val="000000"/>
                </a:solidFill>
                <a:latin typeface="Osaka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紙資源を大切に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31750</xdr:rowOff>
        </xdr:from>
        <xdr:to>
          <xdr:col>1</xdr:col>
          <xdr:colOff>603250</xdr:colOff>
          <xdr:row>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0</xdr:row>
          <xdr:rowOff>38100</xdr:rowOff>
        </xdr:from>
        <xdr:to>
          <xdr:col>9</xdr:col>
          <xdr:colOff>260350</xdr:colOff>
          <xdr:row>1</xdr:row>
          <xdr:rowOff>107950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一覧からＧｅｔ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2</xdr:row>
          <xdr:rowOff>31750</xdr:rowOff>
        </xdr:from>
        <xdr:to>
          <xdr:col>7</xdr:col>
          <xdr:colOff>31750</xdr:colOff>
          <xdr:row>6</xdr:row>
          <xdr:rowOff>31750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41148" rIns="64008" bIns="4114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カレンダー作成</a:t>
              </a:r>
              <a:endParaRPr lang="ja-JP" altLang="en-US" sz="1200" b="0" i="0" u="none" strike="noStrike" baseline="0">
                <a:solidFill>
                  <a:srgbClr val="000000"/>
                </a:solidFill>
                <a:latin typeface="Osaka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右より名前を選んで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184150</xdr:colOff>
          <xdr:row>3</xdr:row>
          <xdr:rowOff>419100</xdr:rowOff>
        </xdr:from>
        <xdr:to>
          <xdr:col>3</xdr:col>
          <xdr:colOff>222250</xdr:colOff>
          <xdr:row>3</xdr:row>
          <xdr:rowOff>723900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352425</xdr:colOff>
      <xdr:row>3</xdr:row>
      <xdr:rowOff>104775</xdr:rowOff>
    </xdr:from>
    <xdr:to>
      <xdr:col>7</xdr:col>
      <xdr:colOff>1323975</xdr:colOff>
      <xdr:row>3</xdr:row>
      <xdr:rowOff>857250</xdr:rowOff>
    </xdr:to>
    <xdr:grpSp>
      <xdr:nvGrpSpPr>
        <xdr:cNvPr id="17410" name="Group 2">
          <a:extLst>
            <a:ext uri="{FF2B5EF4-FFF2-40B4-BE49-F238E27FC236}">
              <a16:creationId xmlns:a16="http://schemas.microsoft.com/office/drawing/2014/main" id="{00000000-0008-0000-1800-000002440000}"/>
            </a:ext>
          </a:extLst>
        </xdr:cNvPr>
        <xdr:cNvGrpSpPr>
          <a:grpSpLocks/>
        </xdr:cNvGrpSpPr>
      </xdr:nvGrpSpPr>
      <xdr:grpSpPr bwMode="auto">
        <a:xfrm>
          <a:off x="4521200" y="1235075"/>
          <a:ext cx="2219325" cy="755650"/>
          <a:chOff x="953" y="140"/>
          <a:chExt cx="349" cy="97"/>
        </a:xfrm>
      </xdr:grpSpPr>
      <xdr:sp macro="" textlink="">
        <xdr:nvSpPr>
          <xdr:cNvPr id="17411" name="Rectangle 3">
            <a:extLst>
              <a:ext uri="{FF2B5EF4-FFF2-40B4-BE49-F238E27FC236}">
                <a16:creationId xmlns:a16="http://schemas.microsoft.com/office/drawing/2014/main" id="{00000000-0008-0000-1800-000003440000}"/>
              </a:ext>
            </a:extLst>
          </xdr:cNvPr>
          <xdr:cNvSpPr>
            <a:spLocks noChangeArrowheads="1"/>
          </xdr:cNvSpPr>
        </xdr:nvSpPr>
        <xdr:spPr bwMode="auto">
          <a:xfrm>
            <a:off x="953" y="140"/>
            <a:ext cx="349" cy="9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412" name="Line 4">
            <a:extLst>
              <a:ext uri="{FF2B5EF4-FFF2-40B4-BE49-F238E27FC236}">
                <a16:creationId xmlns:a16="http://schemas.microsoft.com/office/drawing/2014/main" id="{00000000-0008-0000-1800-000004440000}"/>
              </a:ext>
            </a:extLst>
          </xdr:cNvPr>
          <xdr:cNvSpPr>
            <a:spLocks noChangeShapeType="1"/>
          </xdr:cNvSpPr>
        </xdr:nvSpPr>
        <xdr:spPr bwMode="auto">
          <a:xfrm>
            <a:off x="953" y="172"/>
            <a:ext cx="34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413" name="Line 5">
            <a:extLst>
              <a:ext uri="{FF2B5EF4-FFF2-40B4-BE49-F238E27FC236}">
                <a16:creationId xmlns:a16="http://schemas.microsoft.com/office/drawing/2014/main" id="{00000000-0008-0000-1800-000005440000}"/>
              </a:ext>
            </a:extLst>
          </xdr:cNvPr>
          <xdr:cNvSpPr>
            <a:spLocks noChangeShapeType="1"/>
          </xdr:cNvSpPr>
        </xdr:nvSpPr>
        <xdr:spPr bwMode="auto">
          <a:xfrm>
            <a:off x="1069" y="140"/>
            <a:ext cx="0" cy="9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414" name="Line 6">
            <a:extLst>
              <a:ext uri="{FF2B5EF4-FFF2-40B4-BE49-F238E27FC236}">
                <a16:creationId xmlns:a16="http://schemas.microsoft.com/office/drawing/2014/main" id="{00000000-0008-0000-1800-000006440000}"/>
              </a:ext>
            </a:extLst>
          </xdr:cNvPr>
          <xdr:cNvSpPr>
            <a:spLocks noChangeShapeType="1"/>
          </xdr:cNvSpPr>
        </xdr:nvSpPr>
        <xdr:spPr bwMode="auto">
          <a:xfrm>
            <a:off x="1186" y="140"/>
            <a:ext cx="0" cy="9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</xdr:row>
      <xdr:rowOff>133350</xdr:rowOff>
    </xdr:from>
    <xdr:to>
      <xdr:col>7</xdr:col>
      <xdr:colOff>1295400</xdr:colOff>
      <xdr:row>3</xdr:row>
      <xdr:rowOff>428625</xdr:rowOff>
    </xdr:to>
    <xdr:sp macro="" textlink="">
      <xdr:nvSpPr>
        <xdr:cNvPr id="17415" name="Text Box 7">
          <a:extLst>
            <a:ext uri="{FF2B5EF4-FFF2-40B4-BE49-F238E27FC236}">
              <a16:creationId xmlns:a16="http://schemas.microsoft.com/office/drawing/2014/main" id="{00000000-0008-0000-1800-000007440000}"/>
            </a:ext>
          </a:extLst>
        </xdr:cNvPr>
        <xdr:cNvSpPr txBox="1">
          <a:spLocks noChangeArrowheads="1"/>
        </xdr:cNvSpPr>
      </xdr:nvSpPr>
      <xdr:spPr bwMode="auto">
        <a:xfrm>
          <a:off x="6562725" y="1257300"/>
          <a:ext cx="7715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担当者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vmlDrawing" Target="../drawings/vmlDrawing15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16"/>
  <sheetViews>
    <sheetView workbookViewId="0">
      <selection activeCell="L19" sqref="L19"/>
    </sheetView>
  </sheetViews>
  <sheetFormatPr defaultColWidth="9" defaultRowHeight="12"/>
  <cols>
    <col min="1" max="1" width="2.453125" style="22" customWidth="1"/>
    <col min="2" max="2" width="7.453125" style="22" customWidth="1"/>
    <col min="3" max="9" width="6.453125" style="26" customWidth="1"/>
    <col min="10" max="10" width="7.453125" style="22" customWidth="1"/>
    <col min="11" max="11" width="2.453125" style="22" customWidth="1"/>
    <col min="12" max="16384" width="9" style="22"/>
  </cols>
  <sheetData>
    <row r="1" spans="2:10" s="12" customFormat="1" ht="27" customHeight="1">
      <c r="C1" s="29">
        <f>月間設定!C1</f>
        <v>2026</v>
      </c>
      <c r="D1" s="12" t="s">
        <v>0</v>
      </c>
      <c r="E1" s="29"/>
      <c r="F1" s="12" t="s">
        <v>1</v>
      </c>
      <c r="G1" s="30">
        <f>IF(AND(E1=2,MOD(C1,4)&lt;&gt;0),28,IF(AND(E1=2,MOD(C1,4)=0),29,IF(OR(E1=4,E1=6,E1=9,E1=11),30,31)))</f>
        <v>31</v>
      </c>
      <c r="H1" s="25" t="s">
        <v>2</v>
      </c>
      <c r="J1" s="25"/>
    </row>
    <row r="2" spans="2:10" ht="12.5" thickBot="1"/>
    <row r="3" spans="2:10" ht="12.5" thickTop="1">
      <c r="B3" s="28"/>
      <c r="C3" s="27"/>
      <c r="D3" s="27"/>
      <c r="E3" s="27"/>
      <c r="F3" s="27"/>
      <c r="G3" s="27"/>
      <c r="H3" s="27"/>
      <c r="I3" s="109"/>
      <c r="J3" s="116"/>
    </row>
    <row r="4" spans="2:10" ht="12.5" thickBot="1">
      <c r="B4" s="430"/>
      <c r="C4" s="431">
        <v>2</v>
      </c>
      <c r="D4" s="431">
        <v>3</v>
      </c>
      <c r="E4" s="431">
        <v>4</v>
      </c>
      <c r="F4" s="431">
        <v>5</v>
      </c>
      <c r="G4" s="431">
        <v>6</v>
      </c>
      <c r="H4" s="431">
        <v>7</v>
      </c>
      <c r="I4" s="110">
        <v>1</v>
      </c>
      <c r="J4" s="117"/>
    </row>
    <row r="5" spans="2:10">
      <c r="B5" s="23"/>
      <c r="C5" s="17" t="s">
        <v>3</v>
      </c>
      <c r="D5" s="17" t="s">
        <v>3</v>
      </c>
      <c r="E5" s="17" t="s">
        <v>4</v>
      </c>
      <c r="F5" s="17" t="s">
        <v>4</v>
      </c>
      <c r="G5" s="17" t="s">
        <v>3</v>
      </c>
      <c r="H5" s="17" t="s">
        <v>5</v>
      </c>
      <c r="I5" s="108"/>
      <c r="J5" s="118"/>
    </row>
    <row r="6" spans="2:10">
      <c r="B6" s="23" t="s">
        <v>6</v>
      </c>
      <c r="C6" s="17" t="s">
        <v>7</v>
      </c>
      <c r="D6" s="17" t="s">
        <v>7</v>
      </c>
      <c r="E6" s="17" t="s">
        <v>7</v>
      </c>
      <c r="F6" s="17" t="s">
        <v>7</v>
      </c>
      <c r="G6" s="17" t="s">
        <v>7</v>
      </c>
      <c r="H6" s="17"/>
      <c r="I6" s="108"/>
      <c r="J6" s="118" t="s">
        <v>6</v>
      </c>
    </row>
    <row r="7" spans="2:10">
      <c r="B7" s="24"/>
      <c r="C7" s="19"/>
      <c r="D7" s="19"/>
      <c r="E7" s="19"/>
      <c r="F7" s="19"/>
      <c r="G7" s="19"/>
      <c r="H7" s="19"/>
      <c r="I7" s="114"/>
      <c r="J7" s="119"/>
    </row>
    <row r="8" spans="2:10">
      <c r="B8" s="23"/>
      <c r="C8" s="17"/>
      <c r="D8" s="17"/>
      <c r="E8" s="17"/>
      <c r="F8" s="17"/>
      <c r="G8" s="17"/>
      <c r="H8" s="17"/>
      <c r="I8" s="108"/>
      <c r="J8" s="118"/>
    </row>
    <row r="9" spans="2:10">
      <c r="B9" s="23" t="s">
        <v>8</v>
      </c>
      <c r="C9" s="17"/>
      <c r="D9" s="17"/>
      <c r="E9" s="17"/>
      <c r="F9" s="17"/>
      <c r="G9" s="17"/>
      <c r="H9" s="17"/>
      <c r="I9" s="108"/>
      <c r="J9" s="118" t="s">
        <v>8</v>
      </c>
    </row>
    <row r="10" spans="2:10">
      <c r="B10" s="24"/>
      <c r="C10" s="19"/>
      <c r="D10" s="19"/>
      <c r="E10" s="19"/>
      <c r="F10" s="19"/>
      <c r="G10" s="19"/>
      <c r="H10" s="19"/>
      <c r="I10" s="114"/>
      <c r="J10" s="119"/>
    </row>
    <row r="11" spans="2:10">
      <c r="B11" s="112"/>
      <c r="C11" s="113" t="s">
        <v>9</v>
      </c>
      <c r="D11" s="113" t="s">
        <v>10</v>
      </c>
      <c r="E11" s="113" t="s">
        <v>11</v>
      </c>
      <c r="F11" s="113"/>
      <c r="G11" s="113" t="s">
        <v>12</v>
      </c>
      <c r="H11" s="113" t="s">
        <v>13</v>
      </c>
      <c r="I11" s="115"/>
      <c r="J11" s="120"/>
    </row>
    <row r="12" spans="2:10">
      <c r="B12" s="23" t="s">
        <v>14</v>
      </c>
      <c r="C12" s="17"/>
      <c r="D12" s="17"/>
      <c r="E12" s="17"/>
      <c r="F12" s="17"/>
      <c r="G12" s="17"/>
      <c r="H12" s="17"/>
      <c r="I12" s="108"/>
      <c r="J12" s="118" t="s">
        <v>14</v>
      </c>
    </row>
    <row r="13" spans="2:10">
      <c r="B13" s="24"/>
      <c r="C13" s="19"/>
      <c r="D13" s="19"/>
      <c r="E13" s="19"/>
      <c r="F13" s="19"/>
      <c r="G13" s="19"/>
      <c r="H13" s="19"/>
      <c r="I13" s="114"/>
      <c r="J13" s="119"/>
    </row>
    <row r="14" spans="2:10">
      <c r="B14" s="528" t="s">
        <v>15</v>
      </c>
      <c r="C14" s="17" t="s">
        <v>16</v>
      </c>
      <c r="D14" s="17" t="s">
        <v>16</v>
      </c>
      <c r="E14" s="17" t="s">
        <v>16</v>
      </c>
      <c r="F14" s="17" t="s">
        <v>16</v>
      </c>
      <c r="G14" s="17" t="s">
        <v>16</v>
      </c>
      <c r="H14" s="17"/>
      <c r="I14" s="108"/>
      <c r="J14" s="530" t="s">
        <v>15</v>
      </c>
    </row>
    <row r="15" spans="2:10" ht="12" customHeight="1" thickBot="1">
      <c r="B15" s="529"/>
      <c r="C15" s="20"/>
      <c r="D15" s="20"/>
      <c r="E15" s="20"/>
      <c r="F15" s="20"/>
      <c r="G15" s="20"/>
      <c r="H15" s="20"/>
      <c r="I15" s="111"/>
      <c r="J15" s="531"/>
    </row>
    <row r="16" spans="2:10" ht="27" customHeight="1" thickTop="1"/>
  </sheetData>
  <customSheetViews>
    <customSheetView guid="{48D17560-CF9A-4AC4-87A5-512F1C94B1E6}" showRuler="0">
      <pageMargins left="0" right="0" top="0" bottom="0" header="0" footer="0"/>
      <pageSetup paperSize="9" orientation="portrait" verticalDpi="0" r:id="rId1"/>
      <headerFooter alignWithMargins="0">
        <oddHeader>&amp;A</oddHeader>
        <oddFooter>- &amp;P -</oddFooter>
      </headerFooter>
    </customSheetView>
  </customSheetViews>
  <mergeCells count="2">
    <mergeCell ref="B14:B15"/>
    <mergeCell ref="J14:J15"/>
  </mergeCells>
  <phoneticPr fontId="9"/>
  <printOptions gridLinesSet="0"/>
  <pageMargins left="0.75" right="0.75" top="1" bottom="1" header="0.51200000000000001" footer="0.51200000000000001"/>
  <pageSetup paperSize="9" orientation="portrait" verticalDpi="300" r:id="rId2"/>
  <headerFooter alignWithMargins="0">
    <oddHeader>&amp;A</oddHeader>
    <oddFooter>- &amp;P -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regular">
                <anchor moveWithCells="1" sizeWithCells="1">
                  <from>
                    <xdr:col>2</xdr:col>
                    <xdr:colOff>298450</xdr:colOff>
                    <xdr:row>15</xdr:row>
                    <xdr:rowOff>298450</xdr:rowOff>
                  </from>
                  <to>
                    <xdr:col>8</xdr:col>
                    <xdr:colOff>190500</xdr:colOff>
                    <xdr:row>19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1:AH51"/>
  <sheetViews>
    <sheetView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1" sqref="C1"/>
    </sheetView>
  </sheetViews>
  <sheetFormatPr defaultColWidth="9" defaultRowHeight="15" customHeight="1"/>
  <cols>
    <col min="1" max="1" width="2.453125" style="22" customWidth="1"/>
    <col min="2" max="2" width="7.453125" style="22" customWidth="1"/>
    <col min="3" max="33" width="6.453125" style="26" customWidth="1"/>
    <col min="34" max="34" width="7.453125" style="22" customWidth="1"/>
    <col min="35" max="35" width="2.453125" style="22" customWidth="1"/>
    <col min="36" max="16384" width="9" style="22"/>
  </cols>
  <sheetData>
    <row r="1" spans="2:34" s="12" customFormat="1" ht="29.15" customHeight="1">
      <c r="B1" s="22"/>
      <c r="C1" s="344">
        <v>2026</v>
      </c>
      <c r="D1" s="12" t="s">
        <v>0</v>
      </c>
      <c r="E1" s="344">
        <v>6</v>
      </c>
      <c r="F1" s="12" t="s">
        <v>1</v>
      </c>
      <c r="H1" s="12" t="s">
        <v>17</v>
      </c>
      <c r="I1" s="344">
        <v>8</v>
      </c>
      <c r="J1" s="12" t="s">
        <v>18</v>
      </c>
      <c r="AH1" s="22"/>
    </row>
    <row r="2" spans="2:34" ht="15" customHeight="1" thickBot="1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</row>
    <row r="3" spans="2:34" ht="15" customHeight="1" thickTop="1">
      <c r="B3" s="294" t="str">
        <f>月間設定!C1&amp;"年"</f>
        <v>2026年</v>
      </c>
      <c r="C3" s="27">
        <v>1</v>
      </c>
      <c r="D3" s="27">
        <v>2</v>
      </c>
      <c r="E3" s="27">
        <v>3</v>
      </c>
      <c r="F3" s="27">
        <v>4</v>
      </c>
      <c r="G3" s="295">
        <v>5</v>
      </c>
      <c r="H3" s="27">
        <v>6</v>
      </c>
      <c r="I3" s="27">
        <v>7</v>
      </c>
      <c r="J3" s="27">
        <v>8</v>
      </c>
      <c r="K3" s="27">
        <v>9</v>
      </c>
      <c r="L3" s="27">
        <v>10</v>
      </c>
      <c r="M3" s="27">
        <v>11</v>
      </c>
      <c r="N3" s="295">
        <v>12</v>
      </c>
      <c r="O3" s="27">
        <v>13</v>
      </c>
      <c r="P3" s="27">
        <v>14</v>
      </c>
      <c r="Q3" s="27">
        <v>15</v>
      </c>
      <c r="R3" s="27">
        <v>16</v>
      </c>
      <c r="S3" s="27">
        <v>17</v>
      </c>
      <c r="T3" s="27">
        <v>18</v>
      </c>
      <c r="U3" s="295">
        <v>19</v>
      </c>
      <c r="V3" s="27">
        <v>20</v>
      </c>
      <c r="W3" s="27">
        <v>21</v>
      </c>
      <c r="X3" s="27">
        <v>22</v>
      </c>
      <c r="Y3" s="27">
        <v>23</v>
      </c>
      <c r="Z3" s="27">
        <v>24</v>
      </c>
      <c r="AA3" s="27">
        <v>25</v>
      </c>
      <c r="AB3" s="295">
        <v>26</v>
      </c>
      <c r="AC3" s="27">
        <v>27</v>
      </c>
      <c r="AD3" s="27">
        <v>28</v>
      </c>
      <c r="AE3" s="27">
        <f>IF(AND(E1=2,MOD($C$1,4)&lt;&gt;0),"",29)</f>
        <v>29</v>
      </c>
      <c r="AF3" s="27">
        <f>IF($E$1=2,"",30)</f>
        <v>30</v>
      </c>
      <c r="AG3" s="295" t="str">
        <f>IF(OR($E$1=2,$E$1=4,$E$1=6,$E$1=9,$E$1=11),"",31)</f>
        <v/>
      </c>
      <c r="AH3" s="292" t="s">
        <v>17</v>
      </c>
    </row>
    <row r="4" spans="2:34" ht="15" customHeight="1" thickBot="1">
      <c r="B4" s="432" t="str">
        <f>E1&amp;"月"</f>
        <v>6月</v>
      </c>
      <c r="C4" s="431">
        <f t="shared" ref="C4:AD4" si="0">WEEKDAY(DATE($C$1,$E$1,C3))</f>
        <v>2</v>
      </c>
      <c r="D4" s="431">
        <f t="shared" si="0"/>
        <v>3</v>
      </c>
      <c r="E4" s="431">
        <f t="shared" si="0"/>
        <v>4</v>
      </c>
      <c r="F4" s="431">
        <f t="shared" si="0"/>
        <v>5</v>
      </c>
      <c r="G4" s="433">
        <f t="shared" si="0"/>
        <v>6</v>
      </c>
      <c r="H4" s="431">
        <f t="shared" si="0"/>
        <v>7</v>
      </c>
      <c r="I4" s="431">
        <f t="shared" si="0"/>
        <v>1</v>
      </c>
      <c r="J4" s="431">
        <f t="shared" si="0"/>
        <v>2</v>
      </c>
      <c r="K4" s="431">
        <f t="shared" si="0"/>
        <v>3</v>
      </c>
      <c r="L4" s="431">
        <f t="shared" si="0"/>
        <v>4</v>
      </c>
      <c r="M4" s="431">
        <f t="shared" si="0"/>
        <v>5</v>
      </c>
      <c r="N4" s="433">
        <f t="shared" si="0"/>
        <v>6</v>
      </c>
      <c r="O4" s="431">
        <f t="shared" si="0"/>
        <v>7</v>
      </c>
      <c r="P4" s="431">
        <f t="shared" si="0"/>
        <v>1</v>
      </c>
      <c r="Q4" s="431">
        <f t="shared" si="0"/>
        <v>2</v>
      </c>
      <c r="R4" s="431">
        <f t="shared" si="0"/>
        <v>3</v>
      </c>
      <c r="S4" s="431">
        <f t="shared" si="0"/>
        <v>4</v>
      </c>
      <c r="T4" s="431">
        <f t="shared" si="0"/>
        <v>5</v>
      </c>
      <c r="U4" s="433">
        <f t="shared" si="0"/>
        <v>6</v>
      </c>
      <c r="V4" s="431">
        <f t="shared" si="0"/>
        <v>7</v>
      </c>
      <c r="W4" s="431">
        <f t="shared" si="0"/>
        <v>1</v>
      </c>
      <c r="X4" s="431">
        <f t="shared" si="0"/>
        <v>2</v>
      </c>
      <c r="Y4" s="431">
        <f t="shared" si="0"/>
        <v>3</v>
      </c>
      <c r="Z4" s="431">
        <f t="shared" si="0"/>
        <v>4</v>
      </c>
      <c r="AA4" s="431">
        <f t="shared" si="0"/>
        <v>5</v>
      </c>
      <c r="AB4" s="433">
        <f t="shared" si="0"/>
        <v>6</v>
      </c>
      <c r="AC4" s="431">
        <f t="shared" si="0"/>
        <v>7</v>
      </c>
      <c r="AD4" s="431">
        <f t="shared" si="0"/>
        <v>1</v>
      </c>
      <c r="AE4" s="431">
        <f>IF(AE3&lt;&gt;"",WEEKDAY(DATE($C$1,$E$1,AE3)),"")</f>
        <v>2</v>
      </c>
      <c r="AF4" s="431">
        <f>IF(AF3&lt;&gt;"",WEEKDAY(DATE($C$1,$E$1,AF3)),"")</f>
        <v>3</v>
      </c>
      <c r="AG4" s="433" t="str">
        <f>IF(AG3&lt;&gt;"",WEEKDAY(DATE($C$1,$E$1,AG3)),"")</f>
        <v/>
      </c>
      <c r="AH4" s="434" t="str">
        <f>I1&amp;"日"</f>
        <v>8日</v>
      </c>
    </row>
    <row r="5" spans="2:34" ht="15" customHeight="1">
      <c r="B5" s="23"/>
      <c r="C5" s="13" t="s">
        <v>4</v>
      </c>
      <c r="D5" s="13" t="s">
        <v>4</v>
      </c>
      <c r="E5" s="13" t="s">
        <v>4</v>
      </c>
      <c r="F5" s="13" t="s">
        <v>4</v>
      </c>
      <c r="G5" s="14" t="s">
        <v>4</v>
      </c>
      <c r="H5" s="13"/>
      <c r="I5" s="13"/>
      <c r="J5" s="13" t="s">
        <v>4</v>
      </c>
      <c r="K5" s="13" t="s">
        <v>4</v>
      </c>
      <c r="L5" s="13" t="s">
        <v>4</v>
      </c>
      <c r="M5" s="13" t="s">
        <v>4</v>
      </c>
      <c r="N5" s="14" t="s">
        <v>4</v>
      </c>
      <c r="O5" s="13" t="s">
        <v>19</v>
      </c>
      <c r="P5" s="13"/>
      <c r="Q5" s="13" t="s">
        <v>4</v>
      </c>
      <c r="R5" s="13" t="s">
        <v>4</v>
      </c>
      <c r="S5" s="13" t="s">
        <v>4</v>
      </c>
      <c r="T5" s="13" t="s">
        <v>4</v>
      </c>
      <c r="U5" s="14" t="s">
        <v>4</v>
      </c>
      <c r="V5" s="13"/>
      <c r="W5" s="13"/>
      <c r="X5" s="13" t="s">
        <v>4</v>
      </c>
      <c r="Y5" s="13" t="s">
        <v>4</v>
      </c>
      <c r="Z5" s="13" t="s">
        <v>4</v>
      </c>
      <c r="AA5" s="13" t="s">
        <v>4</v>
      </c>
      <c r="AB5" s="14" t="s">
        <v>4</v>
      </c>
      <c r="AC5" s="13" t="s">
        <v>19</v>
      </c>
      <c r="AD5" s="13"/>
      <c r="AE5" s="13" t="s">
        <v>4</v>
      </c>
      <c r="AF5" s="13" t="s">
        <v>4</v>
      </c>
      <c r="AG5" s="14"/>
      <c r="AH5" s="293"/>
    </row>
    <row r="6" spans="2:34" ht="15" customHeight="1">
      <c r="B6" s="23" t="s">
        <v>6</v>
      </c>
      <c r="C6" s="13" t="s">
        <v>20</v>
      </c>
      <c r="D6" s="13" t="s">
        <v>20</v>
      </c>
      <c r="E6" s="13" t="s">
        <v>20</v>
      </c>
      <c r="F6" s="13" t="s">
        <v>20</v>
      </c>
      <c r="G6" s="14" t="s">
        <v>20</v>
      </c>
      <c r="H6" s="13"/>
      <c r="I6" s="13"/>
      <c r="J6" s="13" t="s">
        <v>20</v>
      </c>
      <c r="K6" s="13" t="s">
        <v>20</v>
      </c>
      <c r="L6" s="13" t="s">
        <v>20</v>
      </c>
      <c r="M6" s="13" t="s">
        <v>20</v>
      </c>
      <c r="N6" s="14" t="s">
        <v>20</v>
      </c>
      <c r="O6" s="13"/>
      <c r="P6" s="13"/>
      <c r="Q6" s="13" t="s">
        <v>20</v>
      </c>
      <c r="R6" s="13" t="s">
        <v>20</v>
      </c>
      <c r="S6" s="13" t="s">
        <v>20</v>
      </c>
      <c r="T6" s="13" t="s">
        <v>20</v>
      </c>
      <c r="U6" s="14" t="s">
        <v>20</v>
      </c>
      <c r="V6" s="13"/>
      <c r="W6" s="13"/>
      <c r="X6" s="13" t="s">
        <v>20</v>
      </c>
      <c r="Y6" s="13" t="s">
        <v>20</v>
      </c>
      <c r="Z6" s="13" t="s">
        <v>20</v>
      </c>
      <c r="AA6" s="13" t="s">
        <v>20</v>
      </c>
      <c r="AB6" s="14" t="s">
        <v>20</v>
      </c>
      <c r="AC6" s="13"/>
      <c r="AD6" s="13"/>
      <c r="AE6" s="13" t="s">
        <v>20</v>
      </c>
      <c r="AF6" s="13" t="s">
        <v>20</v>
      </c>
      <c r="AG6" s="14"/>
      <c r="AH6" s="293" t="s">
        <v>6</v>
      </c>
    </row>
    <row r="7" spans="2:34" ht="15" customHeight="1">
      <c r="B7" s="24"/>
      <c r="C7" s="15"/>
      <c r="D7" s="15"/>
      <c r="E7" s="15"/>
      <c r="F7" s="15"/>
      <c r="G7" s="16"/>
      <c r="H7" s="15"/>
      <c r="I7" s="15"/>
      <c r="J7" s="15"/>
      <c r="K7" s="15"/>
      <c r="L7" s="15"/>
      <c r="M7" s="15"/>
      <c r="N7" s="16"/>
      <c r="O7" s="15"/>
      <c r="P7" s="15"/>
      <c r="Q7" s="15"/>
      <c r="R7" s="15"/>
      <c r="S7" s="15"/>
      <c r="T7" s="15"/>
      <c r="U7" s="16"/>
      <c r="V7" s="15"/>
      <c r="W7" s="15"/>
      <c r="X7" s="15"/>
      <c r="Y7" s="15"/>
      <c r="Z7" s="15"/>
      <c r="AA7" s="15"/>
      <c r="AB7" s="16"/>
      <c r="AC7" s="15"/>
      <c r="AD7" s="15"/>
      <c r="AE7" s="15"/>
      <c r="AF7" s="15"/>
      <c r="AG7" s="16"/>
      <c r="AH7" s="296"/>
    </row>
    <row r="8" spans="2:34" ht="15" customHeight="1">
      <c r="B8" s="23"/>
      <c r="C8" s="13"/>
      <c r="D8" s="13"/>
      <c r="E8" s="13"/>
      <c r="F8" s="13"/>
      <c r="G8" s="14" t="s">
        <v>21</v>
      </c>
      <c r="H8" s="13"/>
      <c r="I8" s="13"/>
      <c r="J8" s="13"/>
      <c r="K8" s="13"/>
      <c r="L8" s="13" t="s">
        <v>22</v>
      </c>
      <c r="M8" s="13"/>
      <c r="N8" s="14"/>
      <c r="O8" s="13"/>
      <c r="P8" s="13"/>
      <c r="Q8" s="13"/>
      <c r="R8" s="13"/>
      <c r="S8" s="13"/>
      <c r="T8" s="13" t="s">
        <v>21</v>
      </c>
      <c r="U8" s="14"/>
      <c r="V8" s="13"/>
      <c r="W8" s="13"/>
      <c r="X8" s="13" t="s">
        <v>23</v>
      </c>
      <c r="Y8" s="13"/>
      <c r="Z8" s="13"/>
      <c r="AA8" s="13"/>
      <c r="AB8" s="14"/>
      <c r="AC8" s="13"/>
      <c r="AD8" s="13"/>
      <c r="AE8" s="13"/>
      <c r="AF8" s="13"/>
      <c r="AG8" s="14"/>
      <c r="AH8" s="293"/>
    </row>
    <row r="9" spans="2:34" ht="15" customHeight="1">
      <c r="B9" s="23" t="s">
        <v>8</v>
      </c>
      <c r="C9" s="13"/>
      <c r="D9" s="13"/>
      <c r="E9" s="13"/>
      <c r="F9" s="13"/>
      <c r="G9" s="14"/>
      <c r="H9" s="13"/>
      <c r="I9" s="13"/>
      <c r="J9" s="13"/>
      <c r="K9" s="13"/>
      <c r="L9" s="13"/>
      <c r="M9" s="13"/>
      <c r="N9" s="14"/>
      <c r="O9" s="13"/>
      <c r="P9" s="13"/>
      <c r="Q9" s="13"/>
      <c r="R9" s="13"/>
      <c r="S9" s="13"/>
      <c r="T9" s="13" t="s">
        <v>24</v>
      </c>
      <c r="U9" s="14"/>
      <c r="V9" s="13"/>
      <c r="W9" s="13"/>
      <c r="X9" s="13"/>
      <c r="Y9" s="13"/>
      <c r="Z9" s="13"/>
      <c r="AA9" s="13"/>
      <c r="AB9" s="14"/>
      <c r="AC9" s="13"/>
      <c r="AD9" s="13"/>
      <c r="AE9" s="13"/>
      <c r="AF9" s="13"/>
      <c r="AG9" s="14"/>
      <c r="AH9" s="293" t="s">
        <v>8</v>
      </c>
    </row>
    <row r="10" spans="2:34" ht="15" customHeight="1">
      <c r="B10" s="24"/>
      <c r="C10" s="15"/>
      <c r="D10" s="15"/>
      <c r="E10" s="15"/>
      <c r="F10" s="15"/>
      <c r="G10" s="16"/>
      <c r="H10" s="15"/>
      <c r="I10" s="15"/>
      <c r="J10" s="15"/>
      <c r="K10" s="15"/>
      <c r="L10" s="15"/>
      <c r="M10" s="15"/>
      <c r="N10" s="16"/>
      <c r="O10" s="15"/>
      <c r="P10" s="15"/>
      <c r="Q10" s="15"/>
      <c r="R10" s="15"/>
      <c r="S10" s="15"/>
      <c r="T10" s="15"/>
      <c r="U10" s="16"/>
      <c r="V10" s="15"/>
      <c r="W10" s="15"/>
      <c r="X10" s="15"/>
      <c r="Y10" s="15"/>
      <c r="Z10" s="15"/>
      <c r="AA10" s="15"/>
      <c r="AB10" s="16"/>
      <c r="AC10" s="15"/>
      <c r="AD10" s="15"/>
      <c r="AE10" s="15"/>
      <c r="AF10" s="15"/>
      <c r="AG10" s="16"/>
      <c r="AH10" s="296"/>
    </row>
    <row r="11" spans="2:34" ht="15" customHeight="1">
      <c r="B11" s="23"/>
      <c r="C11" s="13"/>
      <c r="D11" s="13"/>
      <c r="E11" s="13" t="s">
        <v>25</v>
      </c>
      <c r="F11" s="13"/>
      <c r="G11" s="14"/>
      <c r="H11" s="13" t="s">
        <v>26</v>
      </c>
      <c r="I11" s="13"/>
      <c r="J11" s="13"/>
      <c r="K11" s="13" t="s">
        <v>27</v>
      </c>
      <c r="L11" s="13"/>
      <c r="M11" s="13" t="s">
        <v>28</v>
      </c>
      <c r="N11" s="14" t="s">
        <v>29</v>
      </c>
      <c r="O11" s="13" t="s">
        <v>26</v>
      </c>
      <c r="P11" s="13"/>
      <c r="Q11" s="13" t="s">
        <v>30</v>
      </c>
      <c r="R11" s="13"/>
      <c r="S11" s="13" t="s">
        <v>25</v>
      </c>
      <c r="T11" s="13"/>
      <c r="U11" s="14"/>
      <c r="V11" s="13" t="s">
        <v>26</v>
      </c>
      <c r="W11" s="13"/>
      <c r="X11" s="13" t="s">
        <v>28</v>
      </c>
      <c r="Y11" s="13" t="s">
        <v>27</v>
      </c>
      <c r="Z11" s="13"/>
      <c r="AA11" s="13"/>
      <c r="AB11" s="14" t="s">
        <v>29</v>
      </c>
      <c r="AC11" s="13"/>
      <c r="AD11" s="13"/>
      <c r="AE11" s="13" t="s">
        <v>30</v>
      </c>
      <c r="AF11" s="13"/>
      <c r="AG11" s="14"/>
      <c r="AH11" s="293"/>
    </row>
    <row r="12" spans="2:34" ht="15" customHeight="1">
      <c r="B12" s="23" t="s">
        <v>14</v>
      </c>
      <c r="C12" s="13"/>
      <c r="D12" s="13"/>
      <c r="E12" s="13"/>
      <c r="F12" s="13"/>
      <c r="G12" s="14"/>
      <c r="H12" s="13"/>
      <c r="I12" s="13"/>
      <c r="J12" s="13"/>
      <c r="K12" s="13"/>
      <c r="L12" s="13"/>
      <c r="M12" s="13"/>
      <c r="N12" s="14"/>
      <c r="O12" s="13"/>
      <c r="P12" s="13"/>
      <c r="Q12" s="13"/>
      <c r="R12" s="13"/>
      <c r="S12" s="13" t="s">
        <v>31</v>
      </c>
      <c r="T12" s="13"/>
      <c r="U12" s="14"/>
      <c r="V12" s="13"/>
      <c r="W12" s="13"/>
      <c r="X12" s="13"/>
      <c r="Y12" s="13"/>
      <c r="Z12" s="13"/>
      <c r="AA12" s="13"/>
      <c r="AB12" s="14"/>
      <c r="AC12" s="13"/>
      <c r="AD12" s="13"/>
      <c r="AE12" s="13"/>
      <c r="AF12" s="13"/>
      <c r="AG12" s="14"/>
      <c r="AH12" s="293" t="s">
        <v>14</v>
      </c>
    </row>
    <row r="13" spans="2:34" ht="15" customHeight="1">
      <c r="B13" s="24"/>
      <c r="C13" s="15"/>
      <c r="D13" s="15"/>
      <c r="E13" s="15"/>
      <c r="F13" s="15"/>
      <c r="G13" s="16"/>
      <c r="H13" s="15"/>
      <c r="I13" s="15"/>
      <c r="J13" s="15"/>
      <c r="K13" s="15"/>
      <c r="L13" s="15"/>
      <c r="M13" s="15"/>
      <c r="N13" s="16"/>
      <c r="O13" s="15"/>
      <c r="P13" s="15"/>
      <c r="Q13" s="15"/>
      <c r="R13" s="15"/>
      <c r="S13" s="15"/>
      <c r="T13" s="15"/>
      <c r="U13" s="16"/>
      <c r="V13" s="15"/>
      <c r="W13" s="15"/>
      <c r="X13" s="15"/>
      <c r="Y13" s="15"/>
      <c r="Z13" s="15"/>
      <c r="AA13" s="15"/>
      <c r="AB13" s="16"/>
      <c r="AC13" s="15"/>
      <c r="AD13" s="15"/>
      <c r="AE13" s="15"/>
      <c r="AF13" s="15"/>
      <c r="AG13" s="16"/>
      <c r="AH13" s="296"/>
    </row>
    <row r="14" spans="2:34" ht="15" customHeight="1">
      <c r="B14" s="23" t="s">
        <v>32</v>
      </c>
      <c r="C14" s="13"/>
      <c r="D14" s="13"/>
      <c r="E14" s="13"/>
      <c r="F14" s="13"/>
      <c r="G14" s="14"/>
      <c r="H14" s="13"/>
      <c r="I14" s="13"/>
      <c r="J14" s="13"/>
      <c r="K14" s="13"/>
      <c r="L14" s="13"/>
      <c r="M14" s="13"/>
      <c r="N14" s="14"/>
      <c r="O14" s="13"/>
      <c r="P14" s="13"/>
      <c r="Q14" s="13"/>
      <c r="R14" s="13"/>
      <c r="S14" s="13" t="s">
        <v>33</v>
      </c>
      <c r="T14" s="13"/>
      <c r="U14" s="14"/>
      <c r="V14" s="13"/>
      <c r="W14" s="13"/>
      <c r="X14" s="13"/>
      <c r="Y14" s="13"/>
      <c r="Z14" s="13"/>
      <c r="AA14" s="13"/>
      <c r="AB14" s="14"/>
      <c r="AC14" s="13"/>
      <c r="AD14" s="13"/>
      <c r="AE14" s="13"/>
      <c r="AF14" s="13" t="s">
        <v>34</v>
      </c>
      <c r="AG14" s="14"/>
      <c r="AH14" s="293" t="s">
        <v>32</v>
      </c>
    </row>
    <row r="15" spans="2:34" ht="15" customHeight="1">
      <c r="B15" s="24"/>
      <c r="C15" s="15"/>
      <c r="D15" s="15"/>
      <c r="E15" s="15"/>
      <c r="F15" s="15"/>
      <c r="G15" s="16"/>
      <c r="H15" s="15"/>
      <c r="I15" s="15"/>
      <c r="J15" s="15"/>
      <c r="K15" s="15"/>
      <c r="L15" s="15"/>
      <c r="M15" s="15"/>
      <c r="N15" s="16"/>
      <c r="O15" s="15"/>
      <c r="P15" s="15"/>
      <c r="Q15" s="15"/>
      <c r="R15" s="15"/>
      <c r="S15" s="15"/>
      <c r="T15" s="15"/>
      <c r="U15" s="16"/>
      <c r="V15" s="15"/>
      <c r="W15" s="15"/>
      <c r="X15" s="15"/>
      <c r="Y15" s="15"/>
      <c r="Z15" s="15"/>
      <c r="AA15" s="15"/>
      <c r="AB15" s="16"/>
      <c r="AC15" s="15"/>
      <c r="AD15" s="15"/>
      <c r="AE15" s="15"/>
      <c r="AF15" s="15" t="s">
        <v>35</v>
      </c>
      <c r="AG15" s="16"/>
      <c r="AH15" s="296"/>
    </row>
    <row r="16" spans="2:34" ht="15" customHeight="1">
      <c r="B16" s="23" t="s">
        <v>36</v>
      </c>
      <c r="C16" s="13"/>
      <c r="D16" s="13"/>
      <c r="E16" s="13"/>
      <c r="F16" s="13"/>
      <c r="G16" s="14"/>
      <c r="H16" s="13"/>
      <c r="I16" s="13"/>
      <c r="J16" s="13"/>
      <c r="K16" s="13"/>
      <c r="L16" s="13"/>
      <c r="M16" s="13"/>
      <c r="N16" s="14"/>
      <c r="O16" s="13"/>
      <c r="P16" s="13"/>
      <c r="Q16" s="13"/>
      <c r="R16" s="13"/>
      <c r="S16" s="13"/>
      <c r="T16" s="13"/>
      <c r="U16" s="14"/>
      <c r="V16" s="13"/>
      <c r="W16" s="13"/>
      <c r="X16" s="13"/>
      <c r="Y16" s="13"/>
      <c r="Z16" s="13"/>
      <c r="AA16" s="13"/>
      <c r="AB16" s="14"/>
      <c r="AC16" s="13"/>
      <c r="AD16" s="13"/>
      <c r="AE16" s="13"/>
      <c r="AF16" s="13"/>
      <c r="AG16" s="14"/>
      <c r="AH16" s="293" t="s">
        <v>36</v>
      </c>
    </row>
    <row r="17" spans="2:34" ht="15" customHeight="1">
      <c r="B17" s="24"/>
      <c r="C17" s="15"/>
      <c r="D17" s="15"/>
      <c r="E17" s="15"/>
      <c r="F17" s="15"/>
      <c r="G17" s="16"/>
      <c r="H17" s="15"/>
      <c r="I17" s="15"/>
      <c r="J17" s="15"/>
      <c r="K17" s="15"/>
      <c r="L17" s="15"/>
      <c r="M17" s="15"/>
      <c r="N17" s="16"/>
      <c r="O17" s="15"/>
      <c r="P17" s="15"/>
      <c r="Q17" s="15"/>
      <c r="R17" s="15"/>
      <c r="S17" s="15"/>
      <c r="T17" s="15"/>
      <c r="U17" s="16"/>
      <c r="V17" s="15"/>
      <c r="W17" s="15"/>
      <c r="X17" s="15"/>
      <c r="Y17" s="15"/>
      <c r="Z17" s="15"/>
      <c r="AA17" s="15"/>
      <c r="AB17" s="16"/>
      <c r="AC17" s="15"/>
      <c r="AD17" s="15"/>
      <c r="AE17" s="15"/>
      <c r="AF17" s="15"/>
      <c r="AG17" s="16"/>
      <c r="AH17" s="296"/>
    </row>
    <row r="18" spans="2:34" ht="15" customHeight="1">
      <c r="B18" s="23" t="s">
        <v>37</v>
      </c>
      <c r="C18" s="13"/>
      <c r="D18" s="13"/>
      <c r="E18" s="13"/>
      <c r="F18" s="13"/>
      <c r="G18" s="14"/>
      <c r="H18" s="13"/>
      <c r="I18" s="13" t="s">
        <v>38</v>
      </c>
      <c r="J18" s="13"/>
      <c r="K18" s="13"/>
      <c r="L18" s="13"/>
      <c r="M18" s="13"/>
      <c r="N18" s="14"/>
      <c r="O18" s="13"/>
      <c r="P18" s="13"/>
      <c r="Q18" s="13" t="s">
        <v>39</v>
      </c>
      <c r="R18" s="13" t="s">
        <v>39</v>
      </c>
      <c r="S18" s="13"/>
      <c r="T18" s="13"/>
      <c r="U18" s="14"/>
      <c r="V18" s="13"/>
      <c r="W18" s="13"/>
      <c r="X18" s="13"/>
      <c r="Y18" s="13"/>
      <c r="Z18" s="13"/>
      <c r="AA18" s="13"/>
      <c r="AB18" s="14"/>
      <c r="AC18" s="13"/>
      <c r="AD18" s="13" t="s">
        <v>38</v>
      </c>
      <c r="AE18" s="13"/>
      <c r="AF18" s="13"/>
      <c r="AG18" s="14"/>
      <c r="AH18" s="293" t="s">
        <v>37</v>
      </c>
    </row>
    <row r="19" spans="2:34" ht="15" customHeight="1">
      <c r="B19" s="24"/>
      <c r="C19" s="15"/>
      <c r="D19" s="15"/>
      <c r="E19" s="15"/>
      <c r="F19" s="15"/>
      <c r="G19" s="16"/>
      <c r="H19" s="15"/>
      <c r="I19" s="15" t="s">
        <v>40</v>
      </c>
      <c r="J19" s="15"/>
      <c r="K19" s="15"/>
      <c r="L19" s="15"/>
      <c r="M19" s="15"/>
      <c r="N19" s="16"/>
      <c r="O19" s="15"/>
      <c r="P19" s="15"/>
      <c r="Q19" s="15"/>
      <c r="R19" s="15"/>
      <c r="S19" s="15"/>
      <c r="T19" s="15"/>
      <c r="U19" s="16"/>
      <c r="V19" s="15"/>
      <c r="W19" s="15"/>
      <c r="X19" s="15"/>
      <c r="Y19" s="15"/>
      <c r="Z19" s="15"/>
      <c r="AA19" s="15"/>
      <c r="AB19" s="16"/>
      <c r="AC19" s="15"/>
      <c r="AD19" s="15" t="s">
        <v>40</v>
      </c>
      <c r="AE19" s="15"/>
      <c r="AF19" s="15"/>
      <c r="AG19" s="16"/>
      <c r="AH19" s="296"/>
    </row>
    <row r="20" spans="2:34" ht="15" customHeight="1">
      <c r="B20" s="23"/>
      <c r="C20" s="13"/>
      <c r="D20" s="13"/>
      <c r="E20" s="13"/>
      <c r="F20" s="13" t="s">
        <v>41</v>
      </c>
      <c r="G20" s="14"/>
      <c r="H20" s="13"/>
      <c r="I20" s="13"/>
      <c r="J20" s="13"/>
      <c r="K20" s="13"/>
      <c r="L20" s="13"/>
      <c r="M20" s="13" t="s">
        <v>41</v>
      </c>
      <c r="N20" s="14"/>
      <c r="O20" s="13"/>
      <c r="P20" s="13"/>
      <c r="Q20" s="13"/>
      <c r="R20" s="13"/>
      <c r="S20" s="13"/>
      <c r="T20" s="13" t="s">
        <v>41</v>
      </c>
      <c r="U20" s="14"/>
      <c r="V20" s="13"/>
      <c r="W20" s="13"/>
      <c r="X20" s="13"/>
      <c r="Y20" s="13"/>
      <c r="Z20" s="13"/>
      <c r="AA20" s="13" t="s">
        <v>41</v>
      </c>
      <c r="AB20" s="14"/>
      <c r="AC20" s="13"/>
      <c r="AD20" s="13"/>
      <c r="AE20" s="13"/>
      <c r="AF20" s="13"/>
      <c r="AG20" s="14"/>
      <c r="AH20" s="293"/>
    </row>
    <row r="21" spans="2:34" ht="15" customHeight="1">
      <c r="B21" s="23" t="s">
        <v>42</v>
      </c>
      <c r="C21" s="13"/>
      <c r="D21" s="13"/>
      <c r="E21" s="13" t="s">
        <v>43</v>
      </c>
      <c r="F21" s="13" t="s">
        <v>31</v>
      </c>
      <c r="G21" s="14"/>
      <c r="H21" s="13"/>
      <c r="I21" s="13"/>
      <c r="J21" s="13"/>
      <c r="K21" s="13"/>
      <c r="L21" s="13"/>
      <c r="M21" s="13" t="s">
        <v>44</v>
      </c>
      <c r="N21" s="14"/>
      <c r="O21" s="13" t="s">
        <v>45</v>
      </c>
      <c r="P21" s="13"/>
      <c r="Q21" s="13"/>
      <c r="R21" s="13"/>
      <c r="S21" s="13"/>
      <c r="T21" s="13" t="s">
        <v>46</v>
      </c>
      <c r="U21" s="14"/>
      <c r="V21" s="13"/>
      <c r="W21" s="13"/>
      <c r="X21" s="13" t="s">
        <v>47</v>
      </c>
      <c r="Y21" s="13"/>
      <c r="Z21" s="13"/>
      <c r="AA21" s="13" t="s">
        <v>31</v>
      </c>
      <c r="AB21" s="14"/>
      <c r="AC21" s="13"/>
      <c r="AD21" s="13"/>
      <c r="AE21" s="13"/>
      <c r="AF21" s="13" t="s">
        <v>48</v>
      </c>
      <c r="AG21" s="14"/>
      <c r="AH21" s="293" t="s">
        <v>42</v>
      </c>
    </row>
    <row r="22" spans="2:34" ht="15" customHeight="1" thickBot="1">
      <c r="B22" s="430"/>
      <c r="C22" s="435"/>
      <c r="D22" s="435"/>
      <c r="E22" s="435" t="s">
        <v>49</v>
      </c>
      <c r="F22" s="435"/>
      <c r="G22" s="436"/>
      <c r="H22" s="435"/>
      <c r="I22" s="435"/>
      <c r="J22" s="435"/>
      <c r="K22" s="435"/>
      <c r="L22" s="435"/>
      <c r="M22" s="435"/>
      <c r="N22" s="436"/>
      <c r="O22" s="435" t="s">
        <v>57</v>
      </c>
      <c r="P22" s="435"/>
      <c r="Q22" s="435"/>
      <c r="R22" s="435"/>
      <c r="S22" s="435"/>
      <c r="T22" s="435" t="s">
        <v>50</v>
      </c>
      <c r="U22" s="436"/>
      <c r="V22" s="435"/>
      <c r="W22" s="435"/>
      <c r="X22" s="435" t="s">
        <v>51</v>
      </c>
      <c r="Y22" s="435"/>
      <c r="Z22" s="435"/>
      <c r="AA22" s="435" t="s">
        <v>52</v>
      </c>
      <c r="AB22" s="436"/>
      <c r="AC22" s="435"/>
      <c r="AD22" s="435"/>
      <c r="AE22" s="435" t="s">
        <v>53</v>
      </c>
      <c r="AF22" s="435" t="s">
        <v>35</v>
      </c>
      <c r="AG22" s="436"/>
      <c r="AH22" s="437"/>
    </row>
    <row r="23" spans="2:34" ht="15" customHeight="1">
      <c r="B23" s="23" t="s">
        <v>54</v>
      </c>
      <c r="C23" s="13" t="s">
        <v>917</v>
      </c>
      <c r="D23" s="13" t="s">
        <v>241</v>
      </c>
      <c r="E23" s="13" t="s">
        <v>943</v>
      </c>
      <c r="F23" s="13" t="s">
        <v>943</v>
      </c>
      <c r="G23" s="14" t="s">
        <v>924</v>
      </c>
      <c r="H23" s="13"/>
      <c r="I23" s="13" t="s">
        <v>913</v>
      </c>
      <c r="J23" s="13" t="s">
        <v>917</v>
      </c>
      <c r="K23" s="13" t="s">
        <v>241</v>
      </c>
      <c r="L23" s="13" t="s">
        <v>943</v>
      </c>
      <c r="M23" s="13" t="s">
        <v>943</v>
      </c>
      <c r="N23" s="14" t="s">
        <v>943</v>
      </c>
      <c r="O23" s="13" t="s">
        <v>924</v>
      </c>
      <c r="P23" s="13" t="s">
        <v>943</v>
      </c>
      <c r="Q23" s="13" t="s">
        <v>917</v>
      </c>
      <c r="R23" s="13" t="s">
        <v>241</v>
      </c>
      <c r="S23" s="13" t="s">
        <v>913</v>
      </c>
      <c r="T23" s="13" t="s">
        <v>925</v>
      </c>
      <c r="U23" s="14" t="s">
        <v>944</v>
      </c>
      <c r="V23" s="13" t="s">
        <v>944</v>
      </c>
      <c r="W23" s="13" t="s">
        <v>944</v>
      </c>
      <c r="X23" s="13" t="s">
        <v>917</v>
      </c>
      <c r="Y23" s="13" t="s">
        <v>241</v>
      </c>
      <c r="Z23" s="13" t="s">
        <v>913</v>
      </c>
      <c r="AA23" s="13" t="s">
        <v>925</v>
      </c>
      <c r="AB23" s="14" t="s">
        <v>916</v>
      </c>
      <c r="AC23" s="13" t="s">
        <v>924</v>
      </c>
      <c r="AD23" s="13" t="s">
        <v>913</v>
      </c>
      <c r="AE23" s="13" t="s">
        <v>917</v>
      </c>
      <c r="AF23" s="13" t="s">
        <v>241</v>
      </c>
      <c r="AG23" s="14"/>
      <c r="AH23" s="293" t="s">
        <v>54</v>
      </c>
    </row>
    <row r="24" spans="2:34" ht="15" customHeight="1">
      <c r="B24" s="24"/>
      <c r="C24" s="15"/>
      <c r="D24" s="15" t="s">
        <v>945</v>
      </c>
      <c r="E24" s="15" t="s">
        <v>946</v>
      </c>
      <c r="F24" s="15" t="s">
        <v>947</v>
      </c>
      <c r="G24" s="16" t="s">
        <v>948</v>
      </c>
      <c r="H24" s="15"/>
      <c r="I24" s="15" t="s">
        <v>913</v>
      </c>
      <c r="J24" s="15" t="s">
        <v>913</v>
      </c>
      <c r="K24" s="15" t="s">
        <v>949</v>
      </c>
      <c r="L24" s="15" t="s">
        <v>950</v>
      </c>
      <c r="M24" s="15" t="s">
        <v>951</v>
      </c>
      <c r="N24" s="16" t="s">
        <v>952</v>
      </c>
      <c r="O24" s="15" t="s">
        <v>953</v>
      </c>
      <c r="P24" s="15" t="s">
        <v>954</v>
      </c>
      <c r="Q24" s="15" t="s">
        <v>913</v>
      </c>
      <c r="R24" s="15" t="s">
        <v>955</v>
      </c>
      <c r="S24" s="15" t="s">
        <v>913</v>
      </c>
      <c r="T24" s="15" t="s">
        <v>930</v>
      </c>
      <c r="U24" s="16" t="s">
        <v>913</v>
      </c>
      <c r="V24" s="15" t="s">
        <v>913</v>
      </c>
      <c r="W24" s="15" t="s">
        <v>913</v>
      </c>
      <c r="X24" s="15" t="s">
        <v>913</v>
      </c>
      <c r="Y24" s="15" t="s">
        <v>956</v>
      </c>
      <c r="Z24" s="15" t="s">
        <v>913</v>
      </c>
      <c r="AA24" s="15" t="s">
        <v>930</v>
      </c>
      <c r="AB24" s="16" t="s">
        <v>913</v>
      </c>
      <c r="AC24" s="15" t="s">
        <v>957</v>
      </c>
      <c r="AD24" s="15" t="s">
        <v>913</v>
      </c>
      <c r="AE24" s="15" t="s">
        <v>913</v>
      </c>
      <c r="AF24" s="15" t="s">
        <v>958</v>
      </c>
      <c r="AG24" s="16"/>
      <c r="AH24" s="296"/>
    </row>
    <row r="25" spans="2:34" ht="15" customHeight="1">
      <c r="B25" s="23" t="s">
        <v>55</v>
      </c>
      <c r="C25" s="13" t="s">
        <v>932</v>
      </c>
      <c r="D25" s="13" t="s">
        <v>932</v>
      </c>
      <c r="E25" s="13" t="s">
        <v>924</v>
      </c>
      <c r="F25" s="13" t="s">
        <v>925</v>
      </c>
      <c r="G25" s="14" t="s">
        <v>912</v>
      </c>
      <c r="H25" s="13" t="s">
        <v>913</v>
      </c>
      <c r="I25" s="13"/>
      <c r="J25" s="13" t="s">
        <v>932</v>
      </c>
      <c r="K25" s="13" t="s">
        <v>932</v>
      </c>
      <c r="L25" s="13" t="s">
        <v>927</v>
      </c>
      <c r="M25" s="13" t="s">
        <v>927</v>
      </c>
      <c r="N25" s="14"/>
      <c r="O25" s="13" t="s">
        <v>912</v>
      </c>
      <c r="P25" s="13" t="s">
        <v>913</v>
      </c>
      <c r="Q25" s="13" t="s">
        <v>932</v>
      </c>
      <c r="R25" s="13" t="s">
        <v>932</v>
      </c>
      <c r="S25" s="13" t="s">
        <v>927</v>
      </c>
      <c r="T25" s="13" t="s">
        <v>927</v>
      </c>
      <c r="U25" s="14" t="s">
        <v>912</v>
      </c>
      <c r="V25" s="13" t="s">
        <v>913</v>
      </c>
      <c r="W25" s="13" t="s">
        <v>913</v>
      </c>
      <c r="X25" s="13" t="s">
        <v>932</v>
      </c>
      <c r="Y25" s="13" t="s">
        <v>932</v>
      </c>
      <c r="Z25" s="13" t="s">
        <v>959</v>
      </c>
      <c r="AA25" s="13" t="s">
        <v>959</v>
      </c>
      <c r="AB25" s="14"/>
      <c r="AC25" s="13" t="s">
        <v>912</v>
      </c>
      <c r="AD25" s="13" t="s">
        <v>960</v>
      </c>
      <c r="AE25" s="13" t="s">
        <v>932</v>
      </c>
      <c r="AF25" s="13" t="s">
        <v>932</v>
      </c>
      <c r="AG25" s="14"/>
      <c r="AH25" s="293" t="s">
        <v>55</v>
      </c>
    </row>
    <row r="26" spans="2:34" ht="15" customHeight="1">
      <c r="B26" s="24"/>
      <c r="C26" s="15" t="s">
        <v>961</v>
      </c>
      <c r="D26" s="15" t="s">
        <v>913</v>
      </c>
      <c r="E26" s="15" t="s">
        <v>962</v>
      </c>
      <c r="F26" s="15" t="s">
        <v>930</v>
      </c>
      <c r="G26" s="16" t="s">
        <v>916</v>
      </c>
      <c r="H26" s="15" t="s">
        <v>913</v>
      </c>
      <c r="I26" s="15" t="s">
        <v>913</v>
      </c>
      <c r="J26" s="15" t="s">
        <v>963</v>
      </c>
      <c r="K26" s="15" t="s">
        <v>913</v>
      </c>
      <c r="L26" s="15" t="s">
        <v>964</v>
      </c>
      <c r="M26" s="15" t="s">
        <v>964</v>
      </c>
      <c r="N26" s="16" t="s">
        <v>916</v>
      </c>
      <c r="O26" s="15" t="s">
        <v>913</v>
      </c>
      <c r="P26" s="15" t="s">
        <v>913</v>
      </c>
      <c r="Q26" s="15" t="s">
        <v>965</v>
      </c>
      <c r="R26" s="15" t="s">
        <v>913</v>
      </c>
      <c r="S26" s="15" t="s">
        <v>931</v>
      </c>
      <c r="T26" s="15" t="s">
        <v>931</v>
      </c>
      <c r="U26" s="16" t="s">
        <v>916</v>
      </c>
      <c r="V26" s="15" t="s">
        <v>913</v>
      </c>
      <c r="W26" s="15" t="s">
        <v>913</v>
      </c>
      <c r="X26" s="15" t="s">
        <v>966</v>
      </c>
      <c r="Y26" s="15" t="s">
        <v>913</v>
      </c>
      <c r="Z26" s="15" t="s">
        <v>967</v>
      </c>
      <c r="AA26" s="15" t="s">
        <v>968</v>
      </c>
      <c r="AB26" s="16"/>
      <c r="AC26" s="15" t="s">
        <v>913</v>
      </c>
      <c r="AD26" s="15" t="s">
        <v>969</v>
      </c>
      <c r="AE26" s="15" t="s">
        <v>913</v>
      </c>
      <c r="AF26" s="15" t="s">
        <v>913</v>
      </c>
      <c r="AG26" s="16"/>
      <c r="AH26" s="296"/>
    </row>
    <row r="27" spans="2:34" ht="15" customHeight="1">
      <c r="B27" s="23" t="s">
        <v>56</v>
      </c>
      <c r="C27" s="13"/>
      <c r="D27" s="13"/>
      <c r="E27" s="13"/>
      <c r="F27" s="13"/>
      <c r="G27" s="14"/>
      <c r="H27" s="13"/>
      <c r="I27" s="13"/>
      <c r="J27" s="13"/>
      <c r="K27" s="13"/>
      <c r="L27" s="13"/>
      <c r="M27" s="13"/>
      <c r="N27" s="14"/>
      <c r="O27" s="13"/>
      <c r="P27" s="13"/>
      <c r="Q27" s="13"/>
      <c r="R27" s="13"/>
      <c r="S27" s="13"/>
      <c r="T27" s="13"/>
      <c r="U27" s="14"/>
      <c r="V27" s="13"/>
      <c r="W27" s="13"/>
      <c r="X27" s="13"/>
      <c r="Y27" s="13"/>
      <c r="Z27" s="13"/>
      <c r="AA27" s="13"/>
      <c r="AB27" s="14"/>
      <c r="AC27" s="13"/>
      <c r="AD27" s="13"/>
      <c r="AE27" s="13"/>
      <c r="AF27" s="13"/>
      <c r="AG27" s="14"/>
      <c r="AH27" s="293" t="s">
        <v>56</v>
      </c>
    </row>
    <row r="28" spans="2:34" ht="15" customHeight="1" thickBot="1">
      <c r="B28" s="430"/>
      <c r="C28" s="435"/>
      <c r="D28" s="435"/>
      <c r="E28" s="435"/>
      <c r="F28" s="435"/>
      <c r="G28" s="436"/>
      <c r="H28" s="435"/>
      <c r="I28" s="435"/>
      <c r="J28" s="435"/>
      <c r="K28" s="435"/>
      <c r="L28" s="435"/>
      <c r="M28" s="435"/>
      <c r="N28" s="436"/>
      <c r="O28" s="435"/>
      <c r="P28" s="435"/>
      <c r="Q28" s="435"/>
      <c r="R28" s="435"/>
      <c r="S28" s="435"/>
      <c r="T28" s="435"/>
      <c r="U28" s="436"/>
      <c r="V28" s="435"/>
      <c r="W28" s="435"/>
      <c r="X28" s="435"/>
      <c r="Y28" s="435"/>
      <c r="Z28" s="435"/>
      <c r="AA28" s="435"/>
      <c r="AB28" s="436"/>
      <c r="AC28" s="435"/>
      <c r="AD28" s="435"/>
      <c r="AE28" s="435"/>
      <c r="AF28" s="435"/>
      <c r="AG28" s="436"/>
      <c r="AH28" s="437"/>
    </row>
    <row r="29" spans="2:34" ht="15" customHeight="1">
      <c r="B29" s="23"/>
      <c r="C29" s="13"/>
      <c r="D29" s="13"/>
      <c r="E29" s="13"/>
      <c r="F29" s="13"/>
      <c r="G29" s="14"/>
      <c r="H29" s="13"/>
      <c r="I29" s="13"/>
      <c r="J29" s="13"/>
      <c r="K29" s="13"/>
      <c r="L29" s="13"/>
      <c r="M29" s="13"/>
      <c r="N29" s="14"/>
      <c r="O29" s="13"/>
      <c r="P29" s="13"/>
      <c r="Q29" s="13"/>
      <c r="R29" s="13"/>
      <c r="S29" s="13"/>
      <c r="T29" s="13"/>
      <c r="U29" s="14"/>
      <c r="V29" s="13"/>
      <c r="W29" s="13"/>
      <c r="X29" s="13"/>
      <c r="Y29" s="13"/>
      <c r="Z29" s="13"/>
      <c r="AA29" s="13"/>
      <c r="AB29" s="14"/>
      <c r="AC29" s="13"/>
      <c r="AD29" s="13"/>
      <c r="AE29" s="13"/>
      <c r="AF29" s="13"/>
      <c r="AG29" s="14"/>
      <c r="AH29" s="293"/>
    </row>
    <row r="30" spans="2:34" ht="15" customHeight="1">
      <c r="B30" s="24"/>
      <c r="C30" s="15"/>
      <c r="D30" s="15"/>
      <c r="E30" s="15"/>
      <c r="F30" s="15"/>
      <c r="G30" s="16"/>
      <c r="H30" s="15"/>
      <c r="I30" s="15"/>
      <c r="J30" s="15"/>
      <c r="K30" s="15"/>
      <c r="L30" s="15"/>
      <c r="M30" s="15"/>
      <c r="N30" s="16"/>
      <c r="O30" s="15"/>
      <c r="P30" s="15"/>
      <c r="Q30" s="15"/>
      <c r="R30" s="15"/>
      <c r="S30" s="15"/>
      <c r="T30" s="15"/>
      <c r="U30" s="16"/>
      <c r="V30" s="15"/>
      <c r="W30" s="15"/>
      <c r="X30" s="15"/>
      <c r="Y30" s="15"/>
      <c r="Z30" s="15"/>
      <c r="AA30" s="15"/>
      <c r="AB30" s="16"/>
      <c r="AC30" s="15"/>
      <c r="AD30" s="15"/>
      <c r="AE30" s="15"/>
      <c r="AF30" s="15"/>
      <c r="AG30" s="16"/>
      <c r="AH30" s="296"/>
    </row>
    <row r="31" spans="2:34" ht="15" customHeight="1">
      <c r="B31" s="23" t="s">
        <v>15</v>
      </c>
      <c r="C31" s="13" t="s">
        <v>16</v>
      </c>
      <c r="D31" s="13" t="s">
        <v>16</v>
      </c>
      <c r="E31" s="13" t="s">
        <v>16</v>
      </c>
      <c r="F31" s="13" t="s">
        <v>16</v>
      </c>
      <c r="G31" s="14" t="s">
        <v>16</v>
      </c>
      <c r="H31" s="13"/>
      <c r="I31" s="13"/>
      <c r="J31" s="13" t="s">
        <v>16</v>
      </c>
      <c r="K31" s="13" t="s">
        <v>16</v>
      </c>
      <c r="L31" s="13" t="s">
        <v>16</v>
      </c>
      <c r="M31" s="13" t="s">
        <v>16</v>
      </c>
      <c r="N31" s="14" t="s">
        <v>16</v>
      </c>
      <c r="O31" s="13" t="s">
        <v>45</v>
      </c>
      <c r="P31" s="13"/>
      <c r="Q31" s="13" t="s">
        <v>16</v>
      </c>
      <c r="R31" s="13" t="s">
        <v>16</v>
      </c>
      <c r="S31" s="13" t="s">
        <v>16</v>
      </c>
      <c r="T31" s="13" t="s">
        <v>16</v>
      </c>
      <c r="U31" s="14" t="s">
        <v>16</v>
      </c>
      <c r="V31" s="13"/>
      <c r="W31" s="13"/>
      <c r="X31" s="13" t="s">
        <v>16</v>
      </c>
      <c r="Y31" s="13" t="s">
        <v>16</v>
      </c>
      <c r="Z31" s="13" t="s">
        <v>16</v>
      </c>
      <c r="AA31" s="13" t="s">
        <v>16</v>
      </c>
      <c r="AB31" s="14" t="s">
        <v>16</v>
      </c>
      <c r="AC31" s="13"/>
      <c r="AD31" s="13"/>
      <c r="AE31" s="13" t="s">
        <v>16</v>
      </c>
      <c r="AF31" s="13" t="s">
        <v>16</v>
      </c>
      <c r="AG31" s="14"/>
      <c r="AH31" s="293" t="s">
        <v>15</v>
      </c>
    </row>
    <row r="32" spans="2:34" ht="15" customHeight="1" thickBot="1">
      <c r="B32" s="430"/>
      <c r="C32" s="435"/>
      <c r="D32" s="435"/>
      <c r="E32" s="435"/>
      <c r="F32" s="435"/>
      <c r="G32" s="436"/>
      <c r="H32" s="435"/>
      <c r="I32" s="435"/>
      <c r="J32" s="435"/>
      <c r="K32" s="435"/>
      <c r="L32" s="435"/>
      <c r="M32" s="435"/>
      <c r="N32" s="436"/>
      <c r="O32" s="435" t="s">
        <v>57</v>
      </c>
      <c r="P32" s="435"/>
      <c r="Q32" s="435"/>
      <c r="R32" s="435"/>
      <c r="S32" s="435"/>
      <c r="T32" s="435"/>
      <c r="U32" s="436"/>
      <c r="V32" s="435"/>
      <c r="W32" s="435"/>
      <c r="X32" s="435"/>
      <c r="Y32" s="435"/>
      <c r="Z32" s="435"/>
      <c r="AA32" s="435"/>
      <c r="AB32" s="436"/>
      <c r="AC32" s="435"/>
      <c r="AD32" s="435"/>
      <c r="AE32" s="435"/>
      <c r="AF32" s="435"/>
      <c r="AG32" s="436"/>
      <c r="AH32" s="437"/>
    </row>
    <row r="33" spans="2:34" ht="15" customHeight="1">
      <c r="B33" s="23"/>
      <c r="C33" s="17"/>
      <c r="D33" s="17"/>
      <c r="E33" s="17"/>
      <c r="F33" s="17"/>
      <c r="G33" s="18"/>
      <c r="H33" s="17"/>
      <c r="I33" s="17"/>
      <c r="J33" s="17"/>
      <c r="K33" s="17"/>
      <c r="L33" s="17"/>
      <c r="M33" s="17"/>
      <c r="N33" s="18"/>
      <c r="O33" s="17"/>
      <c r="P33" s="17"/>
      <c r="Q33" s="17"/>
      <c r="R33" s="17"/>
      <c r="S33" s="17"/>
      <c r="T33" s="17"/>
      <c r="U33" s="18"/>
      <c r="V33" s="17"/>
      <c r="W33" s="17"/>
      <c r="X33" s="17"/>
      <c r="Y33" s="17"/>
      <c r="Z33" s="17"/>
      <c r="AA33" s="17"/>
      <c r="AB33" s="18"/>
      <c r="AC33" s="17"/>
      <c r="AD33" s="17"/>
      <c r="AE33" s="17"/>
      <c r="AF33" s="17"/>
      <c r="AG33" s="18"/>
      <c r="AH33" s="293"/>
    </row>
    <row r="34" spans="2:34" ht="15" customHeight="1">
      <c r="B34" s="23"/>
      <c r="C34" s="17"/>
      <c r="D34" s="17"/>
      <c r="E34" s="17"/>
      <c r="F34" s="17"/>
      <c r="G34" s="18"/>
      <c r="H34" s="17"/>
      <c r="I34" s="17"/>
      <c r="J34" s="17"/>
      <c r="K34" s="17"/>
      <c r="L34" s="17"/>
      <c r="M34" s="17"/>
      <c r="N34" s="18"/>
      <c r="O34" s="17"/>
      <c r="P34" s="17"/>
      <c r="Q34" s="17"/>
      <c r="R34" s="17"/>
      <c r="S34" s="17"/>
      <c r="T34" s="17"/>
      <c r="U34" s="18"/>
      <c r="V34" s="17"/>
      <c r="W34" s="17"/>
      <c r="X34" s="17"/>
      <c r="Y34" s="17"/>
      <c r="Z34" s="17"/>
      <c r="AA34" s="17"/>
      <c r="AB34" s="18"/>
      <c r="AC34" s="17"/>
      <c r="AD34" s="17"/>
      <c r="AE34" s="17"/>
      <c r="AF34" s="17"/>
      <c r="AG34" s="18"/>
      <c r="AH34" s="293"/>
    </row>
    <row r="35" spans="2:34" ht="15" customHeight="1">
      <c r="B35" s="23"/>
      <c r="C35" s="17"/>
      <c r="D35" s="17"/>
      <c r="E35" s="17"/>
      <c r="F35" s="17"/>
      <c r="G35" s="18"/>
      <c r="H35" s="17"/>
      <c r="I35" s="17"/>
      <c r="J35" s="17"/>
      <c r="K35" s="17"/>
      <c r="L35" s="17"/>
      <c r="M35" s="17"/>
      <c r="N35" s="18"/>
      <c r="O35" s="17"/>
      <c r="P35" s="17"/>
      <c r="Q35" s="17"/>
      <c r="R35" s="17"/>
      <c r="S35" s="17"/>
      <c r="T35" s="17"/>
      <c r="U35" s="18"/>
      <c r="V35" s="17"/>
      <c r="W35" s="17"/>
      <c r="X35" s="17"/>
      <c r="Y35" s="17"/>
      <c r="Z35" s="17"/>
      <c r="AA35" s="17"/>
      <c r="AB35" s="18"/>
      <c r="AC35" s="17"/>
      <c r="AD35" s="17"/>
      <c r="AE35" s="17"/>
      <c r="AF35" s="17"/>
      <c r="AG35" s="18"/>
      <c r="AH35" s="293"/>
    </row>
    <row r="36" spans="2:34" ht="15" customHeight="1">
      <c r="B36" s="23"/>
      <c r="C36" s="17"/>
      <c r="D36" s="17"/>
      <c r="E36" s="17"/>
      <c r="F36" s="17"/>
      <c r="G36" s="18"/>
      <c r="H36" s="17"/>
      <c r="I36" s="17"/>
      <c r="J36" s="17"/>
      <c r="K36" s="17"/>
      <c r="L36" s="17"/>
      <c r="M36" s="17"/>
      <c r="N36" s="18"/>
      <c r="O36" s="17"/>
      <c r="P36" s="17"/>
      <c r="Q36" s="17"/>
      <c r="R36" s="17"/>
      <c r="S36" s="17"/>
      <c r="T36" s="17"/>
      <c r="U36" s="18"/>
      <c r="V36" s="17"/>
      <c r="W36" s="17"/>
      <c r="X36" s="17"/>
      <c r="Y36" s="17"/>
      <c r="Z36" s="17"/>
      <c r="AA36" s="17"/>
      <c r="AB36" s="18"/>
      <c r="AC36" s="17"/>
      <c r="AD36" s="17"/>
      <c r="AE36" s="17"/>
      <c r="AF36" s="17"/>
      <c r="AG36" s="18"/>
      <c r="AH36" s="293"/>
    </row>
    <row r="37" spans="2:34" ht="15" customHeight="1">
      <c r="B37" s="23"/>
      <c r="C37" s="17"/>
      <c r="D37" s="17"/>
      <c r="E37" s="17"/>
      <c r="F37" s="17"/>
      <c r="G37" s="18"/>
      <c r="H37" s="17"/>
      <c r="I37" s="17"/>
      <c r="J37" s="17"/>
      <c r="K37" s="17"/>
      <c r="L37" s="17"/>
      <c r="M37" s="17"/>
      <c r="N37" s="18"/>
      <c r="O37" s="17"/>
      <c r="P37" s="17"/>
      <c r="Q37" s="17"/>
      <c r="R37" s="17"/>
      <c r="S37" s="17"/>
      <c r="T37" s="17"/>
      <c r="U37" s="18"/>
      <c r="V37" s="17"/>
      <c r="W37" s="17"/>
      <c r="X37" s="17"/>
      <c r="Y37" s="17"/>
      <c r="Z37" s="17"/>
      <c r="AA37" s="17"/>
      <c r="AB37" s="18"/>
      <c r="AC37" s="17"/>
      <c r="AD37" s="17"/>
      <c r="AE37" s="17"/>
      <c r="AF37" s="17"/>
      <c r="AG37" s="18"/>
      <c r="AH37" s="293"/>
    </row>
    <row r="38" spans="2:34" ht="15" customHeight="1">
      <c r="B38" s="23"/>
      <c r="C38" s="17"/>
      <c r="D38" s="17"/>
      <c r="E38" s="17"/>
      <c r="F38" s="17"/>
      <c r="G38" s="18"/>
      <c r="H38" s="17"/>
      <c r="I38" s="17"/>
      <c r="J38" s="17"/>
      <c r="K38" s="17"/>
      <c r="L38" s="17"/>
      <c r="M38" s="17"/>
      <c r="N38" s="18"/>
      <c r="O38" s="17"/>
      <c r="P38" s="17"/>
      <c r="Q38" s="17"/>
      <c r="R38" s="17"/>
      <c r="S38" s="17"/>
      <c r="T38" s="17"/>
      <c r="U38" s="18"/>
      <c r="V38" s="17"/>
      <c r="W38" s="17"/>
      <c r="X38" s="17"/>
      <c r="Y38" s="17"/>
      <c r="Z38" s="17"/>
      <c r="AA38" s="17"/>
      <c r="AB38" s="18"/>
      <c r="AC38" s="17"/>
      <c r="AD38" s="17"/>
      <c r="AE38" s="17"/>
      <c r="AF38" s="17"/>
      <c r="AG38" s="18"/>
      <c r="AH38" s="293"/>
    </row>
    <row r="39" spans="2:34" ht="15" customHeight="1">
      <c r="B39" s="23" t="s">
        <v>58</v>
      </c>
      <c r="C39" s="17"/>
      <c r="D39" s="17"/>
      <c r="E39" s="17"/>
      <c r="F39" s="17"/>
      <c r="G39" s="18"/>
      <c r="H39" s="17"/>
      <c r="I39" s="17"/>
      <c r="J39" s="17"/>
      <c r="K39" s="17"/>
      <c r="L39" s="17"/>
      <c r="M39" s="17"/>
      <c r="N39" s="18"/>
      <c r="O39" s="17"/>
      <c r="P39" s="17"/>
      <c r="Q39" s="17"/>
      <c r="R39" s="17"/>
      <c r="S39" s="17"/>
      <c r="T39" s="17"/>
      <c r="U39" s="18"/>
      <c r="V39" s="17"/>
      <c r="W39" s="17"/>
      <c r="X39" s="17"/>
      <c r="Y39" s="17"/>
      <c r="Z39" s="17"/>
      <c r="AA39" s="17"/>
      <c r="AB39" s="18"/>
      <c r="AC39" s="17"/>
      <c r="AD39" s="17"/>
      <c r="AE39" s="17"/>
      <c r="AF39" s="17"/>
      <c r="AG39" s="18"/>
      <c r="AH39" s="293" t="s">
        <v>58</v>
      </c>
    </row>
    <row r="40" spans="2:34" ht="15" customHeight="1">
      <c r="B40" s="23"/>
      <c r="C40" s="17"/>
      <c r="D40" s="17"/>
      <c r="E40" s="17"/>
      <c r="F40" s="17"/>
      <c r="G40" s="18"/>
      <c r="H40" s="17"/>
      <c r="I40" s="17"/>
      <c r="J40" s="17"/>
      <c r="K40" s="17"/>
      <c r="L40" s="17"/>
      <c r="M40" s="17"/>
      <c r="N40" s="18"/>
      <c r="O40" s="17"/>
      <c r="P40" s="17"/>
      <c r="Q40" s="17"/>
      <c r="R40" s="17"/>
      <c r="S40" s="17"/>
      <c r="T40" s="17"/>
      <c r="U40" s="18"/>
      <c r="V40" s="17"/>
      <c r="W40" s="17"/>
      <c r="X40" s="17"/>
      <c r="Y40" s="17"/>
      <c r="Z40" s="17"/>
      <c r="AA40" s="17"/>
      <c r="AB40" s="18"/>
      <c r="AC40" s="17"/>
      <c r="AD40" s="17"/>
      <c r="AE40" s="17"/>
      <c r="AF40" s="17"/>
      <c r="AG40" s="18"/>
      <c r="AH40" s="293"/>
    </row>
    <row r="41" spans="2:34" ht="15" customHeight="1">
      <c r="B41" s="23"/>
      <c r="C41" s="17"/>
      <c r="D41" s="17"/>
      <c r="E41" s="17"/>
      <c r="F41" s="17"/>
      <c r="G41" s="18"/>
      <c r="H41" s="17"/>
      <c r="I41" s="17"/>
      <c r="J41" s="17"/>
      <c r="K41" s="17"/>
      <c r="L41" s="17"/>
      <c r="M41" s="17"/>
      <c r="N41" s="18"/>
      <c r="O41" s="17"/>
      <c r="P41" s="17"/>
      <c r="Q41" s="17"/>
      <c r="R41" s="17"/>
      <c r="S41" s="17"/>
      <c r="T41" s="17"/>
      <c r="U41" s="18"/>
      <c r="V41" s="17"/>
      <c r="W41" s="17"/>
      <c r="X41" s="17"/>
      <c r="Y41" s="17"/>
      <c r="Z41" s="17"/>
      <c r="AA41" s="17"/>
      <c r="AB41" s="18"/>
      <c r="AC41" s="17"/>
      <c r="AD41" s="17"/>
      <c r="AE41" s="17"/>
      <c r="AF41" s="17"/>
      <c r="AG41" s="18"/>
      <c r="AH41" s="293"/>
    </row>
    <row r="42" spans="2:34" ht="15" customHeight="1">
      <c r="B42" s="23"/>
      <c r="C42" s="17"/>
      <c r="D42" s="17"/>
      <c r="E42" s="17"/>
      <c r="F42" s="17"/>
      <c r="G42" s="18"/>
      <c r="H42" s="17"/>
      <c r="I42" s="17"/>
      <c r="J42" s="17"/>
      <c r="K42" s="17"/>
      <c r="L42" s="17"/>
      <c r="M42" s="17"/>
      <c r="N42" s="18"/>
      <c r="O42" s="17"/>
      <c r="P42" s="17"/>
      <c r="Q42" s="17"/>
      <c r="R42" s="17"/>
      <c r="S42" s="17"/>
      <c r="T42" s="17"/>
      <c r="U42" s="18"/>
      <c r="V42" s="17"/>
      <c r="W42" s="17"/>
      <c r="X42" s="17"/>
      <c r="Y42" s="17"/>
      <c r="Z42" s="17"/>
      <c r="AA42" s="17"/>
      <c r="AB42" s="18"/>
      <c r="AC42" s="17"/>
      <c r="AD42" s="17"/>
      <c r="AE42" s="17"/>
      <c r="AF42" s="17"/>
      <c r="AG42" s="18"/>
      <c r="AH42" s="293"/>
    </row>
    <row r="43" spans="2:34" ht="15" customHeight="1">
      <c r="B43" s="23"/>
      <c r="C43" s="17"/>
      <c r="D43" s="17"/>
      <c r="E43" s="17"/>
      <c r="F43" s="17"/>
      <c r="G43" s="18"/>
      <c r="H43" s="17"/>
      <c r="I43" s="17"/>
      <c r="J43" s="17"/>
      <c r="K43" s="17"/>
      <c r="L43" s="17"/>
      <c r="M43" s="17"/>
      <c r="N43" s="18"/>
      <c r="O43" s="17"/>
      <c r="P43" s="17"/>
      <c r="Q43" s="17"/>
      <c r="R43" s="17"/>
      <c r="S43" s="17"/>
      <c r="T43" s="17"/>
      <c r="U43" s="18"/>
      <c r="V43" s="17"/>
      <c r="W43" s="17"/>
      <c r="X43" s="17"/>
      <c r="Y43" s="17"/>
      <c r="Z43" s="17"/>
      <c r="AA43" s="17"/>
      <c r="AB43" s="18"/>
      <c r="AC43" s="17"/>
      <c r="AD43" s="17"/>
      <c r="AE43" s="17"/>
      <c r="AF43" s="17"/>
      <c r="AG43" s="18"/>
      <c r="AH43" s="293"/>
    </row>
    <row r="44" spans="2:34" ht="15" customHeight="1">
      <c r="B44" s="23"/>
      <c r="C44" s="17"/>
      <c r="D44" s="17"/>
      <c r="E44" s="17"/>
      <c r="F44" s="17"/>
      <c r="G44" s="18"/>
      <c r="H44" s="17"/>
      <c r="I44" s="17"/>
      <c r="J44" s="17"/>
      <c r="K44" s="17"/>
      <c r="L44" s="17"/>
      <c r="M44" s="17"/>
      <c r="N44" s="18"/>
      <c r="O44" s="17"/>
      <c r="P44" s="17"/>
      <c r="Q44" s="17"/>
      <c r="R44" s="17"/>
      <c r="S44" s="17"/>
      <c r="T44" s="17"/>
      <c r="U44" s="18"/>
      <c r="V44" s="17"/>
      <c r="W44" s="17"/>
      <c r="X44" s="17"/>
      <c r="Y44" s="17"/>
      <c r="Z44" s="17"/>
      <c r="AA44" s="17"/>
      <c r="AB44" s="18"/>
      <c r="AC44" s="17"/>
      <c r="AD44" s="17"/>
      <c r="AE44" s="17"/>
      <c r="AF44" s="17"/>
      <c r="AG44" s="18"/>
      <c r="AH44" s="293"/>
    </row>
    <row r="45" spans="2:34" ht="15" customHeight="1">
      <c r="B45" s="23"/>
      <c r="C45" s="17"/>
      <c r="D45" s="17"/>
      <c r="E45" s="17"/>
      <c r="F45" s="17"/>
      <c r="G45" s="18"/>
      <c r="H45" s="17"/>
      <c r="I45" s="17"/>
      <c r="J45" s="17"/>
      <c r="K45" s="17"/>
      <c r="L45" s="17"/>
      <c r="M45" s="17"/>
      <c r="N45" s="18"/>
      <c r="O45" s="17"/>
      <c r="P45" s="17"/>
      <c r="Q45" s="17"/>
      <c r="R45" s="17"/>
      <c r="S45" s="17"/>
      <c r="T45" s="17"/>
      <c r="U45" s="18"/>
      <c r="V45" s="17"/>
      <c r="W45" s="17"/>
      <c r="X45" s="17"/>
      <c r="Y45" s="17"/>
      <c r="Z45" s="17"/>
      <c r="AA45" s="17"/>
      <c r="AB45" s="18"/>
      <c r="AC45" s="17"/>
      <c r="AD45" s="17"/>
      <c r="AE45" s="17"/>
      <c r="AF45" s="17"/>
      <c r="AG45" s="18"/>
      <c r="AH45" s="293"/>
    </row>
    <row r="46" spans="2:34" ht="15" customHeight="1">
      <c r="B46" s="23"/>
      <c r="C46" s="17"/>
      <c r="D46" s="17"/>
      <c r="E46" s="17"/>
      <c r="F46" s="17"/>
      <c r="G46" s="18"/>
      <c r="H46" s="17"/>
      <c r="I46" s="17"/>
      <c r="J46" s="17"/>
      <c r="K46" s="17"/>
      <c r="L46" s="17"/>
      <c r="M46" s="17"/>
      <c r="N46" s="18"/>
      <c r="O46" s="17"/>
      <c r="P46" s="17"/>
      <c r="Q46" s="17"/>
      <c r="R46" s="17"/>
      <c r="S46" s="17"/>
      <c r="T46" s="17"/>
      <c r="U46" s="18"/>
      <c r="V46" s="17"/>
      <c r="W46" s="17"/>
      <c r="X46" s="17"/>
      <c r="Y46" s="17"/>
      <c r="Z46" s="17"/>
      <c r="AA46" s="17"/>
      <c r="AB46" s="18"/>
      <c r="AC46" s="17"/>
      <c r="AD46" s="17"/>
      <c r="AE46" s="17"/>
      <c r="AF46" s="17"/>
      <c r="AG46" s="18"/>
      <c r="AH46" s="293"/>
    </row>
    <row r="47" spans="2:34" ht="15" customHeight="1">
      <c r="B47" s="23"/>
      <c r="C47" s="17"/>
      <c r="D47" s="17"/>
      <c r="E47" s="17"/>
      <c r="F47" s="17"/>
      <c r="G47" s="18"/>
      <c r="H47" s="17"/>
      <c r="I47" s="17"/>
      <c r="J47" s="17"/>
      <c r="K47" s="17"/>
      <c r="L47" s="17"/>
      <c r="M47" s="17"/>
      <c r="N47" s="18"/>
      <c r="O47" s="17"/>
      <c r="P47" s="17"/>
      <c r="Q47" s="17"/>
      <c r="R47" s="17"/>
      <c r="S47" s="17"/>
      <c r="T47" s="17"/>
      <c r="U47" s="18"/>
      <c r="V47" s="17"/>
      <c r="W47" s="17"/>
      <c r="X47" s="17"/>
      <c r="Y47" s="17"/>
      <c r="Z47" s="17"/>
      <c r="AA47" s="17"/>
      <c r="AB47" s="18"/>
      <c r="AC47" s="17"/>
      <c r="AD47" s="17"/>
      <c r="AE47" s="17"/>
      <c r="AF47" s="17"/>
      <c r="AG47" s="18"/>
      <c r="AH47" s="293"/>
    </row>
    <row r="48" spans="2:34" ht="15" customHeight="1">
      <c r="B48" s="23"/>
      <c r="C48" s="17"/>
      <c r="D48" s="17"/>
      <c r="E48" s="17"/>
      <c r="F48" s="17"/>
      <c r="G48" s="18"/>
      <c r="H48" s="17"/>
      <c r="I48" s="17"/>
      <c r="J48" s="17"/>
      <c r="K48" s="17"/>
      <c r="L48" s="17"/>
      <c r="M48" s="17"/>
      <c r="N48" s="18"/>
      <c r="O48" s="17"/>
      <c r="P48" s="17"/>
      <c r="Q48" s="17"/>
      <c r="R48" s="17"/>
      <c r="S48" s="17"/>
      <c r="T48" s="17"/>
      <c r="U48" s="18"/>
      <c r="V48" s="17"/>
      <c r="W48" s="17"/>
      <c r="X48" s="17"/>
      <c r="Y48" s="17"/>
      <c r="Z48" s="17"/>
      <c r="AA48" s="17"/>
      <c r="AB48" s="18"/>
      <c r="AC48" s="17"/>
      <c r="AD48" s="17"/>
      <c r="AE48" s="17"/>
      <c r="AF48" s="17"/>
      <c r="AG48" s="18"/>
      <c r="AH48" s="293"/>
    </row>
    <row r="49" spans="2:34" ht="15" customHeight="1">
      <c r="B49" s="23"/>
      <c r="C49" s="17"/>
      <c r="D49" s="17"/>
      <c r="E49" s="17"/>
      <c r="F49" s="17"/>
      <c r="G49" s="18"/>
      <c r="H49" s="17"/>
      <c r="I49" s="17"/>
      <c r="J49" s="17"/>
      <c r="K49" s="17"/>
      <c r="L49" s="17"/>
      <c r="M49" s="17"/>
      <c r="N49" s="18"/>
      <c r="O49" s="17"/>
      <c r="P49" s="17"/>
      <c r="Q49" s="17"/>
      <c r="R49" s="17"/>
      <c r="S49" s="17"/>
      <c r="T49" s="17"/>
      <c r="U49" s="18"/>
      <c r="V49" s="17"/>
      <c r="W49" s="17"/>
      <c r="X49" s="17"/>
      <c r="Y49" s="17"/>
      <c r="Z49" s="17"/>
      <c r="AA49" s="17"/>
      <c r="AB49" s="18"/>
      <c r="AC49" s="17"/>
      <c r="AD49" s="17"/>
      <c r="AE49" s="17"/>
      <c r="AF49" s="17"/>
      <c r="AG49" s="18"/>
      <c r="AH49" s="293"/>
    </row>
    <row r="50" spans="2:34" ht="15" customHeight="1" thickBot="1">
      <c r="B50" s="346"/>
      <c r="C50" s="20"/>
      <c r="D50" s="20"/>
      <c r="E50" s="20"/>
      <c r="F50" s="20"/>
      <c r="G50" s="21"/>
      <c r="H50" s="20"/>
      <c r="I50" s="20"/>
      <c r="J50" s="20"/>
      <c r="K50" s="20"/>
      <c r="L50" s="20"/>
      <c r="M50" s="20"/>
      <c r="N50" s="21"/>
      <c r="O50" s="20"/>
      <c r="P50" s="20"/>
      <c r="Q50" s="20"/>
      <c r="R50" s="20"/>
      <c r="S50" s="20"/>
      <c r="T50" s="20"/>
      <c r="U50" s="21"/>
      <c r="V50" s="20"/>
      <c r="W50" s="20"/>
      <c r="X50" s="20"/>
      <c r="Y50" s="20"/>
      <c r="Z50" s="20"/>
      <c r="AA50" s="20"/>
      <c r="AB50" s="21"/>
      <c r="AC50" s="20"/>
      <c r="AD50" s="20"/>
      <c r="AE50" s="20"/>
      <c r="AF50" s="20"/>
      <c r="AG50" s="21"/>
      <c r="AH50" s="345"/>
    </row>
    <row r="51" spans="2:34" ht="15" customHeight="1" thickTop="1"/>
  </sheetData>
  <sheetProtection sheet="1" objects="1" scenarios="1"/>
  <customSheetViews>
    <customSheetView guid="{48D17560-CF9A-4AC4-87A5-512F1C94B1E6}" scale="75" fitToPage="1" showRuler="0">
      <pane xSplit="2" ySplit="4" topLeftCell="C5" activePane="bottomRight" state="frozen"/>
      <selection pane="bottomRight"/>
      <pageMargins left="0" right="0" top="0" bottom="0" header="0" footer="0"/>
      <pageSetup paperSize="8" scale="96" orientation="landscape" blackAndWhite="1" horizontalDpi="4294967292" verticalDpi="4294967292" r:id="rId1"/>
      <headerFooter alignWithMargins="0">
        <oddHeader>&amp;R&amp;"Osaka,標準"&amp;D　&amp;T</oddHeader>
      </headerFooter>
    </customSheetView>
  </customSheetViews>
  <phoneticPr fontId="9"/>
  <pageMargins left="0.39370078740157483" right="0.39370078740157483" top="0.78740157480314965" bottom="0.78740157480314965" header="0.39370078740157483" footer="0.39370078740157483"/>
  <pageSetup paperSize="8" scale="96" orientation="landscape" blackAndWhite="1" horizontalDpi="300" verticalDpi="300" r:id="rId2"/>
  <headerFooter alignWithMargins="0">
    <oddHeader>&amp;R&amp;"Osaka,標準"&amp;D　&amp;T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Line="0" autoPict="0" macro="[0]!月間罫線">
                <anchor moveWithCells="1" sizeWithCells="1">
                  <from>
                    <xdr:col>0</xdr:col>
                    <xdr:colOff>107950</xdr:colOff>
                    <xdr:row>0</xdr:row>
                    <xdr:rowOff>114300</xdr:rowOff>
                  </from>
                  <to>
                    <xdr:col>1</xdr:col>
                    <xdr:colOff>412750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tensou">
                <anchor moveWithCells="1" sizeWithCells="1">
                  <from>
                    <xdr:col>16</xdr:col>
                    <xdr:colOff>76200</xdr:colOff>
                    <xdr:row>0</xdr:row>
                    <xdr:rowOff>69850</xdr:rowOff>
                  </from>
                  <to>
                    <xdr:col>21</xdr:col>
                    <xdr:colOff>412750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>
    <pageSetUpPr fitToPage="1"/>
  </sheetPr>
  <dimension ref="A2:AJ142"/>
  <sheetViews>
    <sheetView zoomScale="90" zoomScaleNormal="90" workbookViewId="0">
      <pane ySplit="4" topLeftCell="A63" activePane="bottomLeft" state="frozen"/>
      <selection activeCell="B1" sqref="B1"/>
      <selection pane="bottomLeft" activeCell="AD83" sqref="AD83"/>
    </sheetView>
  </sheetViews>
  <sheetFormatPr defaultColWidth="9" defaultRowHeight="13.4" customHeight="1"/>
  <cols>
    <col min="1" max="1" width="2.453125" style="403" customWidth="1"/>
    <col min="2" max="2" width="10.453125" style="22" customWidth="1"/>
    <col min="3" max="33" width="6.453125" style="26" customWidth="1"/>
    <col min="34" max="34" width="7.453125" style="22" customWidth="1"/>
    <col min="35" max="35" width="9.453125" style="26" bestFit="1" customWidth="1"/>
    <col min="36" max="36" width="3" style="26" bestFit="1" customWidth="1"/>
    <col min="37" max="16384" width="9" style="26"/>
  </cols>
  <sheetData>
    <row r="2" spans="1:34" ht="13.4" customHeight="1" thickBot="1"/>
    <row r="3" spans="1:34" s="22" customFormat="1" ht="13.4" customHeight="1" thickTop="1">
      <c r="A3" s="403"/>
      <c r="B3" s="294" t="str">
        <f>月間設定!C1&amp;"年"</f>
        <v>2026年</v>
      </c>
      <c r="C3" s="27">
        <v>1</v>
      </c>
      <c r="D3" s="27">
        <v>2</v>
      </c>
      <c r="E3" s="27">
        <v>3</v>
      </c>
      <c r="F3" s="27">
        <v>4</v>
      </c>
      <c r="G3" s="27">
        <v>5</v>
      </c>
      <c r="H3" s="414">
        <v>6</v>
      </c>
      <c r="I3" s="27">
        <v>7</v>
      </c>
      <c r="J3" s="27">
        <v>8</v>
      </c>
      <c r="K3" s="27">
        <v>9</v>
      </c>
      <c r="L3" s="27">
        <v>10</v>
      </c>
      <c r="M3" s="27">
        <v>11</v>
      </c>
      <c r="N3" s="27">
        <v>12</v>
      </c>
      <c r="O3" s="414">
        <v>13</v>
      </c>
      <c r="P3" s="27">
        <v>14</v>
      </c>
      <c r="Q3" s="27">
        <v>15</v>
      </c>
      <c r="R3" s="27">
        <v>16</v>
      </c>
      <c r="S3" s="27">
        <v>17</v>
      </c>
      <c r="T3" s="27">
        <v>18</v>
      </c>
      <c r="U3" s="27">
        <v>19</v>
      </c>
      <c r="V3" s="414">
        <v>20</v>
      </c>
      <c r="W3" s="27">
        <v>21</v>
      </c>
      <c r="X3" s="27">
        <v>22</v>
      </c>
      <c r="Y3" s="27">
        <v>23</v>
      </c>
      <c r="Z3" s="27">
        <v>24</v>
      </c>
      <c r="AA3" s="27">
        <v>25</v>
      </c>
      <c r="AB3" s="27">
        <v>26</v>
      </c>
      <c r="AC3" s="414">
        <v>27</v>
      </c>
      <c r="AD3" s="27">
        <v>28</v>
      </c>
      <c r="AE3" s="27">
        <f>月間設定!AE3</f>
        <v>29</v>
      </c>
      <c r="AF3" s="27">
        <f>月間設定!AF3</f>
        <v>30</v>
      </c>
      <c r="AG3" s="295" t="str">
        <f>月間設定!AG3</f>
        <v/>
      </c>
      <c r="AH3" s="292" t="s">
        <v>59</v>
      </c>
    </row>
    <row r="4" spans="1:34" s="22" customFormat="1" ht="13.4" customHeight="1" thickBot="1">
      <c r="A4" s="403"/>
      <c r="B4" s="432" t="str">
        <f>月間設定!E1&amp;"月"</f>
        <v>6月</v>
      </c>
      <c r="C4" s="431">
        <f>月間設定!C4</f>
        <v>2</v>
      </c>
      <c r="D4" s="431">
        <f>月間設定!D4</f>
        <v>3</v>
      </c>
      <c r="E4" s="431">
        <f>月間設定!E4</f>
        <v>4</v>
      </c>
      <c r="F4" s="431">
        <f>月間設定!F4</f>
        <v>5</v>
      </c>
      <c r="G4" s="431">
        <f>月間設定!G4</f>
        <v>6</v>
      </c>
      <c r="H4" s="438">
        <f>月間設定!H4</f>
        <v>7</v>
      </c>
      <c r="I4" s="431">
        <f>月間設定!I4</f>
        <v>1</v>
      </c>
      <c r="J4" s="431">
        <f>月間設定!J4</f>
        <v>2</v>
      </c>
      <c r="K4" s="431">
        <f>月間設定!K4</f>
        <v>3</v>
      </c>
      <c r="L4" s="431">
        <f>月間設定!L4</f>
        <v>4</v>
      </c>
      <c r="M4" s="431">
        <f>月間設定!M4</f>
        <v>5</v>
      </c>
      <c r="N4" s="431">
        <f>月間設定!N4</f>
        <v>6</v>
      </c>
      <c r="O4" s="438">
        <f>月間設定!O4</f>
        <v>7</v>
      </c>
      <c r="P4" s="431">
        <f>月間設定!P4</f>
        <v>1</v>
      </c>
      <c r="Q4" s="431">
        <f>月間設定!Q4</f>
        <v>2</v>
      </c>
      <c r="R4" s="431">
        <f>月間設定!R4</f>
        <v>3</v>
      </c>
      <c r="S4" s="431">
        <f>月間設定!S4</f>
        <v>4</v>
      </c>
      <c r="T4" s="431">
        <f>月間設定!T4</f>
        <v>5</v>
      </c>
      <c r="U4" s="431">
        <f>月間設定!U4</f>
        <v>6</v>
      </c>
      <c r="V4" s="438">
        <f>月間設定!V4</f>
        <v>7</v>
      </c>
      <c r="W4" s="431">
        <f>月間設定!W4</f>
        <v>1</v>
      </c>
      <c r="X4" s="431">
        <f>月間設定!X4</f>
        <v>2</v>
      </c>
      <c r="Y4" s="431">
        <f>月間設定!Y4</f>
        <v>3</v>
      </c>
      <c r="Z4" s="431">
        <f>月間設定!Z4</f>
        <v>4</v>
      </c>
      <c r="AA4" s="431">
        <f>月間設定!AA4</f>
        <v>5</v>
      </c>
      <c r="AB4" s="431">
        <f>月間設定!AB4</f>
        <v>6</v>
      </c>
      <c r="AC4" s="438">
        <f>月間設定!AC4</f>
        <v>7</v>
      </c>
      <c r="AD4" s="431">
        <f>月間設定!AD4</f>
        <v>1</v>
      </c>
      <c r="AE4" s="431">
        <f>月間設定!AE4</f>
        <v>2</v>
      </c>
      <c r="AF4" s="431">
        <f>月間設定!AF4</f>
        <v>3</v>
      </c>
      <c r="AG4" s="433" t="str">
        <f>月間設定!AG4</f>
        <v/>
      </c>
      <c r="AH4" s="434" t="str">
        <f>月間設定!I1&amp;"日"</f>
        <v>8日</v>
      </c>
    </row>
    <row r="5" spans="1:34" ht="13.4" customHeight="1">
      <c r="B5" s="23"/>
      <c r="C5" s="408" t="s">
        <v>60</v>
      </c>
      <c r="D5" s="408" t="s">
        <v>60</v>
      </c>
      <c r="E5" s="408" t="s">
        <v>60</v>
      </c>
      <c r="F5" s="408" t="s">
        <v>60</v>
      </c>
      <c r="G5" s="408" t="s">
        <v>60</v>
      </c>
      <c r="H5" s="412"/>
      <c r="I5" s="408"/>
      <c r="J5" s="408" t="s">
        <v>60</v>
      </c>
      <c r="K5" s="408" t="s">
        <v>60</v>
      </c>
      <c r="L5" s="408" t="s">
        <v>60</v>
      </c>
      <c r="M5" s="408" t="s">
        <v>60</v>
      </c>
      <c r="N5" s="408" t="s">
        <v>60</v>
      </c>
      <c r="O5" s="412" t="s">
        <v>61</v>
      </c>
      <c r="P5" s="408"/>
      <c r="Q5" s="408" t="s">
        <v>60</v>
      </c>
      <c r="R5" s="408" t="s">
        <v>60</v>
      </c>
      <c r="S5" s="408" t="s">
        <v>60</v>
      </c>
      <c r="T5" s="408" t="s">
        <v>60</v>
      </c>
      <c r="U5" s="408" t="s">
        <v>60</v>
      </c>
      <c r="V5" s="412"/>
      <c r="W5" s="408"/>
      <c r="X5" s="408" t="s">
        <v>60</v>
      </c>
      <c r="Y5" s="408" t="s">
        <v>60</v>
      </c>
      <c r="Z5" s="408" t="s">
        <v>60</v>
      </c>
      <c r="AA5" s="408" t="s">
        <v>60</v>
      </c>
      <c r="AB5" s="408" t="s">
        <v>60</v>
      </c>
      <c r="AC5" s="412" t="s">
        <v>61</v>
      </c>
      <c r="AD5" s="408"/>
      <c r="AE5" s="408" t="s">
        <v>60</v>
      </c>
      <c r="AF5" s="408" t="s">
        <v>60</v>
      </c>
      <c r="AG5" s="410"/>
      <c r="AH5" s="293"/>
    </row>
    <row r="6" spans="1:34" ht="13.4" customHeight="1">
      <c r="B6" s="23" t="s">
        <v>6</v>
      </c>
      <c r="C6" s="408" t="s">
        <v>62</v>
      </c>
      <c r="D6" s="408" t="s">
        <v>62</v>
      </c>
      <c r="E6" s="408" t="s">
        <v>62</v>
      </c>
      <c r="F6" s="408" t="s">
        <v>62</v>
      </c>
      <c r="G6" s="408" t="s">
        <v>62</v>
      </c>
      <c r="H6" s="412"/>
      <c r="I6" s="408"/>
      <c r="J6" s="408" t="s">
        <v>62</v>
      </c>
      <c r="K6" s="408" t="s">
        <v>62</v>
      </c>
      <c r="L6" s="408" t="s">
        <v>62</v>
      </c>
      <c r="M6" s="408" t="s">
        <v>62</v>
      </c>
      <c r="N6" s="408" t="s">
        <v>62</v>
      </c>
      <c r="O6" s="412"/>
      <c r="P6" s="408"/>
      <c r="Q6" s="408" t="s">
        <v>62</v>
      </c>
      <c r="R6" s="408" t="s">
        <v>62</v>
      </c>
      <c r="S6" s="408" t="s">
        <v>62</v>
      </c>
      <c r="T6" s="408" t="s">
        <v>62</v>
      </c>
      <c r="U6" s="408" t="s">
        <v>62</v>
      </c>
      <c r="V6" s="412"/>
      <c r="W6" s="408"/>
      <c r="X6" s="408" t="s">
        <v>62</v>
      </c>
      <c r="Y6" s="408" t="s">
        <v>62</v>
      </c>
      <c r="Z6" s="408" t="s">
        <v>62</v>
      </c>
      <c r="AA6" s="408" t="s">
        <v>62</v>
      </c>
      <c r="AB6" s="408" t="s">
        <v>62</v>
      </c>
      <c r="AC6" s="412"/>
      <c r="AD6" s="408"/>
      <c r="AE6" s="408" t="s">
        <v>62</v>
      </c>
      <c r="AF6" s="408" t="s">
        <v>62</v>
      </c>
      <c r="AG6" s="410"/>
      <c r="AH6" s="293" t="s">
        <v>6</v>
      </c>
    </row>
    <row r="7" spans="1:34" ht="13.4" customHeight="1">
      <c r="B7" s="24"/>
      <c r="C7" s="415"/>
      <c r="D7" s="415"/>
      <c r="E7" s="415"/>
      <c r="F7" s="415"/>
      <c r="G7" s="415"/>
      <c r="H7" s="416"/>
      <c r="I7" s="415"/>
      <c r="J7" s="415"/>
      <c r="K7" s="415"/>
      <c r="L7" s="415"/>
      <c r="M7" s="415"/>
      <c r="N7" s="415"/>
      <c r="O7" s="416"/>
      <c r="P7" s="415"/>
      <c r="Q7" s="415"/>
      <c r="R7" s="415"/>
      <c r="S7" s="415"/>
      <c r="T7" s="415"/>
      <c r="U7" s="415"/>
      <c r="V7" s="416"/>
      <c r="W7" s="415"/>
      <c r="X7" s="415"/>
      <c r="Y7" s="415"/>
      <c r="Z7" s="415"/>
      <c r="AA7" s="415"/>
      <c r="AB7" s="415"/>
      <c r="AC7" s="416"/>
      <c r="AD7" s="415"/>
      <c r="AE7" s="415"/>
      <c r="AF7" s="415"/>
      <c r="AG7" s="417"/>
      <c r="AH7" s="296"/>
    </row>
    <row r="8" spans="1:34" ht="13.4" customHeight="1">
      <c r="B8" s="23"/>
      <c r="C8" s="408"/>
      <c r="D8" s="408"/>
      <c r="E8" s="408"/>
      <c r="F8" s="408"/>
      <c r="G8" s="408" t="s">
        <v>63</v>
      </c>
      <c r="H8" s="412"/>
      <c r="I8" s="408"/>
      <c r="J8" s="408"/>
      <c r="K8" s="408"/>
      <c r="L8" s="408" t="s">
        <v>64</v>
      </c>
      <c r="M8" s="408"/>
      <c r="N8" s="408"/>
      <c r="O8" s="412"/>
      <c r="P8" s="408"/>
      <c r="Q8" s="408"/>
      <c r="R8" s="408"/>
      <c r="S8" s="408"/>
      <c r="T8" s="408" t="s">
        <v>63</v>
      </c>
      <c r="U8" s="408"/>
      <c r="V8" s="412"/>
      <c r="W8" s="408"/>
      <c r="X8" s="408" t="s">
        <v>65</v>
      </c>
      <c r="Y8" s="408"/>
      <c r="Z8" s="408"/>
      <c r="AA8" s="408"/>
      <c r="AB8" s="408"/>
      <c r="AC8" s="412"/>
      <c r="AD8" s="408"/>
      <c r="AE8" s="408"/>
      <c r="AF8" s="408"/>
      <c r="AG8" s="410"/>
      <c r="AH8" s="293"/>
    </row>
    <row r="9" spans="1:34" ht="13.4" customHeight="1">
      <c r="B9" s="23" t="s">
        <v>8</v>
      </c>
      <c r="C9" s="408"/>
      <c r="D9" s="408"/>
      <c r="E9" s="408"/>
      <c r="F9" s="408"/>
      <c r="G9" s="408"/>
      <c r="H9" s="412"/>
      <c r="I9" s="408"/>
      <c r="J9" s="408"/>
      <c r="K9" s="408"/>
      <c r="L9" s="408"/>
      <c r="M9" s="408"/>
      <c r="N9" s="408"/>
      <c r="O9" s="412"/>
      <c r="P9" s="408"/>
      <c r="Q9" s="408"/>
      <c r="R9" s="408"/>
      <c r="S9" s="408"/>
      <c r="T9" s="408" t="s">
        <v>66</v>
      </c>
      <c r="U9" s="408"/>
      <c r="V9" s="412"/>
      <c r="W9" s="408"/>
      <c r="X9" s="408"/>
      <c r="Y9" s="408"/>
      <c r="Z9" s="408"/>
      <c r="AA9" s="408"/>
      <c r="AB9" s="408"/>
      <c r="AC9" s="412"/>
      <c r="AD9" s="408"/>
      <c r="AE9" s="408"/>
      <c r="AF9" s="408"/>
      <c r="AG9" s="410"/>
      <c r="AH9" s="293" t="s">
        <v>8</v>
      </c>
    </row>
    <row r="10" spans="1:34" ht="13.4" customHeight="1">
      <c r="B10" s="24"/>
      <c r="C10" s="415"/>
      <c r="D10" s="415"/>
      <c r="E10" s="415"/>
      <c r="F10" s="415"/>
      <c r="G10" s="415"/>
      <c r="H10" s="416"/>
      <c r="I10" s="415"/>
      <c r="J10" s="415"/>
      <c r="K10" s="415"/>
      <c r="L10" s="415"/>
      <c r="M10" s="415"/>
      <c r="N10" s="415"/>
      <c r="O10" s="416"/>
      <c r="P10" s="415"/>
      <c r="Q10" s="415"/>
      <c r="R10" s="415"/>
      <c r="S10" s="415"/>
      <c r="T10" s="415"/>
      <c r="U10" s="415"/>
      <c r="V10" s="416"/>
      <c r="W10" s="415"/>
      <c r="X10" s="415"/>
      <c r="Y10" s="415"/>
      <c r="Z10" s="415"/>
      <c r="AA10" s="415"/>
      <c r="AB10" s="415"/>
      <c r="AC10" s="416"/>
      <c r="AD10" s="415"/>
      <c r="AE10" s="415"/>
      <c r="AF10" s="415"/>
      <c r="AG10" s="417"/>
      <c r="AH10" s="296"/>
    </row>
    <row r="11" spans="1:34" ht="13.4" customHeight="1">
      <c r="B11" s="23"/>
      <c r="C11" s="408"/>
      <c r="D11" s="408"/>
      <c r="E11" s="408" t="s">
        <v>67</v>
      </c>
      <c r="F11" s="408"/>
      <c r="G11" s="408"/>
      <c r="H11" s="412" t="s">
        <v>68</v>
      </c>
      <c r="I11" s="408"/>
      <c r="J11" s="408"/>
      <c r="K11" s="408" t="s">
        <v>69</v>
      </c>
      <c r="L11" s="408"/>
      <c r="M11" s="408" t="s">
        <v>70</v>
      </c>
      <c r="N11" s="408" t="s">
        <v>71</v>
      </c>
      <c r="O11" s="412" t="s">
        <v>68</v>
      </c>
      <c r="P11" s="408"/>
      <c r="Q11" s="408" t="s">
        <v>72</v>
      </c>
      <c r="R11" s="408"/>
      <c r="S11" s="408" t="s">
        <v>67</v>
      </c>
      <c r="T11" s="408"/>
      <c r="U11" s="408"/>
      <c r="V11" s="412" t="s">
        <v>68</v>
      </c>
      <c r="W11" s="408"/>
      <c r="X11" s="408" t="s">
        <v>70</v>
      </c>
      <c r="Y11" s="408" t="s">
        <v>69</v>
      </c>
      <c r="Z11" s="408"/>
      <c r="AA11" s="408"/>
      <c r="AB11" s="408" t="s">
        <v>71</v>
      </c>
      <c r="AC11" s="412"/>
      <c r="AD11" s="408"/>
      <c r="AE11" s="408" t="s">
        <v>72</v>
      </c>
      <c r="AF11" s="408"/>
      <c r="AG11" s="410"/>
      <c r="AH11" s="293"/>
    </row>
    <row r="12" spans="1:34" ht="13.4" customHeight="1">
      <c r="B12" s="23" t="s">
        <v>14</v>
      </c>
      <c r="C12" s="408"/>
      <c r="D12" s="408"/>
      <c r="E12" s="408"/>
      <c r="F12" s="408"/>
      <c r="G12" s="408"/>
      <c r="H12" s="412"/>
      <c r="I12" s="408"/>
      <c r="J12" s="408"/>
      <c r="K12" s="408"/>
      <c r="L12" s="408"/>
      <c r="M12" s="408"/>
      <c r="N12" s="408"/>
      <c r="O12" s="412"/>
      <c r="P12" s="408"/>
      <c r="Q12" s="408"/>
      <c r="R12" s="408"/>
      <c r="S12" s="408" t="s">
        <v>73</v>
      </c>
      <c r="T12" s="408"/>
      <c r="U12" s="408"/>
      <c r="V12" s="412"/>
      <c r="W12" s="408"/>
      <c r="X12" s="408"/>
      <c r="Y12" s="408"/>
      <c r="Z12" s="408"/>
      <c r="AA12" s="408"/>
      <c r="AB12" s="408"/>
      <c r="AC12" s="412"/>
      <c r="AD12" s="408"/>
      <c r="AE12" s="408"/>
      <c r="AF12" s="408"/>
      <c r="AG12" s="410"/>
      <c r="AH12" s="293" t="s">
        <v>14</v>
      </c>
    </row>
    <row r="13" spans="1:34" ht="13.4" customHeight="1">
      <c r="B13" s="24"/>
      <c r="C13" s="415"/>
      <c r="D13" s="415"/>
      <c r="E13" s="415"/>
      <c r="F13" s="415"/>
      <c r="G13" s="415"/>
      <c r="H13" s="416"/>
      <c r="I13" s="415"/>
      <c r="J13" s="415"/>
      <c r="K13" s="415"/>
      <c r="L13" s="415"/>
      <c r="M13" s="415"/>
      <c r="N13" s="415"/>
      <c r="O13" s="416"/>
      <c r="P13" s="415"/>
      <c r="Q13" s="415"/>
      <c r="R13" s="415"/>
      <c r="S13" s="415"/>
      <c r="T13" s="415"/>
      <c r="U13" s="415"/>
      <c r="V13" s="416"/>
      <c r="W13" s="415"/>
      <c r="X13" s="415"/>
      <c r="Y13" s="415"/>
      <c r="Z13" s="415"/>
      <c r="AA13" s="415"/>
      <c r="AB13" s="415"/>
      <c r="AC13" s="416"/>
      <c r="AD13" s="415"/>
      <c r="AE13" s="415"/>
      <c r="AF13" s="415"/>
      <c r="AG13" s="417"/>
      <c r="AH13" s="296"/>
    </row>
    <row r="14" spans="1:34" ht="13.4" customHeight="1">
      <c r="B14" s="23" t="s">
        <v>74</v>
      </c>
      <c r="C14" s="408" t="s">
        <v>75</v>
      </c>
      <c r="D14" s="408" t="s">
        <v>75</v>
      </c>
      <c r="E14" s="408" t="s">
        <v>75</v>
      </c>
      <c r="F14" s="408" t="s">
        <v>75</v>
      </c>
      <c r="G14" s="408" t="s">
        <v>75</v>
      </c>
      <c r="H14" s="412"/>
      <c r="I14" s="408"/>
      <c r="J14" s="408" t="s">
        <v>75</v>
      </c>
      <c r="K14" s="408" t="s">
        <v>75</v>
      </c>
      <c r="L14" s="408" t="s">
        <v>75</v>
      </c>
      <c r="M14" s="408" t="s">
        <v>75</v>
      </c>
      <c r="N14" s="408" t="s">
        <v>75</v>
      </c>
      <c r="O14" s="412" t="s">
        <v>76</v>
      </c>
      <c r="P14" s="408"/>
      <c r="Q14" s="408" t="s">
        <v>75</v>
      </c>
      <c r="R14" s="408" t="s">
        <v>75</v>
      </c>
      <c r="S14" s="408" t="s">
        <v>75</v>
      </c>
      <c r="T14" s="408" t="s">
        <v>75</v>
      </c>
      <c r="U14" s="408" t="s">
        <v>75</v>
      </c>
      <c r="V14" s="412"/>
      <c r="W14" s="408"/>
      <c r="X14" s="408" t="s">
        <v>75</v>
      </c>
      <c r="Y14" s="408" t="s">
        <v>75</v>
      </c>
      <c r="Z14" s="408" t="s">
        <v>75</v>
      </c>
      <c r="AA14" s="408" t="s">
        <v>75</v>
      </c>
      <c r="AB14" s="408" t="s">
        <v>75</v>
      </c>
      <c r="AC14" s="412"/>
      <c r="AD14" s="408"/>
      <c r="AE14" s="408" t="s">
        <v>75</v>
      </c>
      <c r="AF14" s="408" t="s">
        <v>75</v>
      </c>
      <c r="AG14" s="410"/>
      <c r="AH14" s="293" t="s">
        <v>74</v>
      </c>
    </row>
    <row r="15" spans="1:34" ht="13.4" customHeight="1">
      <c r="B15" s="24"/>
      <c r="C15" s="415"/>
      <c r="D15" s="415"/>
      <c r="E15" s="415"/>
      <c r="F15" s="415"/>
      <c r="G15" s="415"/>
      <c r="H15" s="416"/>
      <c r="I15" s="415"/>
      <c r="J15" s="415"/>
      <c r="K15" s="415"/>
      <c r="L15" s="415"/>
      <c r="M15" s="415"/>
      <c r="N15" s="415"/>
      <c r="O15" s="416" t="s">
        <v>77</v>
      </c>
      <c r="P15" s="415"/>
      <c r="Q15" s="415"/>
      <c r="R15" s="415"/>
      <c r="S15" s="415"/>
      <c r="T15" s="415"/>
      <c r="U15" s="415"/>
      <c r="V15" s="416"/>
      <c r="W15" s="415"/>
      <c r="X15" s="415"/>
      <c r="Y15" s="415"/>
      <c r="Z15" s="415"/>
      <c r="AA15" s="415"/>
      <c r="AB15" s="415"/>
      <c r="AC15" s="416"/>
      <c r="AD15" s="415"/>
      <c r="AE15" s="415"/>
      <c r="AF15" s="415"/>
      <c r="AG15" s="417"/>
      <c r="AH15" s="296"/>
    </row>
    <row r="16" spans="1:34" ht="13.4" customHeight="1">
      <c r="B16" s="23" t="s">
        <v>78</v>
      </c>
      <c r="C16" s="408"/>
      <c r="D16" s="408"/>
      <c r="E16" s="408"/>
      <c r="F16" s="408"/>
      <c r="G16" s="408"/>
      <c r="H16" s="412"/>
      <c r="I16" s="408"/>
      <c r="J16" s="408"/>
      <c r="K16" s="408"/>
      <c r="L16" s="408"/>
      <c r="M16" s="408"/>
      <c r="N16" s="408"/>
      <c r="O16" s="412"/>
      <c r="P16" s="408"/>
      <c r="Q16" s="408"/>
      <c r="R16" s="408"/>
      <c r="S16" s="408"/>
      <c r="T16" s="408"/>
      <c r="U16" s="408"/>
      <c r="V16" s="412"/>
      <c r="W16" s="408"/>
      <c r="X16" s="408"/>
      <c r="Y16" s="408"/>
      <c r="Z16" s="408"/>
      <c r="AA16" s="408"/>
      <c r="AB16" s="408"/>
      <c r="AC16" s="412"/>
      <c r="AD16" s="408"/>
      <c r="AE16" s="408"/>
      <c r="AF16" s="408"/>
      <c r="AG16" s="410"/>
      <c r="AH16" s="293" t="s">
        <v>78</v>
      </c>
    </row>
    <row r="17" spans="1:36" ht="13.4" customHeight="1">
      <c r="B17" s="24"/>
      <c r="C17" s="415"/>
      <c r="D17" s="415"/>
      <c r="E17" s="415"/>
      <c r="F17" s="415"/>
      <c r="G17" s="415"/>
      <c r="H17" s="416"/>
      <c r="I17" s="415"/>
      <c r="J17" s="415"/>
      <c r="K17" s="415"/>
      <c r="L17" s="415"/>
      <c r="M17" s="415"/>
      <c r="N17" s="415"/>
      <c r="O17" s="416"/>
      <c r="P17" s="415"/>
      <c r="Q17" s="415"/>
      <c r="R17" s="415"/>
      <c r="S17" s="415"/>
      <c r="T17" s="415"/>
      <c r="U17" s="415"/>
      <c r="V17" s="416"/>
      <c r="W17" s="415"/>
      <c r="X17" s="415"/>
      <c r="Y17" s="415"/>
      <c r="Z17" s="415"/>
      <c r="AA17" s="415"/>
      <c r="AB17" s="415"/>
      <c r="AC17" s="416"/>
      <c r="AD17" s="415"/>
      <c r="AE17" s="415"/>
      <c r="AF17" s="415"/>
      <c r="AG17" s="417"/>
      <c r="AH17" s="296"/>
    </row>
    <row r="18" spans="1:36" ht="13.4" customHeight="1">
      <c r="B18" s="23" t="s">
        <v>79</v>
      </c>
      <c r="C18" s="408"/>
      <c r="D18" s="408"/>
      <c r="E18" s="408"/>
      <c r="F18" s="408"/>
      <c r="G18" s="408"/>
      <c r="H18" s="412"/>
      <c r="I18" s="408"/>
      <c r="J18" s="408"/>
      <c r="K18" s="408"/>
      <c r="L18" s="408"/>
      <c r="M18" s="408"/>
      <c r="N18" s="408"/>
      <c r="O18" s="412"/>
      <c r="P18" s="408"/>
      <c r="Q18" s="408"/>
      <c r="R18" s="408"/>
      <c r="S18" s="408" t="s">
        <v>80</v>
      </c>
      <c r="T18" s="408"/>
      <c r="U18" s="408"/>
      <c r="V18" s="412"/>
      <c r="W18" s="408"/>
      <c r="X18" s="408"/>
      <c r="Y18" s="408"/>
      <c r="Z18" s="408"/>
      <c r="AA18" s="408"/>
      <c r="AB18" s="408"/>
      <c r="AC18" s="412"/>
      <c r="AD18" s="408"/>
      <c r="AE18" s="408"/>
      <c r="AF18" s="408" t="s">
        <v>81</v>
      </c>
      <c r="AG18" s="410"/>
      <c r="AH18" s="293" t="s">
        <v>79</v>
      </c>
    </row>
    <row r="19" spans="1:36" ht="13.4" customHeight="1">
      <c r="B19" s="24"/>
      <c r="C19" s="415"/>
      <c r="D19" s="415"/>
      <c r="E19" s="415"/>
      <c r="F19" s="415"/>
      <c r="G19" s="415"/>
      <c r="H19" s="416"/>
      <c r="I19" s="415"/>
      <c r="J19" s="415"/>
      <c r="K19" s="415"/>
      <c r="L19" s="415"/>
      <c r="M19" s="415"/>
      <c r="N19" s="415"/>
      <c r="O19" s="416"/>
      <c r="P19" s="415"/>
      <c r="Q19" s="415"/>
      <c r="R19" s="415"/>
      <c r="S19" s="415"/>
      <c r="T19" s="415"/>
      <c r="U19" s="415"/>
      <c r="V19" s="416"/>
      <c r="W19" s="415"/>
      <c r="X19" s="415"/>
      <c r="Y19" s="415"/>
      <c r="Z19" s="415"/>
      <c r="AA19" s="415"/>
      <c r="AB19" s="415"/>
      <c r="AC19" s="416"/>
      <c r="AD19" s="415"/>
      <c r="AE19" s="415"/>
      <c r="AF19" s="415" t="s">
        <v>82</v>
      </c>
      <c r="AG19" s="417"/>
      <c r="AH19" s="296"/>
    </row>
    <row r="20" spans="1:36" ht="13.4" customHeight="1">
      <c r="B20" s="23" t="s">
        <v>83</v>
      </c>
      <c r="C20" s="408"/>
      <c r="D20" s="408"/>
      <c r="E20" s="408"/>
      <c r="F20" s="408"/>
      <c r="G20" s="408"/>
      <c r="H20" s="412"/>
      <c r="I20" s="408"/>
      <c r="J20" s="408"/>
      <c r="K20" s="408"/>
      <c r="L20" s="408"/>
      <c r="M20" s="408"/>
      <c r="N20" s="408"/>
      <c r="O20" s="412"/>
      <c r="P20" s="408"/>
      <c r="Q20" s="408"/>
      <c r="R20" s="408"/>
      <c r="S20" s="408"/>
      <c r="T20" s="408"/>
      <c r="U20" s="408"/>
      <c r="V20" s="412"/>
      <c r="W20" s="408"/>
      <c r="X20" s="408"/>
      <c r="Y20" s="408"/>
      <c r="Z20" s="408"/>
      <c r="AA20" s="408"/>
      <c r="AB20" s="408"/>
      <c r="AC20" s="412"/>
      <c r="AD20" s="408"/>
      <c r="AE20" s="408"/>
      <c r="AF20" s="408"/>
      <c r="AG20" s="410"/>
      <c r="AH20" s="293" t="s">
        <v>83</v>
      </c>
    </row>
    <row r="21" spans="1:36" ht="13.4" customHeight="1">
      <c r="B21" s="24"/>
      <c r="C21" s="415"/>
      <c r="D21" s="415"/>
      <c r="E21" s="415"/>
      <c r="F21" s="415"/>
      <c r="G21" s="415"/>
      <c r="H21" s="416"/>
      <c r="I21" s="415"/>
      <c r="J21" s="415"/>
      <c r="K21" s="415"/>
      <c r="L21" s="415"/>
      <c r="M21" s="415"/>
      <c r="N21" s="415"/>
      <c r="O21" s="416"/>
      <c r="P21" s="415"/>
      <c r="Q21" s="415"/>
      <c r="R21" s="415"/>
      <c r="S21" s="415"/>
      <c r="T21" s="415"/>
      <c r="U21" s="415"/>
      <c r="V21" s="416"/>
      <c r="W21" s="415"/>
      <c r="X21" s="415"/>
      <c r="Y21" s="415"/>
      <c r="Z21" s="415"/>
      <c r="AA21" s="415"/>
      <c r="AB21" s="415"/>
      <c r="AC21" s="416"/>
      <c r="AD21" s="415"/>
      <c r="AE21" s="415"/>
      <c r="AF21" s="415"/>
      <c r="AG21" s="417"/>
      <c r="AH21" s="296"/>
    </row>
    <row r="22" spans="1:36" ht="13.4" customHeight="1">
      <c r="B22" s="23" t="s">
        <v>37</v>
      </c>
      <c r="C22" s="408"/>
      <c r="D22" s="408"/>
      <c r="E22" s="408"/>
      <c r="F22" s="408"/>
      <c r="G22" s="408"/>
      <c r="H22" s="412"/>
      <c r="I22" s="408" t="s">
        <v>84</v>
      </c>
      <c r="J22" s="408"/>
      <c r="K22" s="408"/>
      <c r="L22" s="408"/>
      <c r="M22" s="408"/>
      <c r="N22" s="408"/>
      <c r="O22" s="412"/>
      <c r="P22" s="408"/>
      <c r="Q22" s="408" t="s">
        <v>384</v>
      </c>
      <c r="R22" s="408" t="s">
        <v>85</v>
      </c>
      <c r="S22" s="408"/>
      <c r="T22" s="408"/>
      <c r="U22" s="408"/>
      <c r="V22" s="412"/>
      <c r="W22" s="408"/>
      <c r="X22" s="408"/>
      <c r="Y22" s="408"/>
      <c r="Z22" s="408"/>
      <c r="AA22" s="408"/>
      <c r="AB22" s="408"/>
      <c r="AC22" s="412"/>
      <c r="AD22" s="408" t="s">
        <v>84</v>
      </c>
      <c r="AE22" s="408"/>
      <c r="AF22" s="408"/>
      <c r="AG22" s="410"/>
      <c r="AH22" s="293" t="s">
        <v>37</v>
      </c>
    </row>
    <row r="23" spans="1:36" ht="13.4" customHeight="1">
      <c r="B23" s="24"/>
      <c r="C23" s="415"/>
      <c r="D23" s="415"/>
      <c r="E23" s="415"/>
      <c r="F23" s="415"/>
      <c r="G23" s="415"/>
      <c r="H23" s="416"/>
      <c r="I23" s="415" t="s">
        <v>86</v>
      </c>
      <c r="J23" s="415"/>
      <c r="K23" s="415"/>
      <c r="L23" s="415"/>
      <c r="M23" s="415"/>
      <c r="N23" s="415"/>
      <c r="O23" s="416"/>
      <c r="P23" s="415"/>
      <c r="Q23" s="415"/>
      <c r="R23" s="415"/>
      <c r="S23" s="415"/>
      <c r="T23" s="415"/>
      <c r="U23" s="415"/>
      <c r="V23" s="416"/>
      <c r="W23" s="415"/>
      <c r="X23" s="415"/>
      <c r="Y23" s="415"/>
      <c r="Z23" s="415"/>
      <c r="AA23" s="415"/>
      <c r="AB23" s="415"/>
      <c r="AC23" s="416"/>
      <c r="AD23" s="415" t="s">
        <v>86</v>
      </c>
      <c r="AE23" s="415"/>
      <c r="AF23" s="415"/>
      <c r="AG23" s="417"/>
      <c r="AH23" s="296"/>
    </row>
    <row r="24" spans="1:36" ht="13.4" customHeight="1">
      <c r="B24" s="23"/>
      <c r="C24" s="408"/>
      <c r="D24" s="408"/>
      <c r="E24" s="408"/>
      <c r="F24" s="408" t="s">
        <v>87</v>
      </c>
      <c r="G24" s="408"/>
      <c r="H24" s="412"/>
      <c r="I24" s="408"/>
      <c r="J24" s="408"/>
      <c r="K24" s="408"/>
      <c r="L24" s="408"/>
      <c r="M24" s="408" t="s">
        <v>87</v>
      </c>
      <c r="N24" s="408"/>
      <c r="O24" s="412"/>
      <c r="P24" s="408"/>
      <c r="Q24" s="408"/>
      <c r="R24" s="408"/>
      <c r="S24" s="408"/>
      <c r="T24" s="408" t="s">
        <v>87</v>
      </c>
      <c r="U24" s="408"/>
      <c r="V24" s="412"/>
      <c r="W24" s="408"/>
      <c r="X24" s="408"/>
      <c r="Y24" s="408"/>
      <c r="Z24" s="408"/>
      <c r="AA24" s="408" t="s">
        <v>87</v>
      </c>
      <c r="AB24" s="408"/>
      <c r="AC24" s="412"/>
      <c r="AD24" s="408"/>
      <c r="AE24" s="408"/>
      <c r="AF24" s="408"/>
      <c r="AG24" s="410"/>
      <c r="AH24" s="293"/>
    </row>
    <row r="25" spans="1:36" ht="13.4" customHeight="1">
      <c r="B25" s="23" t="s">
        <v>42</v>
      </c>
      <c r="C25" s="408"/>
      <c r="D25" s="408"/>
      <c r="E25" s="408" t="s">
        <v>88</v>
      </c>
      <c r="F25" s="408" t="s">
        <v>73</v>
      </c>
      <c r="G25" s="408"/>
      <c r="H25" s="412"/>
      <c r="I25" s="408"/>
      <c r="J25" s="408"/>
      <c r="K25" s="408"/>
      <c r="L25" s="408"/>
      <c r="M25" s="408" t="s">
        <v>89</v>
      </c>
      <c r="N25" s="408"/>
      <c r="O25" s="412" t="s">
        <v>76</v>
      </c>
      <c r="P25" s="408"/>
      <c r="Q25" s="408"/>
      <c r="R25" s="408"/>
      <c r="S25" s="408"/>
      <c r="T25" s="408" t="s">
        <v>90</v>
      </c>
      <c r="U25" s="408"/>
      <c r="V25" s="412"/>
      <c r="W25" s="408"/>
      <c r="X25" s="408" t="s">
        <v>91</v>
      </c>
      <c r="Y25" s="408"/>
      <c r="Z25" s="408"/>
      <c r="AA25" s="408" t="s">
        <v>73</v>
      </c>
      <c r="AB25" s="408"/>
      <c r="AC25" s="412"/>
      <c r="AD25" s="408"/>
      <c r="AE25" s="408"/>
      <c r="AF25" s="408" t="s">
        <v>92</v>
      </c>
      <c r="AG25" s="410"/>
      <c r="AH25" s="293" t="s">
        <v>42</v>
      </c>
    </row>
    <row r="26" spans="1:36" ht="13.4" customHeight="1" thickBot="1">
      <c r="B26" s="430"/>
      <c r="C26" s="439"/>
      <c r="D26" s="439"/>
      <c r="E26" s="439" t="s">
        <v>93</v>
      </c>
      <c r="F26" s="439"/>
      <c r="G26" s="439"/>
      <c r="H26" s="440"/>
      <c r="I26" s="439"/>
      <c r="J26" s="439"/>
      <c r="K26" s="439"/>
      <c r="L26" s="439"/>
      <c r="M26" s="439"/>
      <c r="N26" s="439"/>
      <c r="O26" s="440" t="s">
        <v>77</v>
      </c>
      <c r="P26" s="439"/>
      <c r="Q26" s="439"/>
      <c r="R26" s="439"/>
      <c r="S26" s="439"/>
      <c r="T26" s="439" t="s">
        <v>94</v>
      </c>
      <c r="U26" s="439"/>
      <c r="V26" s="440"/>
      <c r="W26" s="439"/>
      <c r="X26" s="439" t="s">
        <v>95</v>
      </c>
      <c r="Y26" s="439"/>
      <c r="Z26" s="439"/>
      <c r="AA26" s="439" t="s">
        <v>96</v>
      </c>
      <c r="AB26" s="439"/>
      <c r="AC26" s="440"/>
      <c r="AD26" s="439"/>
      <c r="AE26" s="439" t="s">
        <v>97</v>
      </c>
      <c r="AF26" s="439" t="s">
        <v>82</v>
      </c>
      <c r="AG26" s="441"/>
      <c r="AH26" s="437"/>
    </row>
    <row r="27" spans="1:36" ht="13.4" customHeight="1">
      <c r="A27" s="403">
        <f>COUNTIF(C27:AG27,"★★")</f>
        <v>4</v>
      </c>
      <c r="B27" s="23" t="s">
        <v>98</v>
      </c>
      <c r="C27" s="13" t="s">
        <v>99</v>
      </c>
      <c r="D27" s="13"/>
      <c r="E27" s="13"/>
      <c r="F27" s="13"/>
      <c r="G27" s="13" t="s">
        <v>100</v>
      </c>
      <c r="H27" s="268" t="s">
        <v>101</v>
      </c>
      <c r="I27" s="13" t="s">
        <v>102</v>
      </c>
      <c r="J27" s="13"/>
      <c r="K27" s="13"/>
      <c r="L27" s="13"/>
      <c r="M27" s="13" t="s">
        <v>4</v>
      </c>
      <c r="N27" s="13"/>
      <c r="O27" s="268" t="s">
        <v>101</v>
      </c>
      <c r="P27" s="13" t="s">
        <v>102</v>
      </c>
      <c r="Q27" s="13"/>
      <c r="R27" s="13" t="s">
        <v>161</v>
      </c>
      <c r="S27" s="13" t="s">
        <v>100</v>
      </c>
      <c r="T27" s="13" t="s">
        <v>4</v>
      </c>
      <c r="U27" s="13" t="s">
        <v>103</v>
      </c>
      <c r="V27" s="268" t="s">
        <v>101</v>
      </c>
      <c r="W27" s="13" t="s">
        <v>102</v>
      </c>
      <c r="X27" s="13" t="s">
        <v>100</v>
      </c>
      <c r="Y27" s="13"/>
      <c r="Z27" s="13" t="s">
        <v>104</v>
      </c>
      <c r="AA27" s="13"/>
      <c r="AB27" s="13" t="s">
        <v>105</v>
      </c>
      <c r="AC27" s="268" t="s">
        <v>101</v>
      </c>
      <c r="AD27" s="13" t="s">
        <v>102</v>
      </c>
      <c r="AE27" s="13" t="s">
        <v>118</v>
      </c>
      <c r="AF27" s="13" t="s">
        <v>119</v>
      </c>
      <c r="AG27" s="14"/>
      <c r="AH27" s="293" t="s">
        <v>106</v>
      </c>
      <c r="AI27" s="404" t="s">
        <v>107</v>
      </c>
      <c r="AJ27" s="404" t="s">
        <v>108</v>
      </c>
    </row>
    <row r="28" spans="1:36" ht="13.4" customHeight="1">
      <c r="A28" s="403">
        <f>COUNTIF(C27:AG27,"★")</f>
        <v>4</v>
      </c>
      <c r="B28" s="24"/>
      <c r="C28" s="15" t="s">
        <v>109</v>
      </c>
      <c r="D28" s="15" t="s">
        <v>110</v>
      </c>
      <c r="E28" s="15"/>
      <c r="F28" s="15"/>
      <c r="G28" s="15"/>
      <c r="H28" s="269"/>
      <c r="I28" s="15"/>
      <c r="J28" s="15" t="s">
        <v>111</v>
      </c>
      <c r="K28" s="15"/>
      <c r="L28" s="15" t="s">
        <v>112</v>
      </c>
      <c r="M28" s="15" t="s">
        <v>113</v>
      </c>
      <c r="N28" s="15"/>
      <c r="O28" s="269"/>
      <c r="P28" s="15"/>
      <c r="Q28" s="15" t="s">
        <v>111</v>
      </c>
      <c r="R28" s="15"/>
      <c r="S28" s="15"/>
      <c r="T28" s="15" t="s">
        <v>113</v>
      </c>
      <c r="U28" s="15" t="s">
        <v>114</v>
      </c>
      <c r="V28" s="269"/>
      <c r="W28" s="15"/>
      <c r="X28" s="15" t="s">
        <v>111</v>
      </c>
      <c r="Y28" s="15"/>
      <c r="Z28" s="15" t="s">
        <v>115</v>
      </c>
      <c r="AA28" s="15"/>
      <c r="AB28" s="15" t="s">
        <v>116</v>
      </c>
      <c r="AC28" s="269"/>
      <c r="AD28" s="15"/>
      <c r="AE28" s="15" t="s">
        <v>111</v>
      </c>
      <c r="AF28" s="15"/>
      <c r="AG28" s="16"/>
      <c r="AH28" s="296"/>
      <c r="AI28" s="404"/>
      <c r="AJ28" s="404"/>
    </row>
    <row r="29" spans="1:36" ht="13.4" customHeight="1">
      <c r="A29" s="403">
        <f>COUNTIF(C29:AG29,"★★")</f>
        <v>4</v>
      </c>
      <c r="B29" s="23" t="s">
        <v>117</v>
      </c>
      <c r="C29" s="96" t="s">
        <v>99</v>
      </c>
      <c r="D29" s="96"/>
      <c r="E29" s="96"/>
      <c r="F29" s="96"/>
      <c r="G29" s="96"/>
      <c r="H29" s="149" t="s">
        <v>101</v>
      </c>
      <c r="I29" s="96" t="s">
        <v>102</v>
      </c>
      <c r="J29" s="96"/>
      <c r="K29" s="96"/>
      <c r="L29" s="96"/>
      <c r="M29" s="96" t="s">
        <v>118</v>
      </c>
      <c r="N29" s="96" t="s">
        <v>119</v>
      </c>
      <c r="O29" s="149" t="s">
        <v>101</v>
      </c>
      <c r="P29" s="96" t="s">
        <v>102</v>
      </c>
      <c r="Q29" s="96"/>
      <c r="R29" s="96"/>
      <c r="S29" s="96"/>
      <c r="T29" s="96" t="s">
        <v>100</v>
      </c>
      <c r="U29" s="13" t="s">
        <v>120</v>
      </c>
      <c r="V29" s="149" t="s">
        <v>101</v>
      </c>
      <c r="W29" s="96" t="s">
        <v>102</v>
      </c>
      <c r="X29" s="96"/>
      <c r="Y29" s="96"/>
      <c r="Z29" s="96" t="s">
        <v>104</v>
      </c>
      <c r="AA29" s="96" t="s">
        <v>100</v>
      </c>
      <c r="AB29" s="96" t="s">
        <v>105</v>
      </c>
      <c r="AC29" s="149" t="s">
        <v>101</v>
      </c>
      <c r="AD29" s="96" t="s">
        <v>102</v>
      </c>
      <c r="AE29" s="96"/>
      <c r="AF29" s="96"/>
      <c r="AG29" s="240"/>
      <c r="AH29" s="293" t="s">
        <v>121</v>
      </c>
      <c r="AI29" s="404" t="s">
        <v>122</v>
      </c>
      <c r="AJ29" s="404" t="s">
        <v>108</v>
      </c>
    </row>
    <row r="30" spans="1:36" ht="13.4" customHeight="1">
      <c r="A30" s="403">
        <f>COUNTIF(C29:AG29,"★")</f>
        <v>4</v>
      </c>
      <c r="B30" s="24"/>
      <c r="C30" s="75" t="s">
        <v>123</v>
      </c>
      <c r="D30" s="75" t="s">
        <v>110</v>
      </c>
      <c r="E30" s="75"/>
      <c r="F30" s="75"/>
      <c r="G30" s="75" t="s">
        <v>124</v>
      </c>
      <c r="H30" s="150"/>
      <c r="I30" s="75"/>
      <c r="J30" s="75" t="s">
        <v>111</v>
      </c>
      <c r="K30" s="75"/>
      <c r="L30" s="75" t="s">
        <v>112</v>
      </c>
      <c r="M30" s="75" t="s">
        <v>125</v>
      </c>
      <c r="N30" s="75" t="s">
        <v>126</v>
      </c>
      <c r="O30" s="150" t="s">
        <v>127</v>
      </c>
      <c r="P30" s="75"/>
      <c r="Q30" s="75" t="s">
        <v>111</v>
      </c>
      <c r="R30" s="75"/>
      <c r="S30" s="75"/>
      <c r="T30" s="75"/>
      <c r="U30" s="75" t="s">
        <v>114</v>
      </c>
      <c r="V30" s="150" t="s">
        <v>127</v>
      </c>
      <c r="W30" s="75" t="s">
        <v>127</v>
      </c>
      <c r="X30" s="75" t="s">
        <v>111</v>
      </c>
      <c r="Y30" s="75"/>
      <c r="Z30" s="75" t="s">
        <v>115</v>
      </c>
      <c r="AA30" s="75"/>
      <c r="AB30" s="75" t="s">
        <v>116</v>
      </c>
      <c r="AC30" s="150"/>
      <c r="AD30" s="75"/>
      <c r="AE30" s="75" t="s">
        <v>111</v>
      </c>
      <c r="AF30" s="75"/>
      <c r="AG30" s="241"/>
      <c r="AH30" s="296"/>
      <c r="AI30" s="404"/>
      <c r="AJ30" s="404"/>
    </row>
    <row r="31" spans="1:36" ht="13.4" customHeight="1">
      <c r="A31" s="403">
        <f>COUNTIF(C31:AG31,"★★")</f>
        <v>4</v>
      </c>
      <c r="B31" s="23" t="s">
        <v>128</v>
      </c>
      <c r="C31" s="96"/>
      <c r="D31" s="96" t="s">
        <v>899</v>
      </c>
      <c r="E31" s="96"/>
      <c r="F31" s="96" t="s">
        <v>4</v>
      </c>
      <c r="G31" s="96"/>
      <c r="H31" s="149" t="s">
        <v>102</v>
      </c>
      <c r="I31" s="96" t="s">
        <v>129</v>
      </c>
      <c r="J31" s="96" t="s">
        <v>60</v>
      </c>
      <c r="K31" s="96" t="s">
        <v>173</v>
      </c>
      <c r="L31" s="96"/>
      <c r="M31" s="96"/>
      <c r="N31" s="96" t="s">
        <v>101</v>
      </c>
      <c r="O31" s="149" t="s">
        <v>101</v>
      </c>
      <c r="P31" s="96" t="s">
        <v>130</v>
      </c>
      <c r="Q31" s="96" t="s">
        <v>131</v>
      </c>
      <c r="R31" s="96" t="s">
        <v>131</v>
      </c>
      <c r="S31" s="96" t="s">
        <v>131</v>
      </c>
      <c r="T31" s="96" t="s">
        <v>132</v>
      </c>
      <c r="U31" s="96" t="s">
        <v>118</v>
      </c>
      <c r="V31" s="149" t="s">
        <v>119</v>
      </c>
      <c r="W31" s="96" t="s">
        <v>102</v>
      </c>
      <c r="X31" s="96" t="s">
        <v>101</v>
      </c>
      <c r="Y31" s="96"/>
      <c r="Z31" s="96" t="s">
        <v>133</v>
      </c>
      <c r="AA31" s="96" t="s">
        <v>20</v>
      </c>
      <c r="AB31" s="224" t="s">
        <v>105</v>
      </c>
      <c r="AC31" s="149" t="s">
        <v>101</v>
      </c>
      <c r="AD31" s="96" t="s">
        <v>102</v>
      </c>
      <c r="AE31" s="96"/>
      <c r="AF31" s="96"/>
      <c r="AG31" s="240"/>
      <c r="AH31" s="293" t="s">
        <v>134</v>
      </c>
      <c r="AI31" s="404" t="s">
        <v>135</v>
      </c>
      <c r="AJ31" s="404" t="s">
        <v>108</v>
      </c>
    </row>
    <row r="32" spans="1:36" ht="13.4" customHeight="1">
      <c r="A32" s="403">
        <f>COUNTIF(C31:AG31,"★")</f>
        <v>4</v>
      </c>
      <c r="B32" s="24"/>
      <c r="C32" s="75" t="s">
        <v>99</v>
      </c>
      <c r="D32" s="75"/>
      <c r="E32" s="75"/>
      <c r="F32" s="75" t="s">
        <v>113</v>
      </c>
      <c r="G32" s="75"/>
      <c r="H32" s="150" t="s">
        <v>136</v>
      </c>
      <c r="I32" s="75"/>
      <c r="J32" s="75" t="s">
        <v>145</v>
      </c>
      <c r="K32" s="75"/>
      <c r="L32" s="75" t="s">
        <v>112</v>
      </c>
      <c r="M32" s="75"/>
      <c r="N32" s="75"/>
      <c r="O32" s="150"/>
      <c r="P32" s="75" t="s">
        <v>127</v>
      </c>
      <c r="Q32" s="75" t="s">
        <v>127</v>
      </c>
      <c r="R32" s="75" t="s">
        <v>127</v>
      </c>
      <c r="S32" s="75" t="s">
        <v>127</v>
      </c>
      <c r="T32" s="75"/>
      <c r="U32" s="75"/>
      <c r="V32" s="150"/>
      <c r="W32" s="75"/>
      <c r="X32" s="75"/>
      <c r="Y32" s="75"/>
      <c r="Z32" s="75" t="s">
        <v>137</v>
      </c>
      <c r="AA32" s="75" t="s">
        <v>113</v>
      </c>
      <c r="AB32" s="75" t="s">
        <v>116</v>
      </c>
      <c r="AC32" s="150"/>
      <c r="AD32" s="75"/>
      <c r="AE32" s="75"/>
      <c r="AF32" s="75"/>
      <c r="AG32" s="241"/>
      <c r="AH32" s="296"/>
      <c r="AI32" s="404"/>
      <c r="AJ32" s="404"/>
    </row>
    <row r="33" spans="1:36" ht="13.4" customHeight="1">
      <c r="A33" s="403">
        <f>COUNTIF(C33:AG33,"★★")</f>
        <v>4</v>
      </c>
      <c r="B33" s="23" t="s">
        <v>138</v>
      </c>
      <c r="C33" s="96"/>
      <c r="D33" s="96" t="s">
        <v>118</v>
      </c>
      <c r="E33" s="96" t="s">
        <v>119</v>
      </c>
      <c r="F33" s="96" t="s">
        <v>100</v>
      </c>
      <c r="G33" s="96" t="s">
        <v>139</v>
      </c>
      <c r="H33" s="149" t="s">
        <v>101</v>
      </c>
      <c r="I33" s="96" t="s">
        <v>102</v>
      </c>
      <c r="J33" s="96" t="s">
        <v>75</v>
      </c>
      <c r="K33" s="96" t="s">
        <v>75</v>
      </c>
      <c r="L33" s="96" t="s">
        <v>140</v>
      </c>
      <c r="M33" s="96" t="s">
        <v>129</v>
      </c>
      <c r="N33" s="96" t="s">
        <v>118</v>
      </c>
      <c r="O33" s="149" t="s">
        <v>119</v>
      </c>
      <c r="P33" s="96" t="s">
        <v>102</v>
      </c>
      <c r="Q33" s="96" t="s">
        <v>101</v>
      </c>
      <c r="R33" s="96"/>
      <c r="S33" s="96" t="s">
        <v>129</v>
      </c>
      <c r="T33" s="96" t="s">
        <v>75</v>
      </c>
      <c r="U33" s="96" t="s">
        <v>114</v>
      </c>
      <c r="V33" s="149" t="s">
        <v>101</v>
      </c>
      <c r="W33" s="96" t="s">
        <v>102</v>
      </c>
      <c r="X33" s="96" t="s">
        <v>65</v>
      </c>
      <c r="Y33" s="96" t="s">
        <v>141</v>
      </c>
      <c r="Z33" s="96" t="s">
        <v>100</v>
      </c>
      <c r="AA33" s="96" t="s">
        <v>129</v>
      </c>
      <c r="AB33" s="96" t="s">
        <v>105</v>
      </c>
      <c r="AC33" s="149" t="s">
        <v>118</v>
      </c>
      <c r="AD33" s="96" t="s">
        <v>119</v>
      </c>
      <c r="AE33" s="96" t="s">
        <v>102</v>
      </c>
      <c r="AF33" s="96" t="s">
        <v>101</v>
      </c>
      <c r="AG33" s="240"/>
      <c r="AH33" s="293" t="s">
        <v>142</v>
      </c>
      <c r="AI33" s="404" t="s">
        <v>143</v>
      </c>
      <c r="AJ33" s="404" t="s">
        <v>108</v>
      </c>
    </row>
    <row r="34" spans="1:36" ht="13.4" customHeight="1">
      <c r="A34" s="403">
        <f>COUNTIF(C33:AG33,"★")</f>
        <v>4</v>
      </c>
      <c r="B34" s="24"/>
      <c r="C34" s="75" t="s">
        <v>99</v>
      </c>
      <c r="D34" s="75" t="s">
        <v>895</v>
      </c>
      <c r="E34" s="75"/>
      <c r="F34" s="75"/>
      <c r="G34" s="75" t="s">
        <v>144</v>
      </c>
      <c r="H34" s="150" t="s">
        <v>136</v>
      </c>
      <c r="I34" s="75" t="s">
        <v>127</v>
      </c>
      <c r="J34" s="75" t="s">
        <v>129</v>
      </c>
      <c r="K34" s="75" t="s">
        <v>145</v>
      </c>
      <c r="L34" s="75"/>
      <c r="M34" s="75"/>
      <c r="N34" s="75" t="s">
        <v>146</v>
      </c>
      <c r="O34" s="150" t="s">
        <v>77</v>
      </c>
      <c r="P34" s="75" t="s">
        <v>77</v>
      </c>
      <c r="Q34" s="75"/>
      <c r="R34" s="75"/>
      <c r="S34" s="75"/>
      <c r="T34" s="75" t="s">
        <v>145</v>
      </c>
      <c r="U34" s="75"/>
      <c r="V34" s="150"/>
      <c r="W34" s="75"/>
      <c r="X34" s="75" t="s">
        <v>145</v>
      </c>
      <c r="Y34" s="75" t="s">
        <v>127</v>
      </c>
      <c r="Z34" s="75" t="s">
        <v>147</v>
      </c>
      <c r="AA34" s="75"/>
      <c r="AB34" s="75" t="s">
        <v>116</v>
      </c>
      <c r="AC34" s="150"/>
      <c r="AD34" s="75"/>
      <c r="AE34" s="75"/>
      <c r="AF34" s="75"/>
      <c r="AG34" s="241"/>
      <c r="AH34" s="296"/>
      <c r="AI34" s="404"/>
      <c r="AJ34" s="404"/>
    </row>
    <row r="35" spans="1:36" ht="13.4" customHeight="1">
      <c r="A35" s="403">
        <f>COUNTIF(C35:AG35,"★★")</f>
        <v>4</v>
      </c>
      <c r="B35" s="23" t="s">
        <v>148</v>
      </c>
      <c r="C35" s="96" t="s">
        <v>60</v>
      </c>
      <c r="D35" s="96" t="s">
        <v>20</v>
      </c>
      <c r="E35" s="96" t="s">
        <v>149</v>
      </c>
      <c r="F35" s="96" t="s">
        <v>75</v>
      </c>
      <c r="G35" s="96" t="s">
        <v>63</v>
      </c>
      <c r="H35" s="149" t="s">
        <v>130</v>
      </c>
      <c r="I35" s="96" t="s">
        <v>118</v>
      </c>
      <c r="J35" s="96" t="s">
        <v>119</v>
      </c>
      <c r="K35" s="96" t="s">
        <v>173</v>
      </c>
      <c r="L35" s="96" t="s">
        <v>150</v>
      </c>
      <c r="M35" s="96"/>
      <c r="N35" s="96" t="s">
        <v>151</v>
      </c>
      <c r="O35" s="149" t="s">
        <v>151</v>
      </c>
      <c r="P35" s="96" t="s">
        <v>130</v>
      </c>
      <c r="Q35" s="96"/>
      <c r="R35" s="96"/>
      <c r="S35" s="96" t="s">
        <v>67</v>
      </c>
      <c r="T35" s="96" t="s">
        <v>152</v>
      </c>
      <c r="U35" s="13" t="s">
        <v>120</v>
      </c>
      <c r="V35" s="149" t="s">
        <v>26</v>
      </c>
      <c r="W35" s="96" t="s">
        <v>130</v>
      </c>
      <c r="X35" s="96" t="s">
        <v>118</v>
      </c>
      <c r="Y35" s="96" t="s">
        <v>119</v>
      </c>
      <c r="Z35" s="96" t="s">
        <v>151</v>
      </c>
      <c r="AA35" s="96" t="s">
        <v>75</v>
      </c>
      <c r="AB35" s="96"/>
      <c r="AC35" s="149" t="s">
        <v>151</v>
      </c>
      <c r="AD35" s="96" t="s">
        <v>130</v>
      </c>
      <c r="AE35" s="96" t="s">
        <v>62</v>
      </c>
      <c r="AF35" s="96" t="s">
        <v>4</v>
      </c>
      <c r="AG35" s="240"/>
      <c r="AH35" s="293" t="s">
        <v>153</v>
      </c>
      <c r="AI35" s="404" t="s">
        <v>122</v>
      </c>
      <c r="AJ35" s="404" t="s">
        <v>108</v>
      </c>
    </row>
    <row r="36" spans="1:36" ht="13.4" customHeight="1">
      <c r="A36" s="403">
        <f>COUNTIF(C35:AG35,"★")</f>
        <v>4</v>
      </c>
      <c r="B36" s="24"/>
      <c r="C36" s="75" t="s">
        <v>145</v>
      </c>
      <c r="D36" s="75" t="s">
        <v>154</v>
      </c>
      <c r="E36" s="75" t="s">
        <v>155</v>
      </c>
      <c r="F36" s="75" t="s">
        <v>154</v>
      </c>
      <c r="G36" s="75" t="s">
        <v>145</v>
      </c>
      <c r="H36" s="150" t="s">
        <v>156</v>
      </c>
      <c r="I36" s="75"/>
      <c r="J36" s="75" t="s">
        <v>208</v>
      </c>
      <c r="K36" s="75"/>
      <c r="L36" s="75"/>
      <c r="M36" s="75"/>
      <c r="N36" s="75"/>
      <c r="O36" s="150"/>
      <c r="P36" s="75"/>
      <c r="Q36" s="75"/>
      <c r="R36" s="75"/>
      <c r="S36" s="75" t="s">
        <v>145</v>
      </c>
      <c r="T36" s="75" t="s">
        <v>154</v>
      </c>
      <c r="U36" s="75" t="s">
        <v>157</v>
      </c>
      <c r="V36" s="150" t="s">
        <v>113</v>
      </c>
      <c r="W36" s="75"/>
      <c r="X36" s="75"/>
      <c r="Y36" s="75"/>
      <c r="Z36" s="75"/>
      <c r="AA36" s="75" t="s">
        <v>145</v>
      </c>
      <c r="AB36" s="75" t="s">
        <v>105</v>
      </c>
      <c r="AC36" s="150"/>
      <c r="AD36" s="75"/>
      <c r="AE36" s="75" t="s">
        <v>154</v>
      </c>
      <c r="AF36" s="75" t="s">
        <v>113</v>
      </c>
      <c r="AG36" s="241"/>
      <c r="AH36" s="296"/>
      <c r="AI36" s="404"/>
      <c r="AJ36" s="404"/>
    </row>
    <row r="37" spans="1:36" ht="13.4" customHeight="1">
      <c r="A37" s="403">
        <f>COUNTIF(C37:AG37,"★★")</f>
        <v>4</v>
      </c>
      <c r="B37" s="23" t="s">
        <v>158</v>
      </c>
      <c r="C37" s="224"/>
      <c r="D37" s="224"/>
      <c r="E37" s="224" t="s">
        <v>118</v>
      </c>
      <c r="F37" s="224" t="s">
        <v>119</v>
      </c>
      <c r="G37" s="224"/>
      <c r="H37" s="223" t="s">
        <v>101</v>
      </c>
      <c r="I37" s="224" t="s">
        <v>102</v>
      </c>
      <c r="J37" s="224"/>
      <c r="K37" s="224" t="s">
        <v>159</v>
      </c>
      <c r="L37" s="224" t="s">
        <v>150</v>
      </c>
      <c r="M37" s="224"/>
      <c r="N37" s="224" t="s">
        <v>160</v>
      </c>
      <c r="O37" s="223" t="s">
        <v>101</v>
      </c>
      <c r="P37" s="224" t="s">
        <v>102</v>
      </c>
      <c r="Q37" s="224" t="s">
        <v>100</v>
      </c>
      <c r="R37" s="224" t="s">
        <v>100</v>
      </c>
      <c r="S37" s="224" t="s">
        <v>118</v>
      </c>
      <c r="T37" s="224" t="s">
        <v>119</v>
      </c>
      <c r="U37" s="224" t="s">
        <v>114</v>
      </c>
      <c r="V37" s="223" t="s">
        <v>118</v>
      </c>
      <c r="W37" s="224" t="s">
        <v>119</v>
      </c>
      <c r="X37" s="224" t="s">
        <v>102</v>
      </c>
      <c r="Y37" s="224" t="s">
        <v>901</v>
      </c>
      <c r="Z37" s="224" t="s">
        <v>161</v>
      </c>
      <c r="AA37" s="224" t="s">
        <v>161</v>
      </c>
      <c r="AB37" s="224" t="s">
        <v>101</v>
      </c>
      <c r="AC37" s="223" t="s">
        <v>102</v>
      </c>
      <c r="AD37" s="224" t="s">
        <v>118</v>
      </c>
      <c r="AE37" s="224" t="s">
        <v>119</v>
      </c>
      <c r="AF37" s="224" t="s">
        <v>101</v>
      </c>
      <c r="AG37" s="242"/>
      <c r="AH37" s="293" t="s">
        <v>162</v>
      </c>
      <c r="AI37" s="404" t="s">
        <v>107</v>
      </c>
      <c r="AJ37" s="404" t="s">
        <v>108</v>
      </c>
    </row>
    <row r="38" spans="1:36" ht="13.4" customHeight="1">
      <c r="A38" s="403">
        <f>COUNTIF(C37:AG37,"★")</f>
        <v>4</v>
      </c>
      <c r="B38" s="24"/>
      <c r="C38" s="226" t="s">
        <v>99</v>
      </c>
      <c r="D38" s="226"/>
      <c r="E38" s="226"/>
      <c r="F38" s="226"/>
      <c r="G38" s="226"/>
      <c r="H38" s="225" t="s">
        <v>136</v>
      </c>
      <c r="I38" s="226"/>
      <c r="J38" s="226"/>
      <c r="K38" s="226" t="s">
        <v>163</v>
      </c>
      <c r="L38" s="226"/>
      <c r="M38" s="226"/>
      <c r="N38" s="226"/>
      <c r="O38" s="225"/>
      <c r="P38" s="226"/>
      <c r="Q38" s="226"/>
      <c r="R38" s="226"/>
      <c r="S38" s="226"/>
      <c r="T38" s="226"/>
      <c r="U38" s="226" t="s">
        <v>100</v>
      </c>
      <c r="V38" s="225"/>
      <c r="W38" s="226"/>
      <c r="X38" s="226" t="s">
        <v>127</v>
      </c>
      <c r="Y38" s="226" t="s">
        <v>127</v>
      </c>
      <c r="Z38" s="226" t="s">
        <v>127</v>
      </c>
      <c r="AA38" s="226" t="s">
        <v>127</v>
      </c>
      <c r="AB38" s="226" t="s">
        <v>105</v>
      </c>
      <c r="AC38" s="225"/>
      <c r="AD38" s="226"/>
      <c r="AE38" s="226"/>
      <c r="AF38" s="226"/>
      <c r="AG38" s="243"/>
      <c r="AH38" s="296"/>
      <c r="AI38" s="404"/>
      <c r="AJ38" s="404"/>
    </row>
    <row r="39" spans="1:36" ht="13.4" customHeight="1">
      <c r="A39" s="403">
        <f>COUNTIF(C39:AG39,"★★")</f>
        <v>4</v>
      </c>
      <c r="B39" s="23" t="s">
        <v>164</v>
      </c>
      <c r="C39" s="96"/>
      <c r="D39" s="96" t="s">
        <v>20</v>
      </c>
      <c r="E39" s="96" t="s">
        <v>4</v>
      </c>
      <c r="F39" s="96" t="s">
        <v>165</v>
      </c>
      <c r="G39" s="96" t="s">
        <v>166</v>
      </c>
      <c r="H39" s="149" t="s">
        <v>151</v>
      </c>
      <c r="I39" s="96" t="s">
        <v>130</v>
      </c>
      <c r="J39" s="96" t="s">
        <v>118</v>
      </c>
      <c r="K39" s="96" t="s">
        <v>119</v>
      </c>
      <c r="L39" s="96"/>
      <c r="M39" s="96" t="s">
        <v>167</v>
      </c>
      <c r="N39" s="96" t="s">
        <v>29</v>
      </c>
      <c r="O39" s="149" t="s">
        <v>151</v>
      </c>
      <c r="P39" s="96" t="s">
        <v>130</v>
      </c>
      <c r="Q39" s="96" t="s">
        <v>118</v>
      </c>
      <c r="R39" s="96" t="s">
        <v>119</v>
      </c>
      <c r="S39" s="96" t="s">
        <v>20</v>
      </c>
      <c r="T39" s="96" t="s">
        <v>63</v>
      </c>
      <c r="U39" s="96" t="s">
        <v>168</v>
      </c>
      <c r="V39" s="149" t="s">
        <v>151</v>
      </c>
      <c r="W39" s="96" t="s">
        <v>130</v>
      </c>
      <c r="X39" s="96" t="s">
        <v>20</v>
      </c>
      <c r="Y39" s="96" t="s">
        <v>27</v>
      </c>
      <c r="Z39" s="96" t="s">
        <v>147</v>
      </c>
      <c r="AA39" s="96" t="s">
        <v>4</v>
      </c>
      <c r="AB39" s="96"/>
      <c r="AC39" s="149" t="s">
        <v>151</v>
      </c>
      <c r="AD39" s="96" t="s">
        <v>130</v>
      </c>
      <c r="AE39" s="96" t="s">
        <v>30</v>
      </c>
      <c r="AF39" s="96" t="s">
        <v>169</v>
      </c>
      <c r="AG39" s="240"/>
      <c r="AH39" s="293" t="s">
        <v>170</v>
      </c>
      <c r="AI39" s="404" t="s">
        <v>171</v>
      </c>
      <c r="AJ39" s="404" t="s">
        <v>108</v>
      </c>
    </row>
    <row r="40" spans="1:36" ht="13.4" customHeight="1">
      <c r="A40" s="403">
        <f>COUNTIF(C39:AG39,"★")</f>
        <v>4</v>
      </c>
      <c r="B40" s="24"/>
      <c r="C40" s="75" t="s">
        <v>99</v>
      </c>
      <c r="D40" s="75" t="s">
        <v>113</v>
      </c>
      <c r="E40" s="75" t="s">
        <v>172</v>
      </c>
      <c r="F40" s="75"/>
      <c r="G40" s="75"/>
      <c r="H40" s="150"/>
      <c r="I40" s="75"/>
      <c r="J40" s="75"/>
      <c r="K40" s="75" t="s">
        <v>173</v>
      </c>
      <c r="L40" s="75" t="s">
        <v>112</v>
      </c>
      <c r="M40" s="75" t="s">
        <v>172</v>
      </c>
      <c r="N40" s="75" t="s">
        <v>172</v>
      </c>
      <c r="O40" s="150"/>
      <c r="P40" s="75"/>
      <c r="Q40" s="75"/>
      <c r="R40" s="75"/>
      <c r="S40" s="75" t="s">
        <v>113</v>
      </c>
      <c r="T40" s="75" t="s">
        <v>145</v>
      </c>
      <c r="U40" s="75"/>
      <c r="V40" s="150"/>
      <c r="W40" s="75"/>
      <c r="X40" s="75" t="s">
        <v>174</v>
      </c>
      <c r="Y40" s="75" t="s">
        <v>172</v>
      </c>
      <c r="Z40" s="75"/>
      <c r="AA40" s="75" t="s">
        <v>113</v>
      </c>
      <c r="AB40" s="75" t="s">
        <v>105</v>
      </c>
      <c r="AC40" s="150"/>
      <c r="AD40" s="75"/>
      <c r="AE40" s="75" t="s">
        <v>172</v>
      </c>
      <c r="AF40" s="75"/>
      <c r="AG40" s="241"/>
      <c r="AH40" s="296"/>
      <c r="AI40" s="404"/>
      <c r="AJ40" s="404"/>
    </row>
    <row r="41" spans="1:36" ht="13.4" customHeight="1">
      <c r="A41" s="403">
        <f>COUNTIF(C41:AG41,"★★")</f>
        <v>4</v>
      </c>
      <c r="B41" s="23" t="s">
        <v>175</v>
      </c>
      <c r="C41" s="96" t="s">
        <v>20</v>
      </c>
      <c r="D41" s="96" t="s">
        <v>161</v>
      </c>
      <c r="E41" s="96" t="s">
        <v>25</v>
      </c>
      <c r="F41" s="96" t="s">
        <v>20</v>
      </c>
      <c r="G41" s="96" t="s">
        <v>60</v>
      </c>
      <c r="H41" s="149" t="s">
        <v>101</v>
      </c>
      <c r="I41" s="96" t="s">
        <v>102</v>
      </c>
      <c r="J41" s="96" t="s">
        <v>20</v>
      </c>
      <c r="K41" s="96" t="s">
        <v>20</v>
      </c>
      <c r="L41" s="96"/>
      <c r="M41" s="96" t="s">
        <v>161</v>
      </c>
      <c r="N41" s="96" t="s">
        <v>20</v>
      </c>
      <c r="O41" s="149" t="s">
        <v>19</v>
      </c>
      <c r="P41" s="96" t="s">
        <v>102</v>
      </c>
      <c r="Q41" s="96" t="s">
        <v>30</v>
      </c>
      <c r="R41" s="96" t="s">
        <v>176</v>
      </c>
      <c r="S41" s="96" t="s">
        <v>177</v>
      </c>
      <c r="T41" s="96" t="s">
        <v>151</v>
      </c>
      <c r="U41" s="96" t="s">
        <v>20</v>
      </c>
      <c r="V41" s="149" t="s">
        <v>101</v>
      </c>
      <c r="W41" s="96" t="s">
        <v>102</v>
      </c>
      <c r="X41" s="96" t="s">
        <v>60</v>
      </c>
      <c r="Y41" s="96" t="s">
        <v>20</v>
      </c>
      <c r="Z41" s="96" t="s">
        <v>20</v>
      </c>
      <c r="AA41" s="96" t="s">
        <v>20</v>
      </c>
      <c r="AB41" s="96"/>
      <c r="AC41" s="149" t="s">
        <v>101</v>
      </c>
      <c r="AD41" s="96" t="s">
        <v>102</v>
      </c>
      <c r="AE41" s="96" t="s">
        <v>30</v>
      </c>
      <c r="AF41" s="96" t="s">
        <v>20</v>
      </c>
      <c r="AG41" s="240"/>
      <c r="AH41" s="293" t="s">
        <v>178</v>
      </c>
      <c r="AI41" s="404" t="s">
        <v>179</v>
      </c>
      <c r="AJ41" s="404" t="s">
        <v>108</v>
      </c>
    </row>
    <row r="42" spans="1:36" ht="13.4" customHeight="1">
      <c r="A42" s="403">
        <f>COUNTIF(C41:AG41,"★")</f>
        <v>4</v>
      </c>
      <c r="B42" s="24"/>
      <c r="C42" s="75" t="s">
        <v>174</v>
      </c>
      <c r="D42" s="75"/>
      <c r="E42" s="75" t="s">
        <v>174</v>
      </c>
      <c r="F42" s="75" t="s">
        <v>174</v>
      </c>
      <c r="G42" s="75" t="s">
        <v>174</v>
      </c>
      <c r="H42" s="150"/>
      <c r="I42" s="75"/>
      <c r="J42" s="75" t="s">
        <v>174</v>
      </c>
      <c r="K42" s="75" t="s">
        <v>174</v>
      </c>
      <c r="L42" s="75" t="s">
        <v>890</v>
      </c>
      <c r="M42" s="75"/>
      <c r="N42" s="75" t="s">
        <v>174</v>
      </c>
      <c r="O42" s="150" t="s">
        <v>180</v>
      </c>
      <c r="P42" s="75"/>
      <c r="Q42" s="75" t="s">
        <v>180</v>
      </c>
      <c r="R42" s="75"/>
      <c r="S42" s="75" t="s">
        <v>174</v>
      </c>
      <c r="T42" s="75"/>
      <c r="U42" s="75" t="s">
        <v>174</v>
      </c>
      <c r="V42" s="150"/>
      <c r="W42" s="75"/>
      <c r="X42" s="75" t="s">
        <v>174</v>
      </c>
      <c r="Y42" s="75" t="s">
        <v>174</v>
      </c>
      <c r="Z42" s="75" t="s">
        <v>174</v>
      </c>
      <c r="AA42" s="75" t="s">
        <v>174</v>
      </c>
      <c r="AB42" s="75" t="s">
        <v>105</v>
      </c>
      <c r="AC42" s="150"/>
      <c r="AD42" s="75"/>
      <c r="AE42" s="75" t="s">
        <v>180</v>
      </c>
      <c r="AF42" s="75" t="s">
        <v>174</v>
      </c>
      <c r="AG42" s="241"/>
      <c r="AH42" s="296"/>
      <c r="AI42" s="404"/>
      <c r="AJ42" s="404"/>
    </row>
    <row r="43" spans="1:36" ht="13.4" customHeight="1">
      <c r="A43" s="403">
        <f>COUNTIF(C43:AG43,"★★")</f>
        <v>4</v>
      </c>
      <c r="B43" s="23" t="s">
        <v>181</v>
      </c>
      <c r="C43" s="96"/>
      <c r="D43" s="96" t="s">
        <v>4</v>
      </c>
      <c r="E43" s="96"/>
      <c r="F43" s="96" t="s">
        <v>20</v>
      </c>
      <c r="G43" s="96" t="s">
        <v>149</v>
      </c>
      <c r="H43" s="149" t="s">
        <v>101</v>
      </c>
      <c r="I43" s="96" t="s">
        <v>102</v>
      </c>
      <c r="J43" s="96" t="s">
        <v>182</v>
      </c>
      <c r="K43" s="96" t="s">
        <v>118</v>
      </c>
      <c r="L43" s="96" t="s">
        <v>119</v>
      </c>
      <c r="M43" s="96" t="s">
        <v>161</v>
      </c>
      <c r="N43" s="96" t="s">
        <v>161</v>
      </c>
      <c r="O43" s="149" t="s">
        <v>101</v>
      </c>
      <c r="P43" s="96" t="s">
        <v>102</v>
      </c>
      <c r="Q43" s="96"/>
      <c r="R43" s="96" t="s">
        <v>183</v>
      </c>
      <c r="S43" s="96" t="s">
        <v>177</v>
      </c>
      <c r="T43" s="96" t="s">
        <v>152</v>
      </c>
      <c r="U43" s="96" t="s">
        <v>149</v>
      </c>
      <c r="V43" s="149" t="s">
        <v>102</v>
      </c>
      <c r="W43" s="96" t="s">
        <v>183</v>
      </c>
      <c r="X43" s="96" t="s">
        <v>70</v>
      </c>
      <c r="Y43" s="96" t="s">
        <v>101</v>
      </c>
      <c r="Z43" s="96" t="s">
        <v>184</v>
      </c>
      <c r="AA43" s="96" t="s">
        <v>257</v>
      </c>
      <c r="AB43" s="96" t="s">
        <v>60</v>
      </c>
      <c r="AC43" s="149" t="s">
        <v>101</v>
      </c>
      <c r="AD43" s="96" t="s">
        <v>102</v>
      </c>
      <c r="AE43" s="96" t="s">
        <v>20</v>
      </c>
      <c r="AF43" s="96" t="s">
        <v>118</v>
      </c>
      <c r="AG43" s="240"/>
      <c r="AH43" s="293" t="s">
        <v>185</v>
      </c>
      <c r="AI43" s="404" t="s">
        <v>135</v>
      </c>
      <c r="AJ43" s="404" t="s">
        <v>186</v>
      </c>
    </row>
    <row r="44" spans="1:36" ht="13.4" customHeight="1" thickBot="1">
      <c r="A44" s="403">
        <f>COUNTIF(C43:AG43,"★")</f>
        <v>4</v>
      </c>
      <c r="B44" s="430"/>
      <c r="C44" s="442" t="s">
        <v>99</v>
      </c>
      <c r="D44" s="442" t="s">
        <v>113</v>
      </c>
      <c r="E44" s="442"/>
      <c r="F44" s="442" t="s">
        <v>187</v>
      </c>
      <c r="G44" s="442" t="s">
        <v>188</v>
      </c>
      <c r="H44" s="443"/>
      <c r="I44" s="442"/>
      <c r="J44" s="442"/>
      <c r="K44" s="442"/>
      <c r="L44" s="442"/>
      <c r="M44" s="442" t="s">
        <v>127</v>
      </c>
      <c r="N44" s="442" t="s">
        <v>127</v>
      </c>
      <c r="O44" s="443"/>
      <c r="P44" s="442"/>
      <c r="Q44" s="442"/>
      <c r="R44" s="442"/>
      <c r="S44" s="442" t="s">
        <v>189</v>
      </c>
      <c r="T44" s="442" t="s">
        <v>190</v>
      </c>
      <c r="U44" s="442" t="s">
        <v>191</v>
      </c>
      <c r="V44" s="443"/>
      <c r="W44" s="442"/>
      <c r="X44" s="442" t="s">
        <v>145</v>
      </c>
      <c r="Y44" s="442"/>
      <c r="Z44" s="442" t="s">
        <v>137</v>
      </c>
      <c r="AA44" s="442"/>
      <c r="AB44" s="442" t="s">
        <v>192</v>
      </c>
      <c r="AC44" s="443"/>
      <c r="AD44" s="442"/>
      <c r="AE44" s="442" t="s">
        <v>187</v>
      </c>
      <c r="AF44" s="442"/>
      <c r="AG44" s="444"/>
      <c r="AH44" s="437"/>
      <c r="AI44" s="404"/>
      <c r="AJ44" s="404"/>
    </row>
    <row r="45" spans="1:36" ht="13.4" customHeight="1">
      <c r="A45" s="403">
        <f>COUNTIF(C45:AG45,"★★")</f>
        <v>4</v>
      </c>
      <c r="B45" s="23" t="s">
        <v>193</v>
      </c>
      <c r="C45" s="145" t="s">
        <v>194</v>
      </c>
      <c r="D45" s="145" t="s">
        <v>149</v>
      </c>
      <c r="E45" s="145" t="s">
        <v>149</v>
      </c>
      <c r="F45" s="145" t="s">
        <v>20</v>
      </c>
      <c r="G45" s="145" t="s">
        <v>4</v>
      </c>
      <c r="H45" s="270" t="s">
        <v>26</v>
      </c>
      <c r="I45" s="145" t="s">
        <v>102</v>
      </c>
      <c r="J45" s="145" t="s">
        <v>151</v>
      </c>
      <c r="K45" s="145" t="s">
        <v>69</v>
      </c>
      <c r="L45" s="145" t="s">
        <v>20</v>
      </c>
      <c r="M45" s="145"/>
      <c r="N45" s="145"/>
      <c r="O45" s="270" t="s">
        <v>26</v>
      </c>
      <c r="P45" s="145" t="s">
        <v>102</v>
      </c>
      <c r="Q45" s="145" t="s">
        <v>151</v>
      </c>
      <c r="R45" s="145" t="s">
        <v>20</v>
      </c>
      <c r="S45" s="145" t="s">
        <v>80</v>
      </c>
      <c r="T45" s="145" t="s">
        <v>118</v>
      </c>
      <c r="U45" s="145" t="s">
        <v>119</v>
      </c>
      <c r="V45" s="270" t="s">
        <v>130</v>
      </c>
      <c r="W45" s="145" t="s">
        <v>195</v>
      </c>
      <c r="X45" s="145" t="s">
        <v>4</v>
      </c>
      <c r="Y45" s="145" t="s">
        <v>69</v>
      </c>
      <c r="Z45" s="145" t="s">
        <v>151</v>
      </c>
      <c r="AA45" s="145"/>
      <c r="AB45" s="145" t="s">
        <v>20</v>
      </c>
      <c r="AC45" s="270" t="s">
        <v>101</v>
      </c>
      <c r="AD45" s="145" t="s">
        <v>102</v>
      </c>
      <c r="AE45" s="145" t="s">
        <v>30</v>
      </c>
      <c r="AF45" s="145"/>
      <c r="AG45" s="339"/>
      <c r="AH45" s="293" t="s">
        <v>196</v>
      </c>
      <c r="AI45" s="404" t="s">
        <v>122</v>
      </c>
      <c r="AJ45" s="404" t="s">
        <v>197</v>
      </c>
    </row>
    <row r="46" spans="1:36" ht="13.4" customHeight="1">
      <c r="A46" s="403">
        <f>COUNTIF(C45:AG45,"★")</f>
        <v>4</v>
      </c>
      <c r="B46" s="24"/>
      <c r="C46" s="271"/>
      <c r="D46" s="271" t="s">
        <v>198</v>
      </c>
      <c r="E46" s="271" t="s">
        <v>155</v>
      </c>
      <c r="F46" s="271" t="s">
        <v>113</v>
      </c>
      <c r="G46" s="271" t="s">
        <v>113</v>
      </c>
      <c r="H46" s="272" t="s">
        <v>113</v>
      </c>
      <c r="I46" s="271"/>
      <c r="J46" s="271"/>
      <c r="K46" s="271"/>
      <c r="L46" s="271" t="s">
        <v>113</v>
      </c>
      <c r="M46" s="271"/>
      <c r="N46" s="271"/>
      <c r="O46" s="272" t="s">
        <v>113</v>
      </c>
      <c r="P46" s="271"/>
      <c r="Q46" s="271"/>
      <c r="R46" s="271" t="s">
        <v>154</v>
      </c>
      <c r="S46" s="271" t="s">
        <v>199</v>
      </c>
      <c r="T46" s="271"/>
      <c r="U46" s="141" t="s">
        <v>120</v>
      </c>
      <c r="V46" s="272"/>
      <c r="W46" s="271"/>
      <c r="X46" s="271" t="s">
        <v>113</v>
      </c>
      <c r="Y46" s="271" t="s">
        <v>200</v>
      </c>
      <c r="Z46" s="271"/>
      <c r="AA46" s="271"/>
      <c r="AB46" s="271" t="s">
        <v>113</v>
      </c>
      <c r="AC46" s="272"/>
      <c r="AD46" s="271"/>
      <c r="AE46" s="271" t="s">
        <v>154</v>
      </c>
      <c r="AF46" s="271"/>
      <c r="AG46" s="340"/>
      <c r="AH46" s="296"/>
    </row>
    <row r="47" spans="1:36" ht="13.4" customHeight="1">
      <c r="A47" s="403">
        <f>COUNTIF(C47:AG47,"★★")</f>
        <v>4</v>
      </c>
      <c r="B47" s="23" t="s">
        <v>201</v>
      </c>
      <c r="C47" s="121" t="s">
        <v>62</v>
      </c>
      <c r="D47" s="121"/>
      <c r="E47" s="121" t="s">
        <v>25</v>
      </c>
      <c r="F47" s="121" t="s">
        <v>168</v>
      </c>
      <c r="G47" s="121" t="s">
        <v>152</v>
      </c>
      <c r="H47" s="159" t="s">
        <v>101</v>
      </c>
      <c r="I47" s="121" t="s">
        <v>102</v>
      </c>
      <c r="J47" s="121" t="s">
        <v>208</v>
      </c>
      <c r="K47" s="121" t="s">
        <v>173</v>
      </c>
      <c r="L47" s="121" t="s">
        <v>202</v>
      </c>
      <c r="M47" s="121" t="s">
        <v>20</v>
      </c>
      <c r="N47" s="121" t="s">
        <v>20</v>
      </c>
      <c r="O47" s="159" t="s">
        <v>26</v>
      </c>
      <c r="P47" s="121" t="s">
        <v>102</v>
      </c>
      <c r="Q47" s="121" t="s">
        <v>151</v>
      </c>
      <c r="R47" s="121" t="s">
        <v>20</v>
      </c>
      <c r="S47" s="121" t="s">
        <v>75</v>
      </c>
      <c r="T47" s="121" t="s">
        <v>152</v>
      </c>
      <c r="U47" s="121" t="s">
        <v>168</v>
      </c>
      <c r="V47" s="159" t="s">
        <v>101</v>
      </c>
      <c r="W47" s="121" t="s">
        <v>102</v>
      </c>
      <c r="X47" s="121" t="s">
        <v>203</v>
      </c>
      <c r="Y47" s="121" t="s">
        <v>20</v>
      </c>
      <c r="Z47" s="121" t="s">
        <v>147</v>
      </c>
      <c r="AA47" s="121" t="s">
        <v>118</v>
      </c>
      <c r="AB47" s="121" t="s">
        <v>119</v>
      </c>
      <c r="AC47" s="159" t="s">
        <v>101</v>
      </c>
      <c r="AD47" s="121" t="s">
        <v>102</v>
      </c>
      <c r="AE47" s="121" t="s">
        <v>20</v>
      </c>
      <c r="AF47" s="121" t="s">
        <v>204</v>
      </c>
      <c r="AG47" s="254"/>
      <c r="AH47" s="293" t="s">
        <v>205</v>
      </c>
      <c r="AI47" s="404" t="s">
        <v>206</v>
      </c>
      <c r="AJ47" s="404" t="s">
        <v>207</v>
      </c>
    </row>
    <row r="48" spans="1:36" ht="13.4" customHeight="1">
      <c r="A48" s="403">
        <f>COUNTIF(C47:AG47,"★")</f>
        <v>4</v>
      </c>
      <c r="B48" s="24"/>
      <c r="C48" s="122" t="s">
        <v>145</v>
      </c>
      <c r="D48" s="122"/>
      <c r="E48" s="122" t="s">
        <v>172</v>
      </c>
      <c r="F48" s="122"/>
      <c r="G48" s="122" t="s">
        <v>172</v>
      </c>
      <c r="H48" s="160"/>
      <c r="I48" s="122"/>
      <c r="J48" s="122" t="s">
        <v>182</v>
      </c>
      <c r="K48" s="122"/>
      <c r="L48" s="122" t="s">
        <v>172</v>
      </c>
      <c r="M48" s="122" t="s">
        <v>113</v>
      </c>
      <c r="N48" s="122" t="s">
        <v>172</v>
      </c>
      <c r="O48" s="160" t="s">
        <v>172</v>
      </c>
      <c r="P48" s="122"/>
      <c r="Q48" s="122"/>
      <c r="R48" s="122" t="s">
        <v>113</v>
      </c>
      <c r="S48" s="122" t="s">
        <v>145</v>
      </c>
      <c r="T48" s="122" t="s">
        <v>172</v>
      </c>
      <c r="U48" s="122"/>
      <c r="V48" s="160"/>
      <c r="W48" s="122"/>
      <c r="X48" s="122" t="s">
        <v>172</v>
      </c>
      <c r="Y48" s="122" t="s">
        <v>172</v>
      </c>
      <c r="Z48" s="122"/>
      <c r="AA48" s="122"/>
      <c r="AB48" s="122"/>
      <c r="AC48" s="160"/>
      <c r="AD48" s="122"/>
      <c r="AE48" s="122" t="s">
        <v>172</v>
      </c>
      <c r="AF48" s="122"/>
      <c r="AG48" s="255"/>
      <c r="AH48" s="296"/>
      <c r="AI48" s="404"/>
      <c r="AJ48" s="404"/>
    </row>
    <row r="49" spans="1:36" ht="13.4" customHeight="1">
      <c r="A49" s="403">
        <f>COUNTIF(C49:AG49,"★★")</f>
        <v>4</v>
      </c>
      <c r="B49" s="23" t="s">
        <v>209</v>
      </c>
      <c r="C49" s="138" t="s">
        <v>210</v>
      </c>
      <c r="D49" s="138" t="s">
        <v>129</v>
      </c>
      <c r="E49" s="138" t="s">
        <v>100</v>
      </c>
      <c r="F49" s="138" t="s">
        <v>211</v>
      </c>
      <c r="G49" s="138" t="s">
        <v>118</v>
      </c>
      <c r="H49" s="151" t="s">
        <v>119</v>
      </c>
      <c r="I49" s="138" t="s">
        <v>102</v>
      </c>
      <c r="J49" s="138" t="s">
        <v>151</v>
      </c>
      <c r="K49" s="138" t="s">
        <v>100</v>
      </c>
      <c r="L49" s="138" t="s">
        <v>129</v>
      </c>
      <c r="M49" s="138" t="s">
        <v>100</v>
      </c>
      <c r="N49" s="138" t="s">
        <v>4</v>
      </c>
      <c r="O49" s="151" t="s">
        <v>101</v>
      </c>
      <c r="P49" s="138" t="s">
        <v>102</v>
      </c>
      <c r="Q49" s="138" t="s">
        <v>20</v>
      </c>
      <c r="R49" s="138" t="s">
        <v>75</v>
      </c>
      <c r="S49" s="138" t="s">
        <v>212</v>
      </c>
      <c r="T49" s="138" t="s">
        <v>212</v>
      </c>
      <c r="U49" s="138" t="s">
        <v>213</v>
      </c>
      <c r="V49" s="151" t="s">
        <v>102</v>
      </c>
      <c r="W49" s="138" t="s">
        <v>214</v>
      </c>
      <c r="X49" s="138" t="s">
        <v>20</v>
      </c>
      <c r="Y49" s="138" t="s">
        <v>20</v>
      </c>
      <c r="Z49" s="138" t="s">
        <v>75</v>
      </c>
      <c r="AA49" s="138" t="s">
        <v>101</v>
      </c>
      <c r="AB49" s="138" t="s">
        <v>118</v>
      </c>
      <c r="AC49" s="151" t="s">
        <v>119</v>
      </c>
      <c r="AD49" s="138" t="s">
        <v>102</v>
      </c>
      <c r="AE49" s="138" t="s">
        <v>101</v>
      </c>
      <c r="AF49" s="138" t="s">
        <v>100</v>
      </c>
      <c r="AG49" s="248"/>
      <c r="AH49" s="293" t="s">
        <v>215</v>
      </c>
      <c r="AI49" s="404" t="s">
        <v>107</v>
      </c>
      <c r="AJ49" s="404" t="s">
        <v>207</v>
      </c>
    </row>
    <row r="50" spans="1:36" ht="13.4" customHeight="1">
      <c r="A50" s="403">
        <f>COUNTIF(C49:AG49,"★")</f>
        <v>4</v>
      </c>
      <c r="B50" s="24"/>
      <c r="C50" s="139" t="s">
        <v>896</v>
      </c>
      <c r="D50" s="139"/>
      <c r="E50" s="139"/>
      <c r="F50" s="139" t="s">
        <v>145</v>
      </c>
      <c r="G50" s="139"/>
      <c r="H50" s="152"/>
      <c r="I50" s="139"/>
      <c r="J50" s="139"/>
      <c r="K50" s="139"/>
      <c r="L50" s="139"/>
      <c r="M50" s="139"/>
      <c r="N50" s="139" t="s">
        <v>113</v>
      </c>
      <c r="O50" s="152"/>
      <c r="P50" s="139"/>
      <c r="Q50" s="139" t="s">
        <v>113</v>
      </c>
      <c r="R50" s="139" t="s">
        <v>145</v>
      </c>
      <c r="S50" s="139" t="s">
        <v>216</v>
      </c>
      <c r="T50" s="139" t="s">
        <v>216</v>
      </c>
      <c r="U50" s="139"/>
      <c r="V50" s="152"/>
      <c r="W50" s="139" t="s">
        <v>216</v>
      </c>
      <c r="X50" s="139" t="s">
        <v>113</v>
      </c>
      <c r="Y50" s="139" t="s">
        <v>113</v>
      </c>
      <c r="Z50" s="139" t="s">
        <v>129</v>
      </c>
      <c r="AA50" s="139"/>
      <c r="AB50" s="139"/>
      <c r="AC50" s="152"/>
      <c r="AD50" s="139"/>
      <c r="AE50" s="139"/>
      <c r="AF50" s="139"/>
      <c r="AG50" s="249"/>
      <c r="AH50" s="296"/>
      <c r="AI50" s="404"/>
      <c r="AJ50" s="404"/>
    </row>
    <row r="51" spans="1:36" ht="13.4" customHeight="1">
      <c r="A51" s="403">
        <f>COUNTIF(C51:AG51,"★★")</f>
        <v>4</v>
      </c>
      <c r="B51" s="23" t="s">
        <v>217</v>
      </c>
      <c r="C51" s="138" t="s">
        <v>100</v>
      </c>
      <c r="D51" s="138" t="s">
        <v>100</v>
      </c>
      <c r="E51" s="138" t="s">
        <v>4</v>
      </c>
      <c r="F51" s="138" t="s">
        <v>273</v>
      </c>
      <c r="G51" s="138" t="s">
        <v>273</v>
      </c>
      <c r="H51" s="151" t="s">
        <v>101</v>
      </c>
      <c r="I51" s="138" t="s">
        <v>102</v>
      </c>
      <c r="J51" s="138" t="s">
        <v>100</v>
      </c>
      <c r="K51" s="138" t="s">
        <v>129</v>
      </c>
      <c r="L51" s="138" t="s">
        <v>118</v>
      </c>
      <c r="M51" s="138" t="s">
        <v>119</v>
      </c>
      <c r="N51" s="138" t="s">
        <v>146</v>
      </c>
      <c r="O51" s="151"/>
      <c r="P51" s="138" t="s">
        <v>129</v>
      </c>
      <c r="Q51" s="138" t="s">
        <v>60</v>
      </c>
      <c r="R51" s="138" t="s">
        <v>129</v>
      </c>
      <c r="S51" s="138" t="s">
        <v>102</v>
      </c>
      <c r="T51" s="138" t="s">
        <v>101</v>
      </c>
      <c r="U51" s="138" t="s">
        <v>213</v>
      </c>
      <c r="V51" s="151" t="s">
        <v>129</v>
      </c>
      <c r="W51" s="138" t="s">
        <v>118</v>
      </c>
      <c r="X51" s="138" t="s">
        <v>119</v>
      </c>
      <c r="Y51" s="138" t="s">
        <v>102</v>
      </c>
      <c r="Z51" s="138" t="s">
        <v>101</v>
      </c>
      <c r="AA51" s="138" t="s">
        <v>161</v>
      </c>
      <c r="AB51" s="138" t="s">
        <v>100</v>
      </c>
      <c r="AC51" s="151" t="s">
        <v>129</v>
      </c>
      <c r="AD51" s="138" t="s">
        <v>102</v>
      </c>
      <c r="AE51" s="138" t="s">
        <v>210</v>
      </c>
      <c r="AF51" s="138" t="s">
        <v>101</v>
      </c>
      <c r="AG51" s="248"/>
      <c r="AH51" s="293" t="s">
        <v>218</v>
      </c>
      <c r="AI51" s="404" t="s">
        <v>107</v>
      </c>
      <c r="AJ51" s="404" t="s">
        <v>197</v>
      </c>
    </row>
    <row r="52" spans="1:36" ht="13.4" customHeight="1">
      <c r="A52" s="403">
        <f>COUNTIF(C51:AG51,"★")</f>
        <v>4</v>
      </c>
      <c r="B52" s="24"/>
      <c r="C52" s="139" t="s">
        <v>896</v>
      </c>
      <c r="D52" s="139"/>
      <c r="E52" s="139" t="s">
        <v>113</v>
      </c>
      <c r="F52" s="139" t="s">
        <v>892</v>
      </c>
      <c r="G52" s="139" t="s">
        <v>893</v>
      </c>
      <c r="H52" s="152"/>
      <c r="I52" s="139"/>
      <c r="J52" s="139"/>
      <c r="K52" s="139"/>
      <c r="L52" s="139"/>
      <c r="M52" s="139"/>
      <c r="N52" s="139"/>
      <c r="O52" s="152" t="s">
        <v>77</v>
      </c>
      <c r="P52" s="139" t="s">
        <v>77</v>
      </c>
      <c r="Q52" s="139" t="s">
        <v>145</v>
      </c>
      <c r="R52" s="139"/>
      <c r="S52" s="139" t="s">
        <v>127</v>
      </c>
      <c r="T52" s="139" t="s">
        <v>127</v>
      </c>
      <c r="U52" s="139"/>
      <c r="V52" s="152"/>
      <c r="W52" s="139"/>
      <c r="X52" s="139"/>
      <c r="Y52" s="139"/>
      <c r="Z52" s="139"/>
      <c r="AA52" s="139" t="s">
        <v>127</v>
      </c>
      <c r="AB52" s="139"/>
      <c r="AC52" s="152"/>
      <c r="AD52" s="139"/>
      <c r="AE52" s="139"/>
      <c r="AF52" s="139" t="s">
        <v>127</v>
      </c>
      <c r="AG52" s="249"/>
      <c r="AH52" s="296"/>
    </row>
    <row r="53" spans="1:36" ht="13.4" customHeight="1">
      <c r="A53" s="403">
        <f>COUNTIF(C53:AG53,"★★")</f>
        <v>4</v>
      </c>
      <c r="B53" s="23" t="s">
        <v>219</v>
      </c>
      <c r="C53" s="136" t="s">
        <v>194</v>
      </c>
      <c r="D53" s="136" t="s">
        <v>149</v>
      </c>
      <c r="E53" s="136" t="s">
        <v>149</v>
      </c>
      <c r="F53" s="136"/>
      <c r="G53" s="136" t="s">
        <v>152</v>
      </c>
      <c r="H53" s="153" t="s">
        <v>26</v>
      </c>
      <c r="I53" s="136" t="s">
        <v>102</v>
      </c>
      <c r="J53" s="136" t="s">
        <v>101</v>
      </c>
      <c r="K53" s="136" t="s">
        <v>220</v>
      </c>
      <c r="L53" s="136" t="s">
        <v>202</v>
      </c>
      <c r="M53" s="136" t="s">
        <v>20</v>
      </c>
      <c r="N53" s="136" t="s">
        <v>60</v>
      </c>
      <c r="O53" s="153" t="s">
        <v>26</v>
      </c>
      <c r="P53" s="136" t="s">
        <v>102</v>
      </c>
      <c r="Q53" s="136" t="s">
        <v>20</v>
      </c>
      <c r="R53" s="136" t="s">
        <v>20</v>
      </c>
      <c r="S53" s="136" t="s">
        <v>20</v>
      </c>
      <c r="T53" s="136" t="s">
        <v>152</v>
      </c>
      <c r="U53" s="136" t="s">
        <v>151</v>
      </c>
      <c r="V53" s="153" t="s">
        <v>26</v>
      </c>
      <c r="W53" s="136" t="s">
        <v>102</v>
      </c>
      <c r="X53" s="136" t="s">
        <v>203</v>
      </c>
      <c r="Y53" s="136" t="s">
        <v>101</v>
      </c>
      <c r="Z53" s="136" t="s">
        <v>220</v>
      </c>
      <c r="AA53" s="136" t="s">
        <v>220</v>
      </c>
      <c r="AB53" s="136" t="s">
        <v>60</v>
      </c>
      <c r="AC53" s="153" t="s">
        <v>101</v>
      </c>
      <c r="AD53" s="136" t="s">
        <v>102</v>
      </c>
      <c r="AE53" s="136" t="s">
        <v>220</v>
      </c>
      <c r="AF53" s="136" t="s">
        <v>220</v>
      </c>
      <c r="AG53" s="246"/>
      <c r="AH53" s="293" t="s">
        <v>221</v>
      </c>
      <c r="AI53" s="404" t="s">
        <v>222</v>
      </c>
      <c r="AJ53" s="404" t="s">
        <v>207</v>
      </c>
    </row>
    <row r="54" spans="1:36" ht="13.4" customHeight="1">
      <c r="A54" s="403">
        <f>COUNTIF(C53:AG53,"★")</f>
        <v>4</v>
      </c>
      <c r="B54" s="24"/>
      <c r="C54" s="137" t="s">
        <v>174</v>
      </c>
      <c r="D54" s="137" t="s">
        <v>198</v>
      </c>
      <c r="E54" s="137" t="s">
        <v>155</v>
      </c>
      <c r="F54" s="137"/>
      <c r="G54" s="137" t="s">
        <v>174</v>
      </c>
      <c r="H54" s="154" t="s">
        <v>174</v>
      </c>
      <c r="I54" s="137"/>
      <c r="J54" s="137"/>
      <c r="K54" s="137"/>
      <c r="L54" s="137" t="s">
        <v>180</v>
      </c>
      <c r="M54" s="137" t="s">
        <v>174</v>
      </c>
      <c r="N54" s="137" t="s">
        <v>174</v>
      </c>
      <c r="O54" s="154" t="s">
        <v>174</v>
      </c>
      <c r="P54" s="137"/>
      <c r="Q54" s="137" t="s">
        <v>174</v>
      </c>
      <c r="R54" s="137" t="s">
        <v>174</v>
      </c>
      <c r="S54" s="137" t="s">
        <v>174</v>
      </c>
      <c r="T54" s="137" t="s">
        <v>174</v>
      </c>
      <c r="U54" s="137"/>
      <c r="V54" s="154" t="s">
        <v>174</v>
      </c>
      <c r="W54" s="137"/>
      <c r="X54" s="137" t="s">
        <v>174</v>
      </c>
      <c r="Y54" s="137"/>
      <c r="Z54" s="137"/>
      <c r="AA54" s="137"/>
      <c r="AB54" s="137" t="s">
        <v>174</v>
      </c>
      <c r="AC54" s="154"/>
      <c r="AD54" s="137"/>
      <c r="AE54" s="137"/>
      <c r="AF54" s="137"/>
      <c r="AG54" s="247"/>
      <c r="AH54" s="296"/>
      <c r="AI54" s="404"/>
      <c r="AJ54" s="404"/>
    </row>
    <row r="55" spans="1:36" ht="13.4" customHeight="1">
      <c r="A55" s="403">
        <f>COUNTIF(C55:AG55,"★★")</f>
        <v>4</v>
      </c>
      <c r="B55" s="23" t="s">
        <v>223</v>
      </c>
      <c r="C55" s="138" t="s">
        <v>75</v>
      </c>
      <c r="D55" s="138" t="s">
        <v>75</v>
      </c>
      <c r="E55" s="138" t="s">
        <v>129</v>
      </c>
      <c r="F55" s="138" t="s">
        <v>75</v>
      </c>
      <c r="G55" s="138" t="s">
        <v>75</v>
      </c>
      <c r="H55" s="151" t="s">
        <v>273</v>
      </c>
      <c r="I55" s="138" t="s">
        <v>102</v>
      </c>
      <c r="J55" s="138" t="s">
        <v>101</v>
      </c>
      <c r="K55" s="138" t="s">
        <v>161</v>
      </c>
      <c r="L55" s="138" t="s">
        <v>224</v>
      </c>
      <c r="M55" s="138" t="s">
        <v>224</v>
      </c>
      <c r="N55" s="138" t="s">
        <v>129</v>
      </c>
      <c r="O55" s="151" t="s">
        <v>129</v>
      </c>
      <c r="P55" s="138" t="s">
        <v>102</v>
      </c>
      <c r="Q55" s="138" t="s">
        <v>129</v>
      </c>
      <c r="R55" s="138" t="s">
        <v>101</v>
      </c>
      <c r="S55" s="138" t="s">
        <v>212</v>
      </c>
      <c r="T55" s="138" t="s">
        <v>212</v>
      </c>
      <c r="U55" s="138" t="s">
        <v>114</v>
      </c>
      <c r="V55" s="151" t="s">
        <v>118</v>
      </c>
      <c r="W55" s="138" t="s">
        <v>119</v>
      </c>
      <c r="X55" s="138" t="s">
        <v>102</v>
      </c>
      <c r="Y55" s="138" t="s">
        <v>149</v>
      </c>
      <c r="Z55" s="138" t="s">
        <v>161</v>
      </c>
      <c r="AA55" s="138" t="s">
        <v>101</v>
      </c>
      <c r="AB55" s="138" t="s">
        <v>224</v>
      </c>
      <c r="AC55" s="151" t="s">
        <v>224</v>
      </c>
      <c r="AD55" s="138" t="s">
        <v>102</v>
      </c>
      <c r="AE55" s="138" t="s">
        <v>75</v>
      </c>
      <c r="AF55" s="138" t="s">
        <v>101</v>
      </c>
      <c r="AG55" s="248"/>
      <c r="AH55" s="293" t="s">
        <v>225</v>
      </c>
      <c r="AI55" s="404" t="s">
        <v>107</v>
      </c>
      <c r="AJ55" s="404" t="s">
        <v>207</v>
      </c>
    </row>
    <row r="56" spans="1:36" ht="13.4" customHeight="1">
      <c r="A56" s="403">
        <f>COUNTIF(C55:AG55,"★")</f>
        <v>4</v>
      </c>
      <c r="B56" s="24"/>
      <c r="C56" s="139" t="s">
        <v>145</v>
      </c>
      <c r="D56" s="139" t="s">
        <v>145</v>
      </c>
      <c r="E56" s="139"/>
      <c r="F56" s="139" t="s">
        <v>145</v>
      </c>
      <c r="G56" s="139" t="s">
        <v>145</v>
      </c>
      <c r="H56" s="152" t="s">
        <v>198</v>
      </c>
      <c r="I56" s="139" t="s">
        <v>127</v>
      </c>
      <c r="J56" s="139" t="s">
        <v>127</v>
      </c>
      <c r="K56" s="139" t="s">
        <v>127</v>
      </c>
      <c r="L56" s="139" t="s">
        <v>226</v>
      </c>
      <c r="M56" s="139" t="s">
        <v>227</v>
      </c>
      <c r="N56" s="139"/>
      <c r="O56" s="152"/>
      <c r="P56" s="139"/>
      <c r="Q56" s="139"/>
      <c r="R56" s="139"/>
      <c r="S56" s="139" t="s">
        <v>216</v>
      </c>
      <c r="T56" s="139" t="s">
        <v>216</v>
      </c>
      <c r="U56" s="139"/>
      <c r="V56" s="152" t="s">
        <v>127</v>
      </c>
      <c r="W56" s="139" t="s">
        <v>127</v>
      </c>
      <c r="X56" s="139" t="s">
        <v>127</v>
      </c>
      <c r="Y56" s="139" t="s">
        <v>891</v>
      </c>
      <c r="Z56" s="139" t="s">
        <v>127</v>
      </c>
      <c r="AA56" s="139" t="s">
        <v>127</v>
      </c>
      <c r="AB56" s="139" t="s">
        <v>226</v>
      </c>
      <c r="AC56" s="152" t="s">
        <v>227</v>
      </c>
      <c r="AD56" s="139"/>
      <c r="AE56" s="139" t="s">
        <v>129</v>
      </c>
      <c r="AF56" s="139"/>
      <c r="AG56" s="249"/>
      <c r="AH56" s="296"/>
      <c r="AI56" s="404"/>
      <c r="AJ56" s="404"/>
    </row>
    <row r="57" spans="1:36" ht="13.4" customHeight="1">
      <c r="A57" s="403">
        <f>COUNTIF(C57:AG57,"★★")</f>
        <v>4</v>
      </c>
      <c r="B57" s="23" t="s">
        <v>228</v>
      </c>
      <c r="C57" s="138" t="s">
        <v>129</v>
      </c>
      <c r="D57" s="138" t="s">
        <v>895</v>
      </c>
      <c r="E57" s="138" t="s">
        <v>20</v>
      </c>
      <c r="F57" s="138" t="s">
        <v>118</v>
      </c>
      <c r="G57" s="138" t="s">
        <v>119</v>
      </c>
      <c r="H57" s="151" t="s">
        <v>101</v>
      </c>
      <c r="I57" s="138" t="s">
        <v>102</v>
      </c>
      <c r="J57" s="138" t="s">
        <v>210</v>
      </c>
      <c r="K57" s="138" t="s">
        <v>229</v>
      </c>
      <c r="L57" s="138" t="s">
        <v>100</v>
      </c>
      <c r="M57" s="138" t="s">
        <v>211</v>
      </c>
      <c r="N57" s="138" t="s">
        <v>75</v>
      </c>
      <c r="O57" s="151" t="s">
        <v>101</v>
      </c>
      <c r="P57" s="138" t="s">
        <v>102</v>
      </c>
      <c r="Q57" s="138" t="s">
        <v>75</v>
      </c>
      <c r="R57" s="138" t="s">
        <v>118</v>
      </c>
      <c r="S57" s="138" t="s">
        <v>119</v>
      </c>
      <c r="T57" s="138" t="s">
        <v>129</v>
      </c>
      <c r="U57" s="138" t="s">
        <v>114</v>
      </c>
      <c r="V57" s="151" t="s">
        <v>101</v>
      </c>
      <c r="W57" s="138" t="s">
        <v>102</v>
      </c>
      <c r="X57" s="138" t="s">
        <v>75</v>
      </c>
      <c r="Y57" s="138" t="s">
        <v>129</v>
      </c>
      <c r="Z57" s="138" t="s">
        <v>118</v>
      </c>
      <c r="AA57" s="138" t="s">
        <v>119</v>
      </c>
      <c r="AB57" s="138" t="s">
        <v>29</v>
      </c>
      <c r="AC57" s="151" t="s">
        <v>102</v>
      </c>
      <c r="AD57" s="138" t="s">
        <v>129</v>
      </c>
      <c r="AE57" s="138" t="s">
        <v>60</v>
      </c>
      <c r="AF57" s="138" t="s">
        <v>101</v>
      </c>
      <c r="AG57" s="248"/>
      <c r="AH57" s="293" t="s">
        <v>230</v>
      </c>
      <c r="AI57" s="404" t="s">
        <v>107</v>
      </c>
      <c r="AJ57" s="404" t="s">
        <v>207</v>
      </c>
    </row>
    <row r="58" spans="1:36" ht="13.4" customHeight="1">
      <c r="A58" s="403">
        <f>COUNTIF(C57:AG57,"★")</f>
        <v>4</v>
      </c>
      <c r="B58" s="24"/>
      <c r="C58" s="139" t="s">
        <v>896</v>
      </c>
      <c r="D58" s="139"/>
      <c r="E58" s="139" t="s">
        <v>113</v>
      </c>
      <c r="F58" s="139"/>
      <c r="G58" s="139"/>
      <c r="H58" s="152" t="s">
        <v>136</v>
      </c>
      <c r="I58" s="273"/>
      <c r="J58" s="139"/>
      <c r="K58" s="139" t="s">
        <v>154</v>
      </c>
      <c r="L58" s="139"/>
      <c r="M58" s="139" t="s">
        <v>113</v>
      </c>
      <c r="N58" s="139" t="s">
        <v>145</v>
      </c>
      <c r="O58" s="290"/>
      <c r="P58" s="139"/>
      <c r="Q58" s="139" t="s">
        <v>145</v>
      </c>
      <c r="R58" s="139"/>
      <c r="S58" s="139"/>
      <c r="T58" s="139"/>
      <c r="U58" s="139"/>
      <c r="V58" s="152"/>
      <c r="W58" s="139" t="s">
        <v>127</v>
      </c>
      <c r="X58" s="139" t="s">
        <v>129</v>
      </c>
      <c r="Y58" s="139"/>
      <c r="Z58" s="139"/>
      <c r="AA58" s="139"/>
      <c r="AB58" s="139" t="s">
        <v>324</v>
      </c>
      <c r="AC58" s="152" t="s">
        <v>127</v>
      </c>
      <c r="AD58" s="139"/>
      <c r="AE58" s="139" t="s">
        <v>145</v>
      </c>
      <c r="AF58" s="139"/>
      <c r="AG58" s="249"/>
      <c r="AH58" s="296"/>
      <c r="AI58" s="404"/>
      <c r="AJ58" s="404"/>
    </row>
    <row r="59" spans="1:36" ht="13.4" customHeight="1">
      <c r="A59" s="403">
        <f>COUNTIF(C59:AG59,"★★")</f>
        <v>4</v>
      </c>
      <c r="B59" s="518" t="s">
        <v>231</v>
      </c>
      <c r="C59" s="140" t="s">
        <v>194</v>
      </c>
      <c r="D59" s="140" t="s">
        <v>149</v>
      </c>
      <c r="E59" s="140" t="s">
        <v>149</v>
      </c>
      <c r="F59" s="140"/>
      <c r="G59" s="140" t="s">
        <v>60</v>
      </c>
      <c r="H59" s="155" t="s">
        <v>101</v>
      </c>
      <c r="I59" s="140" t="s">
        <v>102</v>
      </c>
      <c r="J59" s="140" t="s">
        <v>20</v>
      </c>
      <c r="K59" s="140" t="s">
        <v>69</v>
      </c>
      <c r="L59" s="140" t="s">
        <v>64</v>
      </c>
      <c r="M59" s="140" t="s">
        <v>4</v>
      </c>
      <c r="N59" s="140" t="s">
        <v>71</v>
      </c>
      <c r="O59" s="155" t="s">
        <v>177</v>
      </c>
      <c r="P59" s="140" t="s">
        <v>102</v>
      </c>
      <c r="Q59" s="140" t="s">
        <v>30</v>
      </c>
      <c r="R59" s="140" t="s">
        <v>183</v>
      </c>
      <c r="S59" s="140" t="s">
        <v>177</v>
      </c>
      <c r="T59" s="140" t="s">
        <v>101</v>
      </c>
      <c r="U59" s="140" t="s">
        <v>4</v>
      </c>
      <c r="V59" s="155" t="s">
        <v>26</v>
      </c>
      <c r="W59" s="140" t="s">
        <v>70</v>
      </c>
      <c r="X59" s="140" t="s">
        <v>70</v>
      </c>
      <c r="Y59" s="140" t="s">
        <v>102</v>
      </c>
      <c r="Z59" s="140" t="s">
        <v>101</v>
      </c>
      <c r="AA59" s="140" t="s">
        <v>232</v>
      </c>
      <c r="AB59" s="140" t="s">
        <v>71</v>
      </c>
      <c r="AC59" s="155" t="s">
        <v>101</v>
      </c>
      <c r="AD59" s="140" t="s">
        <v>102</v>
      </c>
      <c r="AE59" s="140" t="s">
        <v>204</v>
      </c>
      <c r="AF59" s="140" t="s">
        <v>233</v>
      </c>
      <c r="AG59" s="252"/>
      <c r="AH59" s="519" t="s">
        <v>234</v>
      </c>
      <c r="AI59" s="404" t="s">
        <v>122</v>
      </c>
      <c r="AJ59" s="404" t="s">
        <v>207</v>
      </c>
    </row>
    <row r="60" spans="1:36" ht="13.4" customHeight="1">
      <c r="A60" s="403">
        <f>COUNTIF(C59:AG59,"★")</f>
        <v>4</v>
      </c>
      <c r="B60" s="303"/>
      <c r="C60" s="141"/>
      <c r="D60" s="141" t="s">
        <v>198</v>
      </c>
      <c r="E60" s="141" t="s">
        <v>155</v>
      </c>
      <c r="F60" s="141"/>
      <c r="G60" s="141" t="s">
        <v>235</v>
      </c>
      <c r="H60" s="156"/>
      <c r="I60" s="141"/>
      <c r="J60" s="141" t="s">
        <v>113</v>
      </c>
      <c r="K60" s="141" t="s">
        <v>199</v>
      </c>
      <c r="L60" s="141" t="s">
        <v>199</v>
      </c>
      <c r="M60" s="141" t="s">
        <v>235</v>
      </c>
      <c r="N60" s="141" t="s">
        <v>236</v>
      </c>
      <c r="O60" s="156" t="s">
        <v>237</v>
      </c>
      <c r="P60" s="141"/>
      <c r="Q60" s="141" t="s">
        <v>154</v>
      </c>
      <c r="R60" s="141"/>
      <c r="S60" s="141" t="s">
        <v>154</v>
      </c>
      <c r="T60" s="141"/>
      <c r="U60" s="141" t="s">
        <v>113</v>
      </c>
      <c r="V60" s="156" t="s">
        <v>200</v>
      </c>
      <c r="W60" s="141" t="s">
        <v>154</v>
      </c>
      <c r="X60" s="141" t="s">
        <v>154</v>
      </c>
      <c r="Y60" s="141"/>
      <c r="Z60" s="141"/>
      <c r="AA60" s="141"/>
      <c r="AB60" s="141" t="s">
        <v>236</v>
      </c>
      <c r="AC60" s="156"/>
      <c r="AD60" s="141"/>
      <c r="AE60" s="141"/>
      <c r="AF60" s="141" t="s">
        <v>127</v>
      </c>
      <c r="AG60" s="253"/>
      <c r="AH60" s="304"/>
      <c r="AI60" s="404"/>
      <c r="AJ60" s="404"/>
    </row>
    <row r="61" spans="1:36" ht="13.4" customHeight="1">
      <c r="A61" s="403">
        <f>COUNTIF(C61:AG61,"★★")</f>
        <v>4</v>
      </c>
      <c r="B61" s="23" t="s">
        <v>238</v>
      </c>
      <c r="C61" s="136" t="s">
        <v>62</v>
      </c>
      <c r="D61" s="136" t="s">
        <v>239</v>
      </c>
      <c r="E61" s="136" t="s">
        <v>239</v>
      </c>
      <c r="F61" s="136" t="s">
        <v>20</v>
      </c>
      <c r="G61" s="136" t="s">
        <v>239</v>
      </c>
      <c r="H61" s="153" t="s">
        <v>151</v>
      </c>
      <c r="I61" s="136" t="s">
        <v>130</v>
      </c>
      <c r="J61" s="136" t="s">
        <v>220</v>
      </c>
      <c r="K61" s="136" t="s">
        <v>69</v>
      </c>
      <c r="L61" s="136"/>
      <c r="M61" s="136" t="s">
        <v>240</v>
      </c>
      <c r="N61" s="136" t="s">
        <v>71</v>
      </c>
      <c r="O61" s="153" t="s">
        <v>239</v>
      </c>
      <c r="P61" s="136" t="s">
        <v>130</v>
      </c>
      <c r="Q61" s="136" t="s">
        <v>151</v>
      </c>
      <c r="R61" s="136" t="s">
        <v>239</v>
      </c>
      <c r="S61" s="136" t="s">
        <v>239</v>
      </c>
      <c r="T61" s="136" t="s">
        <v>239</v>
      </c>
      <c r="U61" s="136" t="s">
        <v>20</v>
      </c>
      <c r="V61" s="153" t="s">
        <v>151</v>
      </c>
      <c r="W61" s="136" t="s">
        <v>130</v>
      </c>
      <c r="X61" s="136" t="s">
        <v>70</v>
      </c>
      <c r="Y61" s="136" t="s">
        <v>239</v>
      </c>
      <c r="Z61" s="136" t="s">
        <v>239</v>
      </c>
      <c r="AA61" s="136" t="s">
        <v>232</v>
      </c>
      <c r="AB61" s="136" t="s">
        <v>149</v>
      </c>
      <c r="AC61" s="153" t="s">
        <v>130</v>
      </c>
      <c r="AD61" s="136" t="s">
        <v>241</v>
      </c>
      <c r="AE61" s="136" t="s">
        <v>60</v>
      </c>
      <c r="AF61" s="136" t="s">
        <v>151</v>
      </c>
      <c r="AG61" s="246"/>
      <c r="AH61" s="293" t="s">
        <v>242</v>
      </c>
      <c r="AI61" s="404" t="s">
        <v>222</v>
      </c>
      <c r="AJ61" s="404" t="s">
        <v>207</v>
      </c>
    </row>
    <row r="62" spans="1:36" ht="13.4" customHeight="1">
      <c r="A62" s="403">
        <f>COUNTIF(C61:AG61,"★")</f>
        <v>4</v>
      </c>
      <c r="B62" s="24"/>
      <c r="C62" s="137" t="s">
        <v>99</v>
      </c>
      <c r="D62" s="137"/>
      <c r="E62" s="137"/>
      <c r="F62" s="137" t="s">
        <v>243</v>
      </c>
      <c r="G62" s="137"/>
      <c r="H62" s="154"/>
      <c r="I62" s="137"/>
      <c r="J62" s="137"/>
      <c r="K62" s="137" t="s">
        <v>243</v>
      </c>
      <c r="L62" s="137" t="s">
        <v>112</v>
      </c>
      <c r="M62" s="137" t="s">
        <v>243</v>
      </c>
      <c r="N62" s="137" t="s">
        <v>243</v>
      </c>
      <c r="O62" s="154"/>
      <c r="P62" s="137"/>
      <c r="Q62" s="137"/>
      <c r="R62" s="137"/>
      <c r="S62" s="137"/>
      <c r="T62" s="137"/>
      <c r="U62" s="137" t="s">
        <v>243</v>
      </c>
      <c r="V62" s="154"/>
      <c r="W62" s="137"/>
      <c r="X62" s="137" t="s">
        <v>243</v>
      </c>
      <c r="Y62" s="137"/>
      <c r="Z62" s="137"/>
      <c r="AA62" s="137" t="s">
        <v>243</v>
      </c>
      <c r="AB62" s="137" t="s">
        <v>244</v>
      </c>
      <c r="AC62" s="154"/>
      <c r="AD62" s="137" t="s">
        <v>243</v>
      </c>
      <c r="AE62" s="137" t="s">
        <v>243</v>
      </c>
      <c r="AF62" s="137"/>
      <c r="AG62" s="247"/>
      <c r="AH62" s="296"/>
      <c r="AI62" s="404"/>
      <c r="AJ62" s="404"/>
    </row>
    <row r="63" spans="1:36" ht="13.4" customHeight="1">
      <c r="A63" s="403">
        <f>COUNTIF(C63:AG63,"★★")</f>
        <v>4</v>
      </c>
      <c r="B63" s="518" t="s">
        <v>245</v>
      </c>
      <c r="C63" s="138" t="s">
        <v>118</v>
      </c>
      <c r="D63" s="138" t="s">
        <v>119</v>
      </c>
      <c r="E63" s="138" t="s">
        <v>75</v>
      </c>
      <c r="F63" s="138" t="s">
        <v>129</v>
      </c>
      <c r="G63" s="138" t="s">
        <v>273</v>
      </c>
      <c r="H63" s="151" t="s">
        <v>118</v>
      </c>
      <c r="I63" s="138" t="s">
        <v>119</v>
      </c>
      <c r="J63" s="138" t="s">
        <v>102</v>
      </c>
      <c r="K63" s="138" t="s">
        <v>159</v>
      </c>
      <c r="L63" s="138" t="s">
        <v>75</v>
      </c>
      <c r="M63" s="138" t="s">
        <v>75</v>
      </c>
      <c r="N63" s="138" t="s">
        <v>101</v>
      </c>
      <c r="O63" s="151" t="s">
        <v>246</v>
      </c>
      <c r="P63" s="138" t="s">
        <v>118</v>
      </c>
      <c r="Q63" s="138" t="s">
        <v>119</v>
      </c>
      <c r="R63" s="138" t="s">
        <v>102</v>
      </c>
      <c r="S63" s="138" t="s">
        <v>246</v>
      </c>
      <c r="T63" s="138" t="s">
        <v>101</v>
      </c>
      <c r="U63" s="138" t="s">
        <v>129</v>
      </c>
      <c r="V63" s="151" t="s">
        <v>101</v>
      </c>
      <c r="W63" s="138" t="s">
        <v>102</v>
      </c>
      <c r="X63" s="138" t="s">
        <v>210</v>
      </c>
      <c r="Y63" s="138" t="s">
        <v>100</v>
      </c>
      <c r="Z63" s="138" t="s">
        <v>161</v>
      </c>
      <c r="AA63" s="138" t="s">
        <v>211</v>
      </c>
      <c r="AB63" s="138" t="s">
        <v>75</v>
      </c>
      <c r="AC63" s="151" t="s">
        <v>101</v>
      </c>
      <c r="AD63" s="138" t="s">
        <v>102</v>
      </c>
      <c r="AE63" s="138" t="s">
        <v>100</v>
      </c>
      <c r="AF63" s="138" t="s">
        <v>75</v>
      </c>
      <c r="AG63" s="248"/>
      <c r="AH63" s="519" t="s">
        <v>247</v>
      </c>
      <c r="AI63" s="404" t="s">
        <v>107</v>
      </c>
      <c r="AJ63" s="404" t="s">
        <v>207</v>
      </c>
    </row>
    <row r="64" spans="1:36" ht="13.4" customHeight="1">
      <c r="A64" s="403">
        <f>COUNTIF(C63:AG63,"★")</f>
        <v>4</v>
      </c>
      <c r="B64" s="303"/>
      <c r="C64" s="139"/>
      <c r="D64" s="139" t="s">
        <v>895</v>
      </c>
      <c r="E64" s="139" t="s">
        <v>145</v>
      </c>
      <c r="F64" s="139"/>
      <c r="G64" s="139" t="s">
        <v>894</v>
      </c>
      <c r="H64" s="152"/>
      <c r="I64" s="139"/>
      <c r="J64" s="139"/>
      <c r="K64" s="139" t="s">
        <v>163</v>
      </c>
      <c r="L64" s="139" t="s">
        <v>145</v>
      </c>
      <c r="M64" s="139" t="s">
        <v>145</v>
      </c>
      <c r="N64" s="139"/>
      <c r="O64" s="152" t="s">
        <v>248</v>
      </c>
      <c r="P64" s="139"/>
      <c r="Q64" s="139"/>
      <c r="R64" s="139"/>
      <c r="S64" s="139" t="s">
        <v>145</v>
      </c>
      <c r="T64" s="139"/>
      <c r="U64" s="139" t="s">
        <v>114</v>
      </c>
      <c r="V64" s="152"/>
      <c r="W64" s="139"/>
      <c r="X64" s="139"/>
      <c r="Y64" s="139"/>
      <c r="Z64" s="139" t="s">
        <v>127</v>
      </c>
      <c r="AA64" s="139" t="s">
        <v>145</v>
      </c>
      <c r="AB64" s="139" t="s">
        <v>145</v>
      </c>
      <c r="AC64" s="152"/>
      <c r="AD64" s="139"/>
      <c r="AE64" s="139"/>
      <c r="AF64" s="139" t="s">
        <v>129</v>
      </c>
      <c r="AG64" s="249"/>
      <c r="AH64" s="304"/>
      <c r="AI64" s="404"/>
      <c r="AJ64" s="404"/>
    </row>
    <row r="65" spans="1:36" ht="13.4" customHeight="1">
      <c r="A65" s="403">
        <f>COUNTIF(C65:AG65,"★★")</f>
        <v>4</v>
      </c>
      <c r="B65" s="23" t="s">
        <v>249</v>
      </c>
      <c r="C65" s="144" t="s">
        <v>250</v>
      </c>
      <c r="D65" s="144" t="s">
        <v>149</v>
      </c>
      <c r="E65" s="140" t="s">
        <v>67</v>
      </c>
      <c r="F65" s="140" t="s">
        <v>75</v>
      </c>
      <c r="G65" s="140" t="s">
        <v>63</v>
      </c>
      <c r="H65" s="155" t="s">
        <v>101</v>
      </c>
      <c r="I65" s="140" t="s">
        <v>102</v>
      </c>
      <c r="J65" s="144"/>
      <c r="K65" s="144" t="s">
        <v>149</v>
      </c>
      <c r="L65" s="140" t="s">
        <v>240</v>
      </c>
      <c r="M65" s="140" t="s">
        <v>240</v>
      </c>
      <c r="N65" s="140"/>
      <c r="O65" s="155" t="s">
        <v>101</v>
      </c>
      <c r="P65" s="140" t="s">
        <v>102</v>
      </c>
      <c r="Q65" s="140" t="s">
        <v>251</v>
      </c>
      <c r="R65" s="140"/>
      <c r="S65" s="140" t="s">
        <v>177</v>
      </c>
      <c r="T65" s="140" t="s">
        <v>251</v>
      </c>
      <c r="U65" s="140" t="s">
        <v>120</v>
      </c>
      <c r="V65" s="155" t="s">
        <v>102</v>
      </c>
      <c r="W65" s="140" t="s">
        <v>70</v>
      </c>
      <c r="X65" s="140" t="s">
        <v>70</v>
      </c>
      <c r="Y65" s="140" t="s">
        <v>101</v>
      </c>
      <c r="Z65" s="140"/>
      <c r="AA65" s="140" t="s">
        <v>232</v>
      </c>
      <c r="AB65" s="140" t="s">
        <v>71</v>
      </c>
      <c r="AC65" s="155" t="s">
        <v>92</v>
      </c>
      <c r="AD65" s="140" t="s">
        <v>102</v>
      </c>
      <c r="AE65" s="140" t="s">
        <v>101</v>
      </c>
      <c r="AF65" s="140" t="s">
        <v>92</v>
      </c>
      <c r="AG65" s="252"/>
      <c r="AH65" s="293" t="s">
        <v>252</v>
      </c>
      <c r="AI65" s="404" t="s">
        <v>122</v>
      </c>
      <c r="AJ65" s="404" t="s">
        <v>207</v>
      </c>
    </row>
    <row r="66" spans="1:36" ht="13.4" customHeight="1">
      <c r="A66" s="403">
        <f>COUNTIF(C65:AG65,"★")</f>
        <v>4</v>
      </c>
      <c r="B66" s="24"/>
      <c r="C66" s="175" t="s">
        <v>253</v>
      </c>
      <c r="D66" s="175" t="s">
        <v>254</v>
      </c>
      <c r="E66" s="141" t="s">
        <v>236</v>
      </c>
      <c r="F66" s="141" t="s">
        <v>255</v>
      </c>
      <c r="G66" s="141" t="s">
        <v>199</v>
      </c>
      <c r="H66" s="156"/>
      <c r="I66" s="141"/>
      <c r="J66" s="175"/>
      <c r="K66" s="175" t="s">
        <v>155</v>
      </c>
      <c r="L66" s="141" t="s">
        <v>183</v>
      </c>
      <c r="M66" s="141" t="s">
        <v>236</v>
      </c>
      <c r="N66" s="141"/>
      <c r="O66" s="156" t="s">
        <v>127</v>
      </c>
      <c r="P66" s="141"/>
      <c r="Q66" s="141" t="s">
        <v>237</v>
      </c>
      <c r="R66" s="141"/>
      <c r="S66" s="141" t="s">
        <v>199</v>
      </c>
      <c r="T66" s="141" t="s">
        <v>113</v>
      </c>
      <c r="U66" s="141"/>
      <c r="V66" s="156"/>
      <c r="W66" s="141" t="s">
        <v>199</v>
      </c>
      <c r="X66" s="141" t="s">
        <v>199</v>
      </c>
      <c r="Y66" s="141"/>
      <c r="Z66" s="141"/>
      <c r="AA66" s="141"/>
      <c r="AB66" s="141" t="s">
        <v>199</v>
      </c>
      <c r="AC66" s="156" t="s">
        <v>182</v>
      </c>
      <c r="AD66" s="141"/>
      <c r="AE66" s="141"/>
      <c r="AF66" s="141"/>
      <c r="AG66" s="253"/>
      <c r="AH66" s="296"/>
      <c r="AI66" s="404"/>
      <c r="AJ66" s="404"/>
    </row>
    <row r="67" spans="1:36" ht="13.4" customHeight="1">
      <c r="A67" s="403">
        <f>COUNTIF(C67:AG67,"★★")</f>
        <v>4</v>
      </c>
      <c r="B67" s="23" t="s">
        <v>256</v>
      </c>
      <c r="C67" s="123"/>
      <c r="D67" s="123" t="s">
        <v>899</v>
      </c>
      <c r="E67" s="123" t="s">
        <v>257</v>
      </c>
      <c r="F67" s="123" t="s">
        <v>75</v>
      </c>
      <c r="G67" s="123" t="s">
        <v>20</v>
      </c>
      <c r="H67" s="157" t="s">
        <v>151</v>
      </c>
      <c r="I67" s="123" t="s">
        <v>130</v>
      </c>
      <c r="J67" s="123" t="s">
        <v>220</v>
      </c>
      <c r="K67" s="123" t="s">
        <v>69</v>
      </c>
      <c r="L67" s="123" t="s">
        <v>257</v>
      </c>
      <c r="M67" s="123" t="s">
        <v>240</v>
      </c>
      <c r="N67" s="123" t="s">
        <v>71</v>
      </c>
      <c r="O67" s="157" t="s">
        <v>80</v>
      </c>
      <c r="P67" s="123" t="s">
        <v>102</v>
      </c>
      <c r="Q67" s="123" t="s">
        <v>20</v>
      </c>
      <c r="R67" s="123" t="s">
        <v>183</v>
      </c>
      <c r="S67" s="123" t="s">
        <v>80</v>
      </c>
      <c r="T67" s="123" t="s">
        <v>101</v>
      </c>
      <c r="U67" s="123" t="s">
        <v>240</v>
      </c>
      <c r="V67" s="157" t="s">
        <v>102</v>
      </c>
      <c r="W67" s="123" t="s">
        <v>183</v>
      </c>
      <c r="X67" s="123" t="s">
        <v>70</v>
      </c>
      <c r="Y67" s="123" t="s">
        <v>69</v>
      </c>
      <c r="Z67" s="123" t="s">
        <v>133</v>
      </c>
      <c r="AA67" s="123" t="s">
        <v>204</v>
      </c>
      <c r="AB67" s="123" t="s">
        <v>101</v>
      </c>
      <c r="AC67" s="157" t="s">
        <v>101</v>
      </c>
      <c r="AD67" s="123" t="s">
        <v>102</v>
      </c>
      <c r="AE67" s="123" t="s">
        <v>204</v>
      </c>
      <c r="AF67" s="123" t="s">
        <v>204</v>
      </c>
      <c r="AG67" s="244"/>
      <c r="AH67" s="293" t="s">
        <v>258</v>
      </c>
      <c r="AI67" s="404" t="s">
        <v>135</v>
      </c>
      <c r="AJ67" s="404" t="s">
        <v>207</v>
      </c>
    </row>
    <row r="68" spans="1:36" ht="13.4" customHeight="1">
      <c r="A68" s="403">
        <f>COUNTIF(C67:AG67,"★")</f>
        <v>4</v>
      </c>
      <c r="B68" s="24"/>
      <c r="C68" s="124" t="s">
        <v>99</v>
      </c>
      <c r="D68" s="124"/>
      <c r="E68" s="124"/>
      <c r="F68" s="124" t="s">
        <v>187</v>
      </c>
      <c r="G68" s="124" t="s">
        <v>187</v>
      </c>
      <c r="H68" s="158"/>
      <c r="I68" s="124"/>
      <c r="J68" s="124"/>
      <c r="K68" s="124" t="s">
        <v>145</v>
      </c>
      <c r="L68" s="124"/>
      <c r="M68" s="124" t="s">
        <v>259</v>
      </c>
      <c r="N68" s="124" t="s">
        <v>187</v>
      </c>
      <c r="O68" s="158" t="s">
        <v>237</v>
      </c>
      <c r="P68" s="124"/>
      <c r="Q68" s="124" t="s">
        <v>187</v>
      </c>
      <c r="R68" s="289"/>
      <c r="S68" s="124" t="s">
        <v>187</v>
      </c>
      <c r="T68" s="124"/>
      <c r="U68" s="124" t="s">
        <v>183</v>
      </c>
      <c r="V68" s="158"/>
      <c r="W68" s="124"/>
      <c r="X68" s="124" t="s">
        <v>260</v>
      </c>
      <c r="Y68" s="124" t="s">
        <v>261</v>
      </c>
      <c r="Z68" s="124" t="s">
        <v>137</v>
      </c>
      <c r="AA68" s="124"/>
      <c r="AB68" s="124"/>
      <c r="AC68" s="158"/>
      <c r="AD68" s="124"/>
      <c r="AE68" s="124"/>
      <c r="AF68" s="124"/>
      <c r="AG68" s="245"/>
      <c r="AH68" s="296"/>
      <c r="AI68" s="404"/>
      <c r="AJ68" s="404"/>
    </row>
    <row r="69" spans="1:36" ht="13.4" customHeight="1">
      <c r="A69" s="403">
        <f>COUNTIF(C69:AG69,"★★")</f>
        <v>4</v>
      </c>
      <c r="B69" s="23" t="s">
        <v>262</v>
      </c>
      <c r="C69" s="121" t="s">
        <v>194</v>
      </c>
      <c r="D69" s="121" t="s">
        <v>149</v>
      </c>
      <c r="E69" s="121" t="s">
        <v>149</v>
      </c>
      <c r="F69" s="121" t="s">
        <v>16</v>
      </c>
      <c r="G69" s="121" t="s">
        <v>20</v>
      </c>
      <c r="H69" s="159" t="s">
        <v>151</v>
      </c>
      <c r="I69" s="121" t="s">
        <v>130</v>
      </c>
      <c r="J69" s="121" t="s">
        <v>220</v>
      </c>
      <c r="K69" s="121" t="s">
        <v>264</v>
      </c>
      <c r="L69" s="121" t="s">
        <v>263</v>
      </c>
      <c r="M69" s="121" t="s">
        <v>264</v>
      </c>
      <c r="N69" s="121" t="s">
        <v>204</v>
      </c>
      <c r="O69" s="159" t="s">
        <v>151</v>
      </c>
      <c r="P69" s="121" t="s">
        <v>130</v>
      </c>
      <c r="Q69" s="121" t="s">
        <v>30</v>
      </c>
      <c r="R69" s="121" t="s">
        <v>204</v>
      </c>
      <c r="S69" s="121" t="s">
        <v>4</v>
      </c>
      <c r="T69" s="121" t="s">
        <v>204</v>
      </c>
      <c r="U69" s="121" t="s">
        <v>167</v>
      </c>
      <c r="V69" s="159" t="s">
        <v>102</v>
      </c>
      <c r="W69" s="121" t="s">
        <v>167</v>
      </c>
      <c r="X69" s="121" t="s">
        <v>70</v>
      </c>
      <c r="Y69" s="121" t="s">
        <v>101</v>
      </c>
      <c r="Z69" s="121" t="s">
        <v>147</v>
      </c>
      <c r="AA69" s="121" t="s">
        <v>204</v>
      </c>
      <c r="AB69" s="121" t="s">
        <v>29</v>
      </c>
      <c r="AC69" s="159" t="s">
        <v>151</v>
      </c>
      <c r="AD69" s="121" t="s">
        <v>130</v>
      </c>
      <c r="AE69" s="121" t="s">
        <v>204</v>
      </c>
      <c r="AF69" s="121" t="s">
        <v>204</v>
      </c>
      <c r="AG69" s="254"/>
      <c r="AH69" s="293" t="s">
        <v>265</v>
      </c>
      <c r="AI69" s="404" t="s">
        <v>206</v>
      </c>
      <c r="AJ69" s="404" t="s">
        <v>207</v>
      </c>
    </row>
    <row r="70" spans="1:36" ht="13.4" customHeight="1">
      <c r="A70" s="403">
        <f>COUNTIF(C69:AG69,"★")</f>
        <v>4</v>
      </c>
      <c r="B70" s="24"/>
      <c r="C70" s="122" t="s">
        <v>172</v>
      </c>
      <c r="D70" s="122" t="s">
        <v>198</v>
      </c>
      <c r="E70" s="122" t="s">
        <v>155</v>
      </c>
      <c r="F70" s="122" t="s">
        <v>172</v>
      </c>
      <c r="G70" s="122" t="s">
        <v>172</v>
      </c>
      <c r="H70" s="160"/>
      <c r="I70" s="122"/>
      <c r="J70" s="122" t="s">
        <v>156</v>
      </c>
      <c r="K70" s="122" t="s">
        <v>183</v>
      </c>
      <c r="L70" s="122"/>
      <c r="M70" s="122"/>
      <c r="N70" s="122"/>
      <c r="O70" s="160"/>
      <c r="P70" s="122"/>
      <c r="Q70" s="122" t="s">
        <v>172</v>
      </c>
      <c r="R70" s="122"/>
      <c r="S70" s="122" t="s">
        <v>172</v>
      </c>
      <c r="T70" s="122"/>
      <c r="U70" s="122" t="s">
        <v>183</v>
      </c>
      <c r="V70" s="160"/>
      <c r="W70" s="122" t="s">
        <v>183</v>
      </c>
      <c r="X70" s="122" t="s">
        <v>172</v>
      </c>
      <c r="Y70" s="122"/>
      <c r="Z70" s="122"/>
      <c r="AA70" s="122"/>
      <c r="AB70" s="122" t="s">
        <v>172</v>
      </c>
      <c r="AC70" s="160"/>
      <c r="AD70" s="122"/>
      <c r="AE70" s="122"/>
      <c r="AF70" s="122"/>
      <c r="AG70" s="255"/>
      <c r="AH70" s="296"/>
      <c r="AI70" s="404"/>
      <c r="AJ70" s="404"/>
    </row>
    <row r="71" spans="1:36" ht="13.4" customHeight="1">
      <c r="A71" s="403">
        <f>COUNTIF(C71:AG71,"★★")</f>
        <v>4</v>
      </c>
      <c r="B71" s="23" t="s">
        <v>266</v>
      </c>
      <c r="C71" s="123" t="s">
        <v>237</v>
      </c>
      <c r="D71" s="123" t="s">
        <v>899</v>
      </c>
      <c r="E71" s="123" t="s">
        <v>183</v>
      </c>
      <c r="F71" s="123" t="s">
        <v>211</v>
      </c>
      <c r="G71" s="123" t="s">
        <v>20</v>
      </c>
      <c r="H71" s="157" t="s">
        <v>101</v>
      </c>
      <c r="I71" s="123" t="s">
        <v>102</v>
      </c>
      <c r="J71" s="123" t="s">
        <v>220</v>
      </c>
      <c r="K71" s="123" t="s">
        <v>62</v>
      </c>
      <c r="L71" s="123" t="s">
        <v>75</v>
      </c>
      <c r="M71" s="123" t="s">
        <v>240</v>
      </c>
      <c r="N71" s="123" t="s">
        <v>20</v>
      </c>
      <c r="O71" s="157" t="s">
        <v>26</v>
      </c>
      <c r="P71" s="123" t="s">
        <v>102</v>
      </c>
      <c r="Q71" s="123" t="s">
        <v>151</v>
      </c>
      <c r="R71" s="123" t="s">
        <v>183</v>
      </c>
      <c r="S71" s="123" t="s">
        <v>177</v>
      </c>
      <c r="T71" s="123" t="s">
        <v>220</v>
      </c>
      <c r="U71" s="123" t="s">
        <v>240</v>
      </c>
      <c r="V71" s="157" t="s">
        <v>102</v>
      </c>
      <c r="W71" s="123" t="s">
        <v>183</v>
      </c>
      <c r="X71" s="123" t="s">
        <v>70</v>
      </c>
      <c r="Y71" s="123" t="s">
        <v>101</v>
      </c>
      <c r="Z71" s="123" t="s">
        <v>133</v>
      </c>
      <c r="AA71" s="123" t="s">
        <v>232</v>
      </c>
      <c r="AB71" s="123" t="s">
        <v>29</v>
      </c>
      <c r="AC71" s="157" t="s">
        <v>151</v>
      </c>
      <c r="AD71" s="123" t="s">
        <v>102</v>
      </c>
      <c r="AE71" s="123" t="s">
        <v>92</v>
      </c>
      <c r="AF71" s="123" t="s">
        <v>92</v>
      </c>
      <c r="AG71" s="244"/>
      <c r="AH71" s="293" t="s">
        <v>267</v>
      </c>
      <c r="AI71" s="404" t="s">
        <v>135</v>
      </c>
      <c r="AJ71" s="404" t="s">
        <v>207</v>
      </c>
    </row>
    <row r="72" spans="1:36" ht="13.4" customHeight="1">
      <c r="A72" s="403">
        <f>COUNTIF(C71:AG71,"★")</f>
        <v>4</v>
      </c>
      <c r="B72" s="24"/>
      <c r="C72" s="124"/>
      <c r="D72" s="124"/>
      <c r="E72" s="124"/>
      <c r="F72" s="124" t="s">
        <v>187</v>
      </c>
      <c r="G72" s="124" t="s">
        <v>190</v>
      </c>
      <c r="H72" s="158"/>
      <c r="I72" s="124"/>
      <c r="J72" s="124"/>
      <c r="K72" s="124" t="s">
        <v>187</v>
      </c>
      <c r="L72" s="124" t="s">
        <v>187</v>
      </c>
      <c r="M72" s="124" t="s">
        <v>259</v>
      </c>
      <c r="N72" s="124" t="s">
        <v>187</v>
      </c>
      <c r="O72" s="158" t="s">
        <v>187</v>
      </c>
      <c r="P72" s="124"/>
      <c r="Q72" s="124"/>
      <c r="R72" s="124"/>
      <c r="S72" s="124" t="s">
        <v>268</v>
      </c>
      <c r="T72" s="124"/>
      <c r="U72" s="124" t="s">
        <v>183</v>
      </c>
      <c r="V72" s="158"/>
      <c r="W72" s="124"/>
      <c r="X72" s="124" t="s">
        <v>187</v>
      </c>
      <c r="Y72" s="124"/>
      <c r="Z72" s="124" t="s">
        <v>137</v>
      </c>
      <c r="AA72" s="124" t="s">
        <v>145</v>
      </c>
      <c r="AB72" s="124" t="s">
        <v>187</v>
      </c>
      <c r="AC72" s="158"/>
      <c r="AD72" s="124"/>
      <c r="AE72" s="124"/>
      <c r="AF72" s="124"/>
      <c r="AG72" s="245"/>
      <c r="AH72" s="296"/>
      <c r="AI72" s="404"/>
      <c r="AJ72" s="404"/>
    </row>
    <row r="73" spans="1:36" ht="13.4" customHeight="1">
      <c r="A73" s="403">
        <f>COUNTIF(C73:AG73,"★★")</f>
        <v>4</v>
      </c>
      <c r="B73" s="23" t="s">
        <v>269</v>
      </c>
      <c r="C73" s="136" t="s">
        <v>60</v>
      </c>
      <c r="D73" s="136" t="s">
        <v>20</v>
      </c>
      <c r="E73" s="136" t="s">
        <v>20</v>
      </c>
      <c r="F73" s="136" t="s">
        <v>220</v>
      </c>
      <c r="G73" s="136" t="s">
        <v>149</v>
      </c>
      <c r="H73" s="153" t="s">
        <v>101</v>
      </c>
      <c r="I73" s="136" t="s">
        <v>102</v>
      </c>
      <c r="J73" s="136" t="s">
        <v>220</v>
      </c>
      <c r="K73" s="136" t="s">
        <v>27</v>
      </c>
      <c r="L73" s="136" t="s">
        <v>20</v>
      </c>
      <c r="M73" s="136" t="s">
        <v>70</v>
      </c>
      <c r="N73" s="136"/>
      <c r="O73" s="153"/>
      <c r="P73" s="136" t="s">
        <v>102</v>
      </c>
      <c r="Q73" s="136" t="s">
        <v>60</v>
      </c>
      <c r="R73" s="136"/>
      <c r="S73" s="136" t="s">
        <v>25</v>
      </c>
      <c r="T73" s="136" t="s">
        <v>151</v>
      </c>
      <c r="U73" s="136"/>
      <c r="V73" s="153" t="s">
        <v>70</v>
      </c>
      <c r="W73" s="136" t="s">
        <v>70</v>
      </c>
      <c r="X73" s="136" t="s">
        <v>70</v>
      </c>
      <c r="Y73" s="136" t="s">
        <v>27</v>
      </c>
      <c r="Z73" s="136" t="s">
        <v>101</v>
      </c>
      <c r="AA73" s="136" t="s">
        <v>102</v>
      </c>
      <c r="AB73" s="136" t="s">
        <v>20</v>
      </c>
      <c r="AC73" s="153" t="s">
        <v>19</v>
      </c>
      <c r="AD73" s="136" t="s">
        <v>102</v>
      </c>
      <c r="AE73" s="136" t="s">
        <v>60</v>
      </c>
      <c r="AF73" s="136" t="s">
        <v>101</v>
      </c>
      <c r="AG73" s="246"/>
      <c r="AH73" s="293" t="s">
        <v>270</v>
      </c>
      <c r="AI73" s="404" t="s">
        <v>179</v>
      </c>
      <c r="AJ73" s="404" t="s">
        <v>207</v>
      </c>
    </row>
    <row r="74" spans="1:36" ht="13.4" customHeight="1">
      <c r="A74" s="403">
        <f>COUNTIF(C73:AG73,"★")</f>
        <v>4</v>
      </c>
      <c r="B74" s="24"/>
      <c r="C74" s="137" t="s">
        <v>174</v>
      </c>
      <c r="D74" s="137" t="s">
        <v>174</v>
      </c>
      <c r="E74" s="137" t="s">
        <v>174</v>
      </c>
      <c r="F74" s="137"/>
      <c r="G74" s="137" t="s">
        <v>198</v>
      </c>
      <c r="H74" s="154" t="s">
        <v>136</v>
      </c>
      <c r="I74" s="137" t="s">
        <v>127</v>
      </c>
      <c r="J74" s="137" t="s">
        <v>127</v>
      </c>
      <c r="K74" s="137" t="s">
        <v>174</v>
      </c>
      <c r="L74" s="137" t="s">
        <v>174</v>
      </c>
      <c r="M74" s="137" t="s">
        <v>243</v>
      </c>
      <c r="N74" s="137" t="s">
        <v>271</v>
      </c>
      <c r="O74" s="154" t="s">
        <v>271</v>
      </c>
      <c r="P74" s="137"/>
      <c r="Q74" s="137" t="s">
        <v>174</v>
      </c>
      <c r="R74" s="137"/>
      <c r="S74" s="137" t="s">
        <v>174</v>
      </c>
      <c r="T74" s="137"/>
      <c r="U74" s="137"/>
      <c r="V74" s="154" t="s">
        <v>174</v>
      </c>
      <c r="W74" s="137" t="s">
        <v>174</v>
      </c>
      <c r="X74" s="137" t="s">
        <v>174</v>
      </c>
      <c r="Y74" s="137" t="s">
        <v>174</v>
      </c>
      <c r="Z74" s="137"/>
      <c r="AA74" s="137"/>
      <c r="AB74" s="137" t="s">
        <v>174</v>
      </c>
      <c r="AC74" s="154" t="s">
        <v>180</v>
      </c>
      <c r="AD74" s="137"/>
      <c r="AE74" s="137" t="s">
        <v>174</v>
      </c>
      <c r="AF74" s="137"/>
      <c r="AG74" s="247"/>
      <c r="AH74" s="296"/>
      <c r="AI74" s="404"/>
      <c r="AJ74" s="404"/>
    </row>
    <row r="75" spans="1:36" ht="13.4" customHeight="1">
      <c r="A75" s="403">
        <f>COUNTIF(C75:AG75,"★★")</f>
        <v>4</v>
      </c>
      <c r="B75" s="23" t="s">
        <v>272</v>
      </c>
      <c r="C75" s="144" t="s">
        <v>250</v>
      </c>
      <c r="D75" s="144" t="s">
        <v>20</v>
      </c>
      <c r="E75" s="140" t="s">
        <v>67</v>
      </c>
      <c r="F75" s="140"/>
      <c r="G75" s="140" t="s">
        <v>63</v>
      </c>
      <c r="H75" s="155" t="s">
        <v>130</v>
      </c>
      <c r="I75" s="140" t="s">
        <v>84</v>
      </c>
      <c r="J75" s="144" t="s">
        <v>151</v>
      </c>
      <c r="K75" s="144" t="s">
        <v>69</v>
      </c>
      <c r="L75" s="140" t="s">
        <v>64</v>
      </c>
      <c r="M75" s="140" t="s">
        <v>240</v>
      </c>
      <c r="N75" s="140" t="s">
        <v>71</v>
      </c>
      <c r="O75" s="155" t="s">
        <v>101</v>
      </c>
      <c r="P75" s="140" t="s">
        <v>102</v>
      </c>
      <c r="Q75" s="140" t="s">
        <v>85</v>
      </c>
      <c r="R75" s="140" t="s">
        <v>85</v>
      </c>
      <c r="S75" s="140" t="s">
        <v>177</v>
      </c>
      <c r="T75" s="140" t="s">
        <v>63</v>
      </c>
      <c r="U75" s="140" t="s">
        <v>120</v>
      </c>
      <c r="V75" s="155" t="s">
        <v>68</v>
      </c>
      <c r="W75" s="140" t="s">
        <v>70</v>
      </c>
      <c r="X75" s="140" t="s">
        <v>70</v>
      </c>
      <c r="Y75" s="140" t="s">
        <v>102</v>
      </c>
      <c r="Z75" s="140" t="s">
        <v>101</v>
      </c>
      <c r="AA75" s="140" t="s">
        <v>273</v>
      </c>
      <c r="AB75" s="140" t="s">
        <v>273</v>
      </c>
      <c r="AC75" s="155" t="s">
        <v>102</v>
      </c>
      <c r="AD75" s="140" t="s">
        <v>84</v>
      </c>
      <c r="AE75" s="140" t="s">
        <v>204</v>
      </c>
      <c r="AF75" s="140" t="s">
        <v>101</v>
      </c>
      <c r="AG75" s="252"/>
      <c r="AH75" s="293" t="s">
        <v>274</v>
      </c>
      <c r="AI75" s="404" t="s">
        <v>122</v>
      </c>
      <c r="AJ75" s="404" t="s">
        <v>207</v>
      </c>
    </row>
    <row r="76" spans="1:36" ht="13.4" customHeight="1">
      <c r="A76" s="403">
        <f>COUNTIF(C75:AG75,"★")</f>
        <v>4</v>
      </c>
      <c r="B76" s="24"/>
      <c r="C76" s="175" t="s">
        <v>253</v>
      </c>
      <c r="D76" s="175" t="s">
        <v>199</v>
      </c>
      <c r="E76" s="141" t="s">
        <v>199</v>
      </c>
      <c r="F76" s="141"/>
      <c r="G76" s="141" t="s">
        <v>154</v>
      </c>
      <c r="H76" s="156"/>
      <c r="I76" s="141" t="s">
        <v>199</v>
      </c>
      <c r="J76" s="175"/>
      <c r="K76" s="175" t="s">
        <v>154</v>
      </c>
      <c r="L76" s="141" t="s">
        <v>154</v>
      </c>
      <c r="M76" s="141" t="s">
        <v>199</v>
      </c>
      <c r="N76" s="141" t="s">
        <v>199</v>
      </c>
      <c r="O76" s="156"/>
      <c r="P76" s="141"/>
      <c r="Q76" s="141" t="s">
        <v>907</v>
      </c>
      <c r="R76" s="141" t="s">
        <v>908</v>
      </c>
      <c r="S76" s="141" t="s">
        <v>199</v>
      </c>
      <c r="T76" s="141" t="s">
        <v>199</v>
      </c>
      <c r="U76" s="141"/>
      <c r="V76" s="156" t="s">
        <v>199</v>
      </c>
      <c r="W76" s="141" t="s">
        <v>199</v>
      </c>
      <c r="X76" s="141" t="s">
        <v>199</v>
      </c>
      <c r="Y76" s="141" t="s">
        <v>127</v>
      </c>
      <c r="Z76" s="141" t="s">
        <v>127</v>
      </c>
      <c r="AA76" s="141" t="s">
        <v>275</v>
      </c>
      <c r="AB76" s="141" t="s">
        <v>276</v>
      </c>
      <c r="AC76" s="156"/>
      <c r="AD76" s="141" t="s">
        <v>199</v>
      </c>
      <c r="AE76" s="141"/>
      <c r="AF76" s="141" t="s">
        <v>127</v>
      </c>
      <c r="AG76" s="253"/>
      <c r="AH76" s="296"/>
      <c r="AI76" s="404"/>
      <c r="AJ76" s="404"/>
    </row>
    <row r="77" spans="1:36" ht="13.4" customHeight="1">
      <c r="A77" s="403">
        <f>COUNTIF(C77:AG77,"★★")</f>
        <v>4</v>
      </c>
      <c r="B77" s="23" t="s">
        <v>277</v>
      </c>
      <c r="C77" s="140" t="s">
        <v>99</v>
      </c>
      <c r="D77" s="140" t="s">
        <v>62</v>
      </c>
      <c r="E77" s="140" t="s">
        <v>149</v>
      </c>
      <c r="F77" s="140" t="s">
        <v>75</v>
      </c>
      <c r="G77" s="140" t="s">
        <v>278</v>
      </c>
      <c r="H77" s="155" t="s">
        <v>130</v>
      </c>
      <c r="I77" s="140" t="s">
        <v>84</v>
      </c>
      <c r="J77" s="140" t="s">
        <v>151</v>
      </c>
      <c r="K77" s="140" t="s">
        <v>229</v>
      </c>
      <c r="L77" s="140" t="s">
        <v>279</v>
      </c>
      <c r="M77" s="140" t="s">
        <v>240</v>
      </c>
      <c r="N77" s="140" t="s">
        <v>71</v>
      </c>
      <c r="O77" s="155" t="s">
        <v>101</v>
      </c>
      <c r="P77" s="140" t="s">
        <v>102</v>
      </c>
      <c r="Q77" s="140"/>
      <c r="R77" s="140" t="s">
        <v>20</v>
      </c>
      <c r="S77" s="140" t="s">
        <v>80</v>
      </c>
      <c r="T77" s="140" t="s">
        <v>63</v>
      </c>
      <c r="U77" s="140" t="s">
        <v>120</v>
      </c>
      <c r="V77" s="155" t="s">
        <v>102</v>
      </c>
      <c r="W77" s="140" t="s">
        <v>280</v>
      </c>
      <c r="X77" s="140" t="s">
        <v>70</v>
      </c>
      <c r="Y77" s="140" t="s">
        <v>69</v>
      </c>
      <c r="Z77" s="140" t="s">
        <v>101</v>
      </c>
      <c r="AA77" s="140" t="s">
        <v>232</v>
      </c>
      <c r="AB77" s="140" t="s">
        <v>71</v>
      </c>
      <c r="AC77" s="155" t="s">
        <v>130</v>
      </c>
      <c r="AD77" s="140" t="s">
        <v>241</v>
      </c>
      <c r="AE77" s="140" t="s">
        <v>151</v>
      </c>
      <c r="AF77" s="140"/>
      <c r="AG77" s="252"/>
      <c r="AH77" s="293" t="s">
        <v>281</v>
      </c>
      <c r="AI77" s="404" t="s">
        <v>122</v>
      </c>
      <c r="AJ77" s="404" t="s">
        <v>207</v>
      </c>
    </row>
    <row r="78" spans="1:36" ht="13.4" customHeight="1">
      <c r="A78" s="403">
        <f>COUNTIF(C77:AG77,"★")</f>
        <v>4</v>
      </c>
      <c r="B78" s="24"/>
      <c r="C78" s="141"/>
      <c r="D78" s="141" t="s">
        <v>199</v>
      </c>
      <c r="E78" s="141" t="s">
        <v>198</v>
      </c>
      <c r="F78" s="141" t="s">
        <v>199</v>
      </c>
      <c r="G78" s="141" t="s">
        <v>282</v>
      </c>
      <c r="H78" s="156"/>
      <c r="I78" s="141" t="s">
        <v>199</v>
      </c>
      <c r="J78" s="141"/>
      <c r="K78" s="141" t="s">
        <v>199</v>
      </c>
      <c r="L78" s="141" t="s">
        <v>127</v>
      </c>
      <c r="M78" s="141" t="s">
        <v>199</v>
      </c>
      <c r="N78" s="141" t="s">
        <v>199</v>
      </c>
      <c r="O78" s="156"/>
      <c r="P78" s="141"/>
      <c r="Q78" s="141"/>
      <c r="R78" s="141" t="s">
        <v>199</v>
      </c>
      <c r="S78" s="141" t="s">
        <v>199</v>
      </c>
      <c r="T78" s="141" t="s">
        <v>199</v>
      </c>
      <c r="U78" s="141"/>
      <c r="V78" s="156"/>
      <c r="W78" s="141" t="s">
        <v>183</v>
      </c>
      <c r="X78" s="141" t="s">
        <v>199</v>
      </c>
      <c r="Y78" s="141" t="s">
        <v>199</v>
      </c>
      <c r="Z78" s="141"/>
      <c r="AA78" s="141" t="s">
        <v>199</v>
      </c>
      <c r="AB78" s="141" t="s">
        <v>199</v>
      </c>
      <c r="AC78" s="156"/>
      <c r="AD78" s="141" t="s">
        <v>199</v>
      </c>
      <c r="AE78" s="141"/>
      <c r="AF78" s="141"/>
      <c r="AG78" s="253"/>
      <c r="AH78" s="296"/>
      <c r="AI78" s="404"/>
      <c r="AJ78" s="404"/>
    </row>
    <row r="79" spans="1:36" ht="13.4" customHeight="1">
      <c r="A79" s="403">
        <f>COUNTIF(C79:AG79,"★★")</f>
        <v>4</v>
      </c>
      <c r="B79" s="518" t="s">
        <v>283</v>
      </c>
      <c r="C79" s="140" t="s">
        <v>99</v>
      </c>
      <c r="D79" s="140" t="s">
        <v>20</v>
      </c>
      <c r="E79" s="140" t="s">
        <v>67</v>
      </c>
      <c r="F79" s="140" t="s">
        <v>75</v>
      </c>
      <c r="G79" s="140" t="s">
        <v>63</v>
      </c>
      <c r="H79" s="155" t="s">
        <v>101</v>
      </c>
      <c r="I79" s="140" t="s">
        <v>102</v>
      </c>
      <c r="J79" s="140"/>
      <c r="K79" s="140" t="s">
        <v>69</v>
      </c>
      <c r="L79" s="140" t="s">
        <v>64</v>
      </c>
      <c r="M79" s="140" t="s">
        <v>240</v>
      </c>
      <c r="N79" s="140" t="s">
        <v>71</v>
      </c>
      <c r="O79" s="155" t="s">
        <v>101</v>
      </c>
      <c r="P79" s="140" t="s">
        <v>102</v>
      </c>
      <c r="Q79" s="140" t="s">
        <v>30</v>
      </c>
      <c r="R79" s="140" t="s">
        <v>20</v>
      </c>
      <c r="S79" s="140" t="s">
        <v>177</v>
      </c>
      <c r="T79" s="140" t="s">
        <v>251</v>
      </c>
      <c r="U79" s="140" t="s">
        <v>120</v>
      </c>
      <c r="V79" s="155" t="s">
        <v>102</v>
      </c>
      <c r="W79" s="140" t="s">
        <v>280</v>
      </c>
      <c r="X79" s="140" t="s">
        <v>101</v>
      </c>
      <c r="Y79" s="140" t="s">
        <v>69</v>
      </c>
      <c r="Z79" s="140"/>
      <c r="AA79" s="140" t="s">
        <v>232</v>
      </c>
      <c r="AB79" s="140" t="s">
        <v>71</v>
      </c>
      <c r="AC79" s="155" t="s">
        <v>101</v>
      </c>
      <c r="AD79" s="140" t="s">
        <v>102</v>
      </c>
      <c r="AE79" s="140" t="s">
        <v>20</v>
      </c>
      <c r="AF79" s="140" t="s">
        <v>62</v>
      </c>
      <c r="AG79" s="252"/>
      <c r="AH79" s="293" t="s">
        <v>284</v>
      </c>
      <c r="AI79" s="404" t="s">
        <v>122</v>
      </c>
      <c r="AJ79" s="404" t="s">
        <v>207</v>
      </c>
    </row>
    <row r="80" spans="1:36" ht="13.4" customHeight="1">
      <c r="A80" s="403">
        <f>COUNTIF(C79:AG79,"★")</f>
        <v>4</v>
      </c>
      <c r="B80" s="303"/>
      <c r="C80" s="141"/>
      <c r="D80" s="141" t="s">
        <v>199</v>
      </c>
      <c r="E80" s="141" t="s">
        <v>199</v>
      </c>
      <c r="F80" s="141" t="s">
        <v>199</v>
      </c>
      <c r="G80" s="141" t="s">
        <v>199</v>
      </c>
      <c r="H80" s="156" t="s">
        <v>136</v>
      </c>
      <c r="I80" s="141" t="s">
        <v>127</v>
      </c>
      <c r="J80" s="141"/>
      <c r="K80" s="141" t="s">
        <v>199</v>
      </c>
      <c r="L80" s="141" t="s">
        <v>199</v>
      </c>
      <c r="M80" s="141" t="s">
        <v>199</v>
      </c>
      <c r="N80" s="141" t="s">
        <v>199</v>
      </c>
      <c r="O80" s="156"/>
      <c r="P80" s="141"/>
      <c r="Q80" s="141" t="s">
        <v>199</v>
      </c>
      <c r="R80" s="365" t="s">
        <v>199</v>
      </c>
      <c r="S80" s="141" t="s">
        <v>199</v>
      </c>
      <c r="T80" s="141" t="s">
        <v>285</v>
      </c>
      <c r="U80" s="141"/>
      <c r="V80" s="156"/>
      <c r="W80" s="141" t="s">
        <v>183</v>
      </c>
      <c r="X80" s="141"/>
      <c r="Y80" s="141" t="s">
        <v>199</v>
      </c>
      <c r="Z80" s="141"/>
      <c r="AA80" s="141" t="s">
        <v>286</v>
      </c>
      <c r="AB80" s="141" t="s">
        <v>199</v>
      </c>
      <c r="AC80" s="156"/>
      <c r="AD80" s="141"/>
      <c r="AE80" s="141" t="s">
        <v>199</v>
      </c>
      <c r="AF80" s="141" t="s">
        <v>199</v>
      </c>
      <c r="AG80" s="253"/>
      <c r="AH80" s="296"/>
      <c r="AI80" s="404"/>
      <c r="AJ80" s="404"/>
    </row>
    <row r="81" spans="1:36" ht="13.4" customHeight="1">
      <c r="A81" s="403">
        <f>COUNTIF(C81:AG81,"★★")</f>
        <v>4</v>
      </c>
      <c r="B81" s="23" t="s">
        <v>287</v>
      </c>
      <c r="C81" s="138" t="s">
        <v>119</v>
      </c>
      <c r="D81" s="138" t="s">
        <v>895</v>
      </c>
      <c r="E81" s="138"/>
      <c r="F81" s="138" t="s">
        <v>273</v>
      </c>
      <c r="G81" s="138" t="s">
        <v>129</v>
      </c>
      <c r="H81" s="151" t="s">
        <v>151</v>
      </c>
      <c r="I81" s="138" t="s">
        <v>102</v>
      </c>
      <c r="J81" s="138" t="s">
        <v>210</v>
      </c>
      <c r="K81" s="138"/>
      <c r="L81" s="138"/>
      <c r="M81" s="138" t="s">
        <v>87</v>
      </c>
      <c r="N81" s="138" t="s">
        <v>288</v>
      </c>
      <c r="O81" s="151" t="s">
        <v>118</v>
      </c>
      <c r="P81" s="138" t="s">
        <v>119</v>
      </c>
      <c r="Q81" s="138" t="s">
        <v>102</v>
      </c>
      <c r="R81" s="138" t="s">
        <v>101</v>
      </c>
      <c r="S81" s="138" t="s">
        <v>212</v>
      </c>
      <c r="T81" s="138" t="s">
        <v>212</v>
      </c>
      <c r="U81" s="138" t="s">
        <v>114</v>
      </c>
      <c r="V81" s="151" t="s">
        <v>102</v>
      </c>
      <c r="W81" s="138" t="s">
        <v>289</v>
      </c>
      <c r="X81" s="138" t="s">
        <v>101</v>
      </c>
      <c r="Y81" s="138" t="s">
        <v>118</v>
      </c>
      <c r="Z81" s="138" t="s">
        <v>119</v>
      </c>
      <c r="AA81" s="138"/>
      <c r="AB81" s="336" t="s">
        <v>129</v>
      </c>
      <c r="AC81" s="151" t="s">
        <v>101</v>
      </c>
      <c r="AD81" s="138" t="s">
        <v>102</v>
      </c>
      <c r="AE81" s="138" t="s">
        <v>210</v>
      </c>
      <c r="AF81" s="138" t="s">
        <v>220</v>
      </c>
      <c r="AG81" s="248"/>
      <c r="AH81" s="293" t="s">
        <v>290</v>
      </c>
      <c r="AI81" s="404" t="s">
        <v>107</v>
      </c>
      <c r="AJ81" s="404" t="s">
        <v>207</v>
      </c>
    </row>
    <row r="82" spans="1:36" ht="13.4" customHeight="1">
      <c r="A82" s="403">
        <f>COUNTIF(C81:AG81,"★")</f>
        <v>4</v>
      </c>
      <c r="B82" s="24"/>
      <c r="C82" s="139"/>
      <c r="D82" s="139"/>
      <c r="E82" s="139" t="s">
        <v>291</v>
      </c>
      <c r="F82" s="139" t="s">
        <v>155</v>
      </c>
      <c r="G82" s="139"/>
      <c r="H82" s="152"/>
      <c r="I82" s="139"/>
      <c r="J82" s="139"/>
      <c r="K82" s="139"/>
      <c r="L82" s="139" t="s">
        <v>291</v>
      </c>
      <c r="M82" s="139" t="s">
        <v>235</v>
      </c>
      <c r="N82" s="139"/>
      <c r="O82" s="152" t="s">
        <v>292</v>
      </c>
      <c r="P82" s="139" t="s">
        <v>293</v>
      </c>
      <c r="Q82" s="139"/>
      <c r="R82" s="139"/>
      <c r="S82" s="139" t="s">
        <v>216</v>
      </c>
      <c r="T82" s="139" t="s">
        <v>216</v>
      </c>
      <c r="U82" s="139"/>
      <c r="V82" s="152"/>
      <c r="W82" s="139" t="s">
        <v>216</v>
      </c>
      <c r="X82" s="139"/>
      <c r="Y82" s="139"/>
      <c r="Z82" s="139" t="s">
        <v>291</v>
      </c>
      <c r="AA82" s="139"/>
      <c r="AB82" s="337"/>
      <c r="AC82" s="152"/>
      <c r="AD82" s="139"/>
      <c r="AE82" s="139"/>
      <c r="AF82" s="139" t="s">
        <v>156</v>
      </c>
      <c r="AG82" s="249"/>
      <c r="AH82" s="296"/>
    </row>
    <row r="83" spans="1:36" ht="13.4" customHeight="1">
      <c r="A83" s="403">
        <f>COUNTIF(C83:AG83,"★★")</f>
        <v>4</v>
      </c>
      <c r="B83" s="23" t="s">
        <v>294</v>
      </c>
      <c r="C83" s="121" t="s">
        <v>53</v>
      </c>
      <c r="D83" s="121" t="s">
        <v>295</v>
      </c>
      <c r="E83" s="121" t="s">
        <v>263</v>
      </c>
      <c r="F83" s="121" t="s">
        <v>295</v>
      </c>
      <c r="G83" s="121" t="s">
        <v>295</v>
      </c>
      <c r="H83" s="159" t="s">
        <v>101</v>
      </c>
      <c r="I83" s="121" t="s">
        <v>102</v>
      </c>
      <c r="J83" s="121" t="s">
        <v>295</v>
      </c>
      <c r="K83" s="121" t="s">
        <v>295</v>
      </c>
      <c r="L83" s="121" t="s">
        <v>295</v>
      </c>
      <c r="M83" s="121" t="s">
        <v>295</v>
      </c>
      <c r="N83" s="121" t="s">
        <v>296</v>
      </c>
      <c r="O83" s="159" t="s">
        <v>101</v>
      </c>
      <c r="P83" s="121" t="s">
        <v>102</v>
      </c>
      <c r="Q83" s="121" t="s">
        <v>20</v>
      </c>
      <c r="R83" s="121" t="s">
        <v>4</v>
      </c>
      <c r="S83" s="121" t="s">
        <v>177</v>
      </c>
      <c r="T83" s="121" t="s">
        <v>20</v>
      </c>
      <c r="U83" s="121" t="s">
        <v>167</v>
      </c>
      <c r="V83" s="159" t="s">
        <v>102</v>
      </c>
      <c r="W83" s="121" t="s">
        <v>70</v>
      </c>
      <c r="X83" s="121" t="s">
        <v>70</v>
      </c>
      <c r="Y83" s="121" t="s">
        <v>101</v>
      </c>
      <c r="Z83" s="121" t="s">
        <v>147</v>
      </c>
      <c r="AA83" s="121" t="s">
        <v>232</v>
      </c>
      <c r="AB83" s="121" t="s">
        <v>168</v>
      </c>
      <c r="AC83" s="159" t="s">
        <v>19</v>
      </c>
      <c r="AD83" s="121" t="s">
        <v>130</v>
      </c>
      <c r="AE83" s="121" t="s">
        <v>151</v>
      </c>
      <c r="AF83" s="121" t="s">
        <v>220</v>
      </c>
      <c r="AG83" s="254"/>
      <c r="AH83" s="293" t="s">
        <v>297</v>
      </c>
      <c r="AI83" s="404" t="s">
        <v>206</v>
      </c>
      <c r="AJ83" s="404" t="s">
        <v>207</v>
      </c>
    </row>
    <row r="84" spans="1:36" ht="13.4" customHeight="1">
      <c r="A84" s="403">
        <f>COUNTIF(C83:AG83,"★")</f>
        <v>4</v>
      </c>
      <c r="B84" s="24"/>
      <c r="C84" s="122"/>
      <c r="D84" s="122"/>
      <c r="E84" s="122"/>
      <c r="F84" s="122"/>
      <c r="G84" s="122"/>
      <c r="H84" s="160"/>
      <c r="I84" s="122"/>
      <c r="J84" s="122"/>
      <c r="K84" s="122"/>
      <c r="L84" s="122"/>
      <c r="M84" s="122"/>
      <c r="N84" s="122"/>
      <c r="O84" s="160"/>
      <c r="P84" s="122"/>
      <c r="Q84" s="122" t="s">
        <v>172</v>
      </c>
      <c r="R84" s="122" t="s">
        <v>298</v>
      </c>
      <c r="S84" s="122" t="s">
        <v>172</v>
      </c>
      <c r="T84" s="122" t="s">
        <v>172</v>
      </c>
      <c r="U84" s="122" t="s">
        <v>183</v>
      </c>
      <c r="V84" s="160"/>
      <c r="W84" s="122"/>
      <c r="X84" s="122" t="s">
        <v>172</v>
      </c>
      <c r="Y84" s="122"/>
      <c r="Z84" s="122"/>
      <c r="AA84" s="122"/>
      <c r="AB84" s="122"/>
      <c r="AC84" s="160" t="s">
        <v>172</v>
      </c>
      <c r="AD84" s="122"/>
      <c r="AE84" s="122"/>
      <c r="AF84" s="122" t="s">
        <v>156</v>
      </c>
      <c r="AG84" s="255"/>
      <c r="AH84" s="296"/>
      <c r="AI84" s="404"/>
      <c r="AJ84" s="404"/>
    </row>
    <row r="85" spans="1:36" ht="13.4" customHeight="1">
      <c r="A85" s="403">
        <f>COUNTIF(C85:AG85,"★★")</f>
        <v>4</v>
      </c>
      <c r="B85" s="518" t="s">
        <v>299</v>
      </c>
      <c r="C85" s="140" t="s">
        <v>300</v>
      </c>
      <c r="D85" s="140" t="s">
        <v>300</v>
      </c>
      <c r="E85" s="140" t="s">
        <v>300</v>
      </c>
      <c r="F85" s="140" t="s">
        <v>75</v>
      </c>
      <c r="G85" s="140" t="s">
        <v>63</v>
      </c>
      <c r="H85" s="155" t="s">
        <v>130</v>
      </c>
      <c r="I85" s="140" t="s">
        <v>300</v>
      </c>
      <c r="J85" s="140" t="s">
        <v>300</v>
      </c>
      <c r="K85" s="140" t="s">
        <v>101</v>
      </c>
      <c r="L85" s="140" t="s">
        <v>64</v>
      </c>
      <c r="M85" s="140" t="s">
        <v>240</v>
      </c>
      <c r="N85" s="140" t="s">
        <v>71</v>
      </c>
      <c r="O85" s="155" t="s">
        <v>151</v>
      </c>
      <c r="P85" s="140" t="s">
        <v>130</v>
      </c>
      <c r="Q85" s="140" t="s">
        <v>30</v>
      </c>
      <c r="R85" s="140" t="s">
        <v>20</v>
      </c>
      <c r="S85" s="140" t="s">
        <v>177</v>
      </c>
      <c r="T85" s="140" t="s">
        <v>251</v>
      </c>
      <c r="U85" s="140" t="s">
        <v>120</v>
      </c>
      <c r="V85" s="155" t="s">
        <v>130</v>
      </c>
      <c r="W85" s="140" t="s">
        <v>280</v>
      </c>
      <c r="X85" s="140" t="s">
        <v>70</v>
      </c>
      <c r="Y85" s="140" t="s">
        <v>69</v>
      </c>
      <c r="Z85" s="140" t="s">
        <v>151</v>
      </c>
      <c r="AA85" s="140" t="s">
        <v>232</v>
      </c>
      <c r="AB85" s="140" t="s">
        <v>71</v>
      </c>
      <c r="AC85" s="155" t="s">
        <v>130</v>
      </c>
      <c r="AD85" s="140" t="s">
        <v>84</v>
      </c>
      <c r="AE85" s="140" t="s">
        <v>20</v>
      </c>
      <c r="AF85" s="140" t="s">
        <v>151</v>
      </c>
      <c r="AG85" s="252"/>
      <c r="AH85" s="293" t="s">
        <v>301</v>
      </c>
      <c r="AI85" s="404" t="s">
        <v>122</v>
      </c>
      <c r="AJ85" s="404" t="s">
        <v>207</v>
      </c>
    </row>
    <row r="86" spans="1:36" ht="13.4" customHeight="1">
      <c r="A86" s="403">
        <f>COUNTIF(C85:AG85,"★")</f>
        <v>4</v>
      </c>
      <c r="B86" s="303"/>
      <c r="C86" s="141" t="s">
        <v>302</v>
      </c>
      <c r="D86" s="141" t="s">
        <v>303</v>
      </c>
      <c r="E86" s="141" t="s">
        <v>304</v>
      </c>
      <c r="F86" s="141" t="s">
        <v>305</v>
      </c>
      <c r="G86" s="141" t="s">
        <v>305</v>
      </c>
      <c r="H86" s="156"/>
      <c r="I86" s="141" t="s">
        <v>306</v>
      </c>
      <c r="J86" s="141" t="s">
        <v>307</v>
      </c>
      <c r="K86" s="141"/>
      <c r="L86" s="141" t="s">
        <v>305</v>
      </c>
      <c r="M86" s="141" t="s">
        <v>308</v>
      </c>
      <c r="N86" s="141" t="s">
        <v>305</v>
      </c>
      <c r="O86" s="156"/>
      <c r="P86" s="141"/>
      <c r="Q86" s="141" t="s">
        <v>305</v>
      </c>
      <c r="R86" s="365" t="s">
        <v>305</v>
      </c>
      <c r="S86" s="141" t="s">
        <v>305</v>
      </c>
      <c r="T86" s="141" t="s">
        <v>285</v>
      </c>
      <c r="U86" s="141"/>
      <c r="V86" s="156"/>
      <c r="W86" s="141" t="s">
        <v>183</v>
      </c>
      <c r="X86" s="141" t="s">
        <v>308</v>
      </c>
      <c r="Y86" s="141" t="s">
        <v>305</v>
      </c>
      <c r="Z86" s="141"/>
      <c r="AA86" s="141" t="s">
        <v>199</v>
      </c>
      <c r="AB86" s="141" t="s">
        <v>305</v>
      </c>
      <c r="AC86" s="156"/>
      <c r="AD86" s="141" t="s">
        <v>305</v>
      </c>
      <c r="AE86" s="141" t="s">
        <v>309</v>
      </c>
      <c r="AF86" s="141" t="s">
        <v>127</v>
      </c>
      <c r="AG86" s="253"/>
      <c r="AH86" s="296"/>
      <c r="AI86" s="404"/>
      <c r="AJ86" s="404"/>
    </row>
    <row r="87" spans="1:36" ht="13.4" customHeight="1">
      <c r="A87" s="403">
        <f>COUNTIF(C87:AG87,"★★")</f>
        <v>4</v>
      </c>
      <c r="B87" s="23" t="s">
        <v>310</v>
      </c>
      <c r="C87" s="123"/>
      <c r="D87" s="123" t="s">
        <v>899</v>
      </c>
      <c r="E87" s="123" t="s">
        <v>67</v>
      </c>
      <c r="F87" s="123" t="s">
        <v>211</v>
      </c>
      <c r="G87" s="123" t="s">
        <v>63</v>
      </c>
      <c r="H87" s="157" t="s">
        <v>101</v>
      </c>
      <c r="I87" s="123" t="s">
        <v>102</v>
      </c>
      <c r="J87" s="123" t="s">
        <v>220</v>
      </c>
      <c r="K87" s="123" t="s">
        <v>69</v>
      </c>
      <c r="L87" s="123" t="s">
        <v>64</v>
      </c>
      <c r="M87" s="123" t="s">
        <v>240</v>
      </c>
      <c r="N87" s="123" t="s">
        <v>20</v>
      </c>
      <c r="O87" s="157" t="s">
        <v>101</v>
      </c>
      <c r="P87" s="123" t="s">
        <v>102</v>
      </c>
      <c r="Q87" s="123" t="s">
        <v>30</v>
      </c>
      <c r="R87" s="123" t="s">
        <v>183</v>
      </c>
      <c r="S87" s="123" t="s">
        <v>177</v>
      </c>
      <c r="T87" s="123" t="s">
        <v>152</v>
      </c>
      <c r="U87" s="123" t="s">
        <v>220</v>
      </c>
      <c r="V87" s="157" t="s">
        <v>102</v>
      </c>
      <c r="W87" s="123" t="s">
        <v>183</v>
      </c>
      <c r="X87" s="123" t="s">
        <v>70</v>
      </c>
      <c r="Y87" s="123" t="s">
        <v>101</v>
      </c>
      <c r="Z87" s="123" t="s">
        <v>133</v>
      </c>
      <c r="AA87" s="123" t="s">
        <v>232</v>
      </c>
      <c r="AB87" s="123" t="s">
        <v>29</v>
      </c>
      <c r="AC87" s="157" t="s">
        <v>101</v>
      </c>
      <c r="AD87" s="123" t="s">
        <v>102</v>
      </c>
      <c r="AE87" s="123" t="s">
        <v>92</v>
      </c>
      <c r="AF87" s="123" t="s">
        <v>92</v>
      </c>
      <c r="AG87" s="244"/>
      <c r="AH87" s="293" t="s">
        <v>311</v>
      </c>
      <c r="AI87" s="404" t="s">
        <v>135</v>
      </c>
      <c r="AJ87" s="404" t="s">
        <v>207</v>
      </c>
    </row>
    <row r="88" spans="1:36" ht="13.4" customHeight="1">
      <c r="A88" s="403">
        <f>COUNTIF(C87:AG87,"★")</f>
        <v>4</v>
      </c>
      <c r="B88" s="24"/>
      <c r="C88" s="124" t="s">
        <v>99</v>
      </c>
      <c r="D88" s="124"/>
      <c r="E88" s="124" t="s">
        <v>187</v>
      </c>
      <c r="F88" s="124" t="s">
        <v>190</v>
      </c>
      <c r="G88" s="124" t="s">
        <v>187</v>
      </c>
      <c r="H88" s="158" t="s">
        <v>136</v>
      </c>
      <c r="I88" s="124" t="s">
        <v>127</v>
      </c>
      <c r="J88" s="124" t="s">
        <v>127</v>
      </c>
      <c r="K88" s="124" t="s">
        <v>187</v>
      </c>
      <c r="L88" s="124" t="s">
        <v>187</v>
      </c>
      <c r="M88" s="124" t="s">
        <v>259</v>
      </c>
      <c r="N88" s="124" t="s">
        <v>190</v>
      </c>
      <c r="O88" s="158"/>
      <c r="P88" s="124"/>
      <c r="Q88" s="124" t="s">
        <v>187</v>
      </c>
      <c r="R88" s="124"/>
      <c r="S88" s="124" t="s">
        <v>190</v>
      </c>
      <c r="T88" s="124" t="s">
        <v>187</v>
      </c>
      <c r="U88" s="124"/>
      <c r="V88" s="158"/>
      <c r="W88" s="124"/>
      <c r="X88" s="124" t="s">
        <v>190</v>
      </c>
      <c r="Y88" s="124"/>
      <c r="Z88" s="124" t="s">
        <v>137</v>
      </c>
      <c r="AA88" s="124"/>
      <c r="AB88" s="124" t="s">
        <v>187</v>
      </c>
      <c r="AC88" s="158"/>
      <c r="AD88" s="124"/>
      <c r="AE88" s="124"/>
      <c r="AF88" s="124"/>
      <c r="AG88" s="245"/>
      <c r="AH88" s="296"/>
    </row>
    <row r="89" spans="1:36" ht="13.4" customHeight="1">
      <c r="A89" s="403">
        <f>COUNTIF(C89:AG89,"★★")</f>
        <v>4</v>
      </c>
      <c r="B89" s="23" t="s">
        <v>312</v>
      </c>
      <c r="C89" s="136" t="s">
        <v>194</v>
      </c>
      <c r="D89" s="136" t="s">
        <v>149</v>
      </c>
      <c r="E89" s="136" t="s">
        <v>149</v>
      </c>
      <c r="F89" s="136"/>
      <c r="G89" s="136" t="s">
        <v>20</v>
      </c>
      <c r="H89" s="153" t="s">
        <v>102</v>
      </c>
      <c r="I89" s="136" t="s">
        <v>241</v>
      </c>
      <c r="J89" s="136" t="s">
        <v>60</v>
      </c>
      <c r="K89" s="136" t="s">
        <v>101</v>
      </c>
      <c r="L89" s="136"/>
      <c r="M89" s="136" t="s">
        <v>70</v>
      </c>
      <c r="N89" s="136" t="s">
        <v>29</v>
      </c>
      <c r="O89" s="153" t="s">
        <v>101</v>
      </c>
      <c r="P89" s="136" t="s">
        <v>102</v>
      </c>
      <c r="Q89" s="136"/>
      <c r="R89" s="136"/>
      <c r="S89" s="136" t="s">
        <v>177</v>
      </c>
      <c r="T89" s="136" t="s">
        <v>20</v>
      </c>
      <c r="U89" s="136" t="s">
        <v>60</v>
      </c>
      <c r="V89" s="153" t="s">
        <v>26</v>
      </c>
      <c r="W89" s="136" t="s">
        <v>70</v>
      </c>
      <c r="X89" s="136" t="s">
        <v>70</v>
      </c>
      <c r="Y89" s="136" t="s">
        <v>101</v>
      </c>
      <c r="Z89" s="136" t="s">
        <v>102</v>
      </c>
      <c r="AA89" s="136" t="s">
        <v>232</v>
      </c>
      <c r="AB89" s="136" t="s">
        <v>29</v>
      </c>
      <c r="AC89" s="153" t="s">
        <v>101</v>
      </c>
      <c r="AD89" s="136" t="s">
        <v>241</v>
      </c>
      <c r="AE89" s="136" t="s">
        <v>20</v>
      </c>
      <c r="AF89" s="136" t="s">
        <v>102</v>
      </c>
      <c r="AG89" s="246"/>
      <c r="AH89" s="293" t="s">
        <v>313</v>
      </c>
      <c r="AI89" s="404" t="s">
        <v>179</v>
      </c>
      <c r="AJ89" s="404" t="s">
        <v>207</v>
      </c>
    </row>
    <row r="90" spans="1:36" ht="13.4" customHeight="1">
      <c r="A90" s="403">
        <f>COUNTIF(C89:AG89,"★")</f>
        <v>4</v>
      </c>
      <c r="B90" s="24"/>
      <c r="C90" s="137" t="s">
        <v>243</v>
      </c>
      <c r="D90" s="137" t="s">
        <v>198</v>
      </c>
      <c r="E90" s="137" t="s">
        <v>155</v>
      </c>
      <c r="F90" s="137"/>
      <c r="G90" s="137" t="s">
        <v>174</v>
      </c>
      <c r="H90" s="154"/>
      <c r="I90" s="137" t="s">
        <v>174</v>
      </c>
      <c r="J90" s="137" t="s">
        <v>174</v>
      </c>
      <c r="K90" s="137"/>
      <c r="L90" s="137" t="s">
        <v>112</v>
      </c>
      <c r="M90" s="137" t="s">
        <v>174</v>
      </c>
      <c r="N90" s="137" t="s">
        <v>174</v>
      </c>
      <c r="O90" s="154"/>
      <c r="P90" s="137"/>
      <c r="Q90" s="137"/>
      <c r="R90" s="137"/>
      <c r="S90" s="137" t="s">
        <v>243</v>
      </c>
      <c r="T90" s="137" t="s">
        <v>174</v>
      </c>
      <c r="U90" s="137" t="s">
        <v>174</v>
      </c>
      <c r="V90" s="154" t="s">
        <v>243</v>
      </c>
      <c r="W90" s="137" t="s">
        <v>243</v>
      </c>
      <c r="X90" s="137" t="s">
        <v>243</v>
      </c>
      <c r="Y90" s="137"/>
      <c r="Z90" s="137"/>
      <c r="AA90" s="137" t="s">
        <v>174</v>
      </c>
      <c r="AB90" s="137" t="s">
        <v>174</v>
      </c>
      <c r="AC90" s="154"/>
      <c r="AD90" s="137" t="s">
        <v>174</v>
      </c>
      <c r="AE90" s="137" t="s">
        <v>174</v>
      </c>
      <c r="AF90" s="137"/>
      <c r="AG90" s="247"/>
      <c r="AH90" s="296"/>
    </row>
    <row r="91" spans="1:36" ht="13.4" customHeight="1">
      <c r="A91" s="403">
        <f>COUNTIF(C91:AG91,"★★")</f>
        <v>4</v>
      </c>
      <c r="B91" s="23" t="s">
        <v>314</v>
      </c>
      <c r="C91" s="121"/>
      <c r="D91" s="121"/>
      <c r="E91" s="121" t="s">
        <v>25</v>
      </c>
      <c r="F91" s="121" t="s">
        <v>166</v>
      </c>
      <c r="G91" s="121" t="s">
        <v>166</v>
      </c>
      <c r="H91" s="159" t="s">
        <v>151</v>
      </c>
      <c r="I91" s="121" t="s">
        <v>130</v>
      </c>
      <c r="J91" s="121"/>
      <c r="K91" s="121" t="s">
        <v>27</v>
      </c>
      <c r="L91" s="121" t="s">
        <v>202</v>
      </c>
      <c r="M91" s="121" t="s">
        <v>167</v>
      </c>
      <c r="N91" s="121" t="s">
        <v>29</v>
      </c>
      <c r="O91" s="159" t="s">
        <v>151</v>
      </c>
      <c r="P91" s="121" t="s">
        <v>130</v>
      </c>
      <c r="Q91" s="121" t="s">
        <v>30</v>
      </c>
      <c r="R91" s="121"/>
      <c r="S91" s="121" t="s">
        <v>177</v>
      </c>
      <c r="T91" s="121" t="s">
        <v>152</v>
      </c>
      <c r="U91" s="121" t="s">
        <v>168</v>
      </c>
      <c r="V91" s="159" t="s">
        <v>151</v>
      </c>
      <c r="W91" s="121" t="s">
        <v>130</v>
      </c>
      <c r="X91" s="121"/>
      <c r="Y91" s="121" t="s">
        <v>27</v>
      </c>
      <c r="Z91" s="121" t="s">
        <v>147</v>
      </c>
      <c r="AA91" s="121" t="s">
        <v>232</v>
      </c>
      <c r="AB91" s="121" t="s">
        <v>29</v>
      </c>
      <c r="AC91" s="159" t="s">
        <v>151</v>
      </c>
      <c r="AD91" s="121" t="s">
        <v>130</v>
      </c>
      <c r="AE91" s="121" t="s">
        <v>30</v>
      </c>
      <c r="AF91" s="121"/>
      <c r="AG91" s="254"/>
      <c r="AH91" s="293" t="s">
        <v>315</v>
      </c>
      <c r="AI91" s="404" t="s">
        <v>206</v>
      </c>
      <c r="AJ91" s="404" t="s">
        <v>207</v>
      </c>
    </row>
    <row r="92" spans="1:36" ht="13.4" customHeight="1">
      <c r="A92" s="403">
        <f>COUNTIF(C91:AG91,"★")</f>
        <v>4</v>
      </c>
      <c r="B92" s="24"/>
      <c r="C92" s="122" t="s">
        <v>99</v>
      </c>
      <c r="D92" s="122"/>
      <c r="E92" s="122" t="s">
        <v>316</v>
      </c>
      <c r="F92" s="122"/>
      <c r="G92" s="122"/>
      <c r="H92" s="160"/>
      <c r="I92" s="122"/>
      <c r="J92" s="122"/>
      <c r="K92" s="122" t="s">
        <v>317</v>
      </c>
      <c r="L92" s="122" t="s">
        <v>317</v>
      </c>
      <c r="M92" s="122" t="s">
        <v>317</v>
      </c>
      <c r="N92" s="122" t="s">
        <v>318</v>
      </c>
      <c r="O92" s="160"/>
      <c r="P92" s="122"/>
      <c r="Q92" s="122" t="s">
        <v>317</v>
      </c>
      <c r="R92" s="122"/>
      <c r="S92" s="122" t="s">
        <v>317</v>
      </c>
      <c r="T92" s="122" t="s">
        <v>317</v>
      </c>
      <c r="U92" s="122"/>
      <c r="V92" s="160"/>
      <c r="W92" s="122"/>
      <c r="X92" s="122"/>
      <c r="Y92" s="122" t="s">
        <v>317</v>
      </c>
      <c r="Z92" s="122"/>
      <c r="AA92" s="122" t="s">
        <v>319</v>
      </c>
      <c r="AB92" s="122" t="s">
        <v>317</v>
      </c>
      <c r="AC92" s="160"/>
      <c r="AD92" s="122"/>
      <c r="AE92" s="122" t="s">
        <v>317</v>
      </c>
      <c r="AF92" s="122"/>
      <c r="AG92" s="255"/>
      <c r="AH92" s="296"/>
      <c r="AI92" s="404"/>
      <c r="AJ92" s="404"/>
    </row>
    <row r="93" spans="1:36" ht="13.4" customHeight="1">
      <c r="A93" s="403">
        <f>COUNTIF(C93:AG93,"★★")</f>
        <v>4</v>
      </c>
      <c r="B93" s="23" t="s">
        <v>320</v>
      </c>
      <c r="C93" s="123" t="s">
        <v>224</v>
      </c>
      <c r="D93" s="123" t="s">
        <v>224</v>
      </c>
      <c r="E93" s="123" t="s">
        <v>224</v>
      </c>
      <c r="F93" s="123" t="s">
        <v>224</v>
      </c>
      <c r="G93" s="123" t="s">
        <v>149</v>
      </c>
      <c r="H93" s="157" t="s">
        <v>195</v>
      </c>
      <c r="I93" s="123" t="s">
        <v>102</v>
      </c>
      <c r="J93" s="123" t="s">
        <v>224</v>
      </c>
      <c r="K93" s="123" t="s">
        <v>151</v>
      </c>
      <c r="L93" s="123" t="s">
        <v>75</v>
      </c>
      <c r="M93" s="123" t="s">
        <v>224</v>
      </c>
      <c r="N93" s="123" t="s">
        <v>224</v>
      </c>
      <c r="O93" s="157" t="s">
        <v>224</v>
      </c>
      <c r="P93" s="123" t="s">
        <v>102</v>
      </c>
      <c r="Q93" s="123" t="s">
        <v>151</v>
      </c>
      <c r="R93" s="123" t="s">
        <v>20</v>
      </c>
      <c r="S93" s="123" t="s">
        <v>224</v>
      </c>
      <c r="T93" s="123" t="s">
        <v>75</v>
      </c>
      <c r="U93" s="123" t="s">
        <v>220</v>
      </c>
      <c r="V93" s="157" t="s">
        <v>101</v>
      </c>
      <c r="W93" s="123" t="s">
        <v>102</v>
      </c>
      <c r="X93" s="123" t="s">
        <v>224</v>
      </c>
      <c r="Y93" s="123" t="s">
        <v>224</v>
      </c>
      <c r="Z93" s="123" t="s">
        <v>133</v>
      </c>
      <c r="AA93" s="123" t="s">
        <v>257</v>
      </c>
      <c r="AB93" s="123" t="s">
        <v>71</v>
      </c>
      <c r="AC93" s="157" t="s">
        <v>101</v>
      </c>
      <c r="AD93" s="123" t="s">
        <v>102</v>
      </c>
      <c r="AE93" s="123" t="s">
        <v>62</v>
      </c>
      <c r="AF93" s="123" t="s">
        <v>4</v>
      </c>
      <c r="AG93" s="244"/>
      <c r="AH93" s="293" t="s">
        <v>321</v>
      </c>
      <c r="AI93" s="404" t="s">
        <v>135</v>
      </c>
      <c r="AJ93" s="404" t="s">
        <v>207</v>
      </c>
    </row>
    <row r="94" spans="1:36" ht="13.4" customHeight="1" thickBot="1">
      <c r="A94" s="403">
        <f>COUNTIF(C93:AG93,"★")</f>
        <v>4</v>
      </c>
      <c r="B94" s="430"/>
      <c r="C94" s="445" t="s">
        <v>99</v>
      </c>
      <c r="D94" s="445"/>
      <c r="E94" s="445" t="s">
        <v>226</v>
      </c>
      <c r="F94" s="445" t="s">
        <v>227</v>
      </c>
      <c r="G94" s="445" t="s">
        <v>155</v>
      </c>
      <c r="H94" s="446"/>
      <c r="I94" s="445"/>
      <c r="J94" s="445"/>
      <c r="K94" s="445"/>
      <c r="L94" s="445" t="s">
        <v>268</v>
      </c>
      <c r="M94" s="445"/>
      <c r="N94" s="445" t="s">
        <v>226</v>
      </c>
      <c r="O94" s="446" t="s">
        <v>227</v>
      </c>
      <c r="P94" s="445"/>
      <c r="Q94" s="445"/>
      <c r="R94" s="445" t="s">
        <v>235</v>
      </c>
      <c r="S94" s="445"/>
      <c r="T94" s="445" t="s">
        <v>235</v>
      </c>
      <c r="U94" s="445" t="s">
        <v>136</v>
      </c>
      <c r="V94" s="446" t="s">
        <v>127</v>
      </c>
      <c r="W94" s="445" t="s">
        <v>127</v>
      </c>
      <c r="X94" s="445" t="s">
        <v>226</v>
      </c>
      <c r="Y94" s="445" t="s">
        <v>900</v>
      </c>
      <c r="Z94" s="445" t="s">
        <v>137</v>
      </c>
      <c r="AA94" s="445"/>
      <c r="AB94" s="445" t="s">
        <v>268</v>
      </c>
      <c r="AC94" s="446"/>
      <c r="AD94" s="445"/>
      <c r="AE94" s="445" t="s">
        <v>268</v>
      </c>
      <c r="AF94" s="445" t="s">
        <v>235</v>
      </c>
      <c r="AG94" s="447"/>
      <c r="AH94" s="437"/>
      <c r="AI94" s="404"/>
      <c r="AJ94" s="404"/>
    </row>
    <row r="95" spans="1:36" ht="13.4" customHeight="1">
      <c r="A95" s="403">
        <f>COUNTIF(C95:AG95,"★★")</f>
        <v>4</v>
      </c>
      <c r="B95" s="23" t="s">
        <v>322</v>
      </c>
      <c r="C95" s="145" t="s">
        <v>16</v>
      </c>
      <c r="D95" s="145" t="s">
        <v>62</v>
      </c>
      <c r="E95" s="145" t="s">
        <v>229</v>
      </c>
      <c r="F95" s="145" t="s">
        <v>161</v>
      </c>
      <c r="G95" s="145" t="s">
        <v>161</v>
      </c>
      <c r="H95" s="270" t="s">
        <v>68</v>
      </c>
      <c r="I95" s="145" t="s">
        <v>102</v>
      </c>
      <c r="J95" s="140" t="s">
        <v>16</v>
      </c>
      <c r="K95" s="140" t="s">
        <v>4</v>
      </c>
      <c r="L95" s="140" t="s">
        <v>161</v>
      </c>
      <c r="M95" s="140" t="s">
        <v>151</v>
      </c>
      <c r="N95" s="140" t="s">
        <v>29</v>
      </c>
      <c r="O95" s="155" t="s">
        <v>101</v>
      </c>
      <c r="P95" s="140" t="s">
        <v>102</v>
      </c>
      <c r="Q95" s="140" t="s">
        <v>16</v>
      </c>
      <c r="R95" s="140" t="s">
        <v>62</v>
      </c>
      <c r="S95" s="140" t="s">
        <v>4</v>
      </c>
      <c r="T95" s="140" t="s">
        <v>20</v>
      </c>
      <c r="U95" s="140" t="s">
        <v>120</v>
      </c>
      <c r="V95" s="155" t="s">
        <v>101</v>
      </c>
      <c r="W95" s="140" t="s">
        <v>102</v>
      </c>
      <c r="X95" s="140" t="s">
        <v>16</v>
      </c>
      <c r="Y95" s="140" t="s">
        <v>4</v>
      </c>
      <c r="Z95" s="140" t="s">
        <v>20</v>
      </c>
      <c r="AA95" s="140" t="s">
        <v>16</v>
      </c>
      <c r="AB95" s="140" t="s">
        <v>71</v>
      </c>
      <c r="AC95" s="155" t="s">
        <v>101</v>
      </c>
      <c r="AD95" s="140" t="s">
        <v>102</v>
      </c>
      <c r="AE95" s="140" t="s">
        <v>20</v>
      </c>
      <c r="AF95" s="140" t="s">
        <v>20</v>
      </c>
      <c r="AG95" s="252"/>
      <c r="AH95" s="293" t="s">
        <v>323</v>
      </c>
      <c r="AI95" s="404" t="s">
        <v>122</v>
      </c>
      <c r="AJ95" s="404" t="s">
        <v>207</v>
      </c>
    </row>
    <row r="96" spans="1:36" ht="13.4" customHeight="1">
      <c r="A96" s="403">
        <f>COUNTIF(C95:AG95,"★")</f>
        <v>4</v>
      </c>
      <c r="B96" s="24"/>
      <c r="C96" s="271" t="s">
        <v>200</v>
      </c>
      <c r="D96" s="271" t="s">
        <v>199</v>
      </c>
      <c r="E96" s="271" t="s">
        <v>154</v>
      </c>
      <c r="F96" s="271" t="s">
        <v>127</v>
      </c>
      <c r="G96" s="271" t="s">
        <v>156</v>
      </c>
      <c r="H96" s="272" t="s">
        <v>154</v>
      </c>
      <c r="I96" s="271"/>
      <c r="J96" s="141" t="s">
        <v>199</v>
      </c>
      <c r="K96" s="141" t="s">
        <v>113</v>
      </c>
      <c r="L96" s="141" t="s">
        <v>127</v>
      </c>
      <c r="M96" s="141" t="s">
        <v>156</v>
      </c>
      <c r="N96" s="141" t="s">
        <v>199</v>
      </c>
      <c r="O96" s="156"/>
      <c r="P96" s="141"/>
      <c r="Q96" s="141" t="s">
        <v>200</v>
      </c>
      <c r="R96" s="141" t="s">
        <v>324</v>
      </c>
      <c r="S96" s="141" t="s">
        <v>113</v>
      </c>
      <c r="T96" s="141" t="s">
        <v>113</v>
      </c>
      <c r="U96" s="141"/>
      <c r="V96" s="156"/>
      <c r="W96" s="141"/>
      <c r="X96" s="141" t="s">
        <v>200</v>
      </c>
      <c r="Y96" s="141" t="s">
        <v>113</v>
      </c>
      <c r="Z96" s="141" t="s">
        <v>113</v>
      </c>
      <c r="AA96" s="141" t="s">
        <v>154</v>
      </c>
      <c r="AB96" s="141" t="s">
        <v>199</v>
      </c>
      <c r="AC96" s="156"/>
      <c r="AD96" s="141"/>
      <c r="AE96" s="141" t="s">
        <v>113</v>
      </c>
      <c r="AF96" s="141" t="s">
        <v>154</v>
      </c>
      <c r="AG96" s="253"/>
      <c r="AH96" s="296"/>
      <c r="AI96" s="404"/>
      <c r="AJ96" s="404"/>
    </row>
    <row r="97" spans="1:36" ht="13.4" customHeight="1">
      <c r="A97" s="403">
        <f>COUNTIF(C97:AG97,"★★")</f>
        <v>4</v>
      </c>
      <c r="B97" s="23" t="s">
        <v>325</v>
      </c>
      <c r="C97" s="121" t="s">
        <v>20</v>
      </c>
      <c r="D97" s="121" t="s">
        <v>20</v>
      </c>
      <c r="E97" s="121" t="s">
        <v>161</v>
      </c>
      <c r="F97" s="121" t="s">
        <v>20</v>
      </c>
      <c r="G97" s="121" t="s">
        <v>20</v>
      </c>
      <c r="H97" s="159" t="s">
        <v>151</v>
      </c>
      <c r="I97" s="121" t="s">
        <v>130</v>
      </c>
      <c r="J97" s="121" t="s">
        <v>326</v>
      </c>
      <c r="K97" s="121" t="s">
        <v>20</v>
      </c>
      <c r="L97" s="121" t="s">
        <v>4</v>
      </c>
      <c r="M97" s="121" t="s">
        <v>16</v>
      </c>
      <c r="N97" s="121" t="s">
        <v>20</v>
      </c>
      <c r="O97" s="159" t="s">
        <v>130</v>
      </c>
      <c r="P97" s="121" t="s">
        <v>327</v>
      </c>
      <c r="Q97" s="121" t="s">
        <v>151</v>
      </c>
      <c r="R97" s="121" t="s">
        <v>4</v>
      </c>
      <c r="S97" s="121" t="s">
        <v>161</v>
      </c>
      <c r="T97" s="121" t="s">
        <v>16</v>
      </c>
      <c r="U97" s="121" t="s">
        <v>16</v>
      </c>
      <c r="V97" s="159" t="s">
        <v>151</v>
      </c>
      <c r="W97" s="121" t="s">
        <v>130</v>
      </c>
      <c r="X97" s="121" t="s">
        <v>326</v>
      </c>
      <c r="Y97" s="121" t="s">
        <v>75</v>
      </c>
      <c r="Z97" s="121" t="s">
        <v>4</v>
      </c>
      <c r="AA97" s="121" t="s">
        <v>16</v>
      </c>
      <c r="AB97" s="121" t="s">
        <v>20</v>
      </c>
      <c r="AC97" s="159" t="s">
        <v>151</v>
      </c>
      <c r="AD97" s="121" t="s">
        <v>130</v>
      </c>
      <c r="AE97" s="121" t="s">
        <v>326</v>
      </c>
      <c r="AF97" s="121" t="s">
        <v>4</v>
      </c>
      <c r="AG97" s="254"/>
      <c r="AH97" s="293" t="s">
        <v>328</v>
      </c>
      <c r="AI97" s="404" t="s">
        <v>206</v>
      </c>
      <c r="AJ97" s="404" t="s">
        <v>207</v>
      </c>
    </row>
    <row r="98" spans="1:36" ht="13.4" customHeight="1" thickBot="1">
      <c r="A98" s="403">
        <f>COUNTIF(C97:AG97,"★")</f>
        <v>4</v>
      </c>
      <c r="B98" s="430"/>
      <c r="C98" s="448" t="s">
        <v>172</v>
      </c>
      <c r="D98" s="448" t="s">
        <v>172</v>
      </c>
      <c r="E98" s="448" t="s">
        <v>156</v>
      </c>
      <c r="F98" s="448" t="s">
        <v>172</v>
      </c>
      <c r="G98" s="448" t="s">
        <v>113</v>
      </c>
      <c r="H98" s="449"/>
      <c r="I98" s="448"/>
      <c r="J98" s="448"/>
      <c r="K98" s="448" t="s">
        <v>113</v>
      </c>
      <c r="L98" s="448" t="s">
        <v>113</v>
      </c>
      <c r="M98" s="448" t="s">
        <v>172</v>
      </c>
      <c r="N98" s="448" t="s">
        <v>113</v>
      </c>
      <c r="O98" s="449" t="s">
        <v>327</v>
      </c>
      <c r="P98" s="448"/>
      <c r="Q98" s="448"/>
      <c r="R98" s="448" t="s">
        <v>113</v>
      </c>
      <c r="S98" s="448" t="s">
        <v>156</v>
      </c>
      <c r="T98" s="448" t="s">
        <v>172</v>
      </c>
      <c r="U98" s="448" t="s">
        <v>113</v>
      </c>
      <c r="V98" s="449"/>
      <c r="W98" s="448"/>
      <c r="X98" s="448"/>
      <c r="Y98" s="448" t="s">
        <v>145</v>
      </c>
      <c r="Z98" s="448" t="s">
        <v>329</v>
      </c>
      <c r="AA98" s="448" t="s">
        <v>172</v>
      </c>
      <c r="AB98" s="448" t="s">
        <v>172</v>
      </c>
      <c r="AC98" s="449"/>
      <c r="AD98" s="448"/>
      <c r="AE98" s="448"/>
      <c r="AF98" s="448" t="s">
        <v>172</v>
      </c>
      <c r="AG98" s="450"/>
      <c r="AH98" s="437"/>
      <c r="AI98" s="404"/>
      <c r="AJ98" s="404"/>
    </row>
    <row r="99" spans="1:36" ht="13.4" customHeight="1">
      <c r="B99" s="407" t="s">
        <v>330</v>
      </c>
      <c r="C99" s="138"/>
      <c r="D99" s="138"/>
      <c r="E99" s="138"/>
      <c r="F99" s="138"/>
      <c r="G99" s="138"/>
      <c r="H99" s="151"/>
      <c r="I99" s="138"/>
      <c r="J99" s="138" t="s">
        <v>328</v>
      </c>
      <c r="K99" s="138"/>
      <c r="L99" s="138"/>
      <c r="M99" s="138"/>
      <c r="N99" s="138"/>
      <c r="O99" s="151"/>
      <c r="P99" s="138"/>
      <c r="Q99" s="138"/>
      <c r="R99" s="138"/>
      <c r="S99" s="138"/>
      <c r="T99" s="138"/>
      <c r="U99" s="138"/>
      <c r="V99" s="151"/>
      <c r="W99" s="138"/>
      <c r="X99" s="138" t="s">
        <v>328</v>
      </c>
      <c r="Y99" s="138"/>
      <c r="Z99" s="138"/>
      <c r="AA99" s="138"/>
      <c r="AB99" s="138"/>
      <c r="AC99" s="151"/>
      <c r="AD99" s="138"/>
      <c r="AE99" s="138" t="s">
        <v>328</v>
      </c>
      <c r="AF99" s="138"/>
      <c r="AG99" s="248"/>
      <c r="AH99" s="406" t="s">
        <v>330</v>
      </c>
      <c r="AI99" s="404" t="s">
        <v>107</v>
      </c>
      <c r="AJ99" s="404" t="s">
        <v>207</v>
      </c>
    </row>
    <row r="100" spans="1:36" ht="13.4" customHeight="1">
      <c r="B100" s="418"/>
      <c r="C100" s="139"/>
      <c r="D100" s="139"/>
      <c r="E100" s="139"/>
      <c r="F100" s="139"/>
      <c r="G100" s="139"/>
      <c r="H100" s="152"/>
      <c r="I100" s="139"/>
      <c r="J100" s="139"/>
      <c r="K100" s="139"/>
      <c r="L100" s="139"/>
      <c r="M100" s="139"/>
      <c r="N100" s="139"/>
      <c r="O100" s="152"/>
      <c r="P100" s="139"/>
      <c r="Q100" s="139"/>
      <c r="R100" s="139"/>
      <c r="S100" s="139"/>
      <c r="T100" s="139"/>
      <c r="U100" s="139"/>
      <c r="V100" s="152"/>
      <c r="W100" s="139"/>
      <c r="X100" s="139"/>
      <c r="Y100" s="139"/>
      <c r="Z100" s="139"/>
      <c r="AA100" s="139"/>
      <c r="AB100" s="139"/>
      <c r="AC100" s="152"/>
      <c r="AD100" s="139"/>
      <c r="AE100" s="139"/>
      <c r="AF100" s="139"/>
      <c r="AG100" s="249"/>
      <c r="AH100" s="419"/>
      <c r="AI100" s="404"/>
      <c r="AJ100" s="404"/>
    </row>
    <row r="101" spans="1:36" ht="13.4" customHeight="1">
      <c r="B101" s="407" t="s">
        <v>331</v>
      </c>
      <c r="C101" s="138"/>
      <c r="D101" s="138"/>
      <c r="E101" s="138"/>
      <c r="F101" s="138"/>
      <c r="G101" s="138"/>
      <c r="H101" s="151"/>
      <c r="I101" s="138"/>
      <c r="J101" s="138"/>
      <c r="K101" s="138"/>
      <c r="L101" s="138"/>
      <c r="M101" s="138"/>
      <c r="N101" s="138"/>
      <c r="O101" s="151"/>
      <c r="P101" s="138"/>
      <c r="Q101" s="138"/>
      <c r="R101" s="138"/>
      <c r="S101" s="138"/>
      <c r="T101" s="138"/>
      <c r="U101" s="138" t="s">
        <v>73</v>
      </c>
      <c r="V101" s="151"/>
      <c r="W101" s="138"/>
      <c r="X101" s="138"/>
      <c r="Y101" s="138"/>
      <c r="Z101" s="138"/>
      <c r="AA101" s="138"/>
      <c r="AB101" s="138"/>
      <c r="AC101" s="151"/>
      <c r="AD101" s="138"/>
      <c r="AE101" s="138"/>
      <c r="AF101" s="138" t="s">
        <v>458</v>
      </c>
      <c r="AG101" s="248"/>
      <c r="AH101" s="406" t="s">
        <v>332</v>
      </c>
      <c r="AI101" s="404" t="s">
        <v>107</v>
      </c>
      <c r="AJ101" s="404" t="s">
        <v>207</v>
      </c>
    </row>
    <row r="102" spans="1:36" ht="13.4" customHeight="1" thickBot="1">
      <c r="B102" s="451"/>
      <c r="C102" s="452"/>
      <c r="D102" s="452"/>
      <c r="E102" s="452"/>
      <c r="F102" s="452"/>
      <c r="G102" s="452"/>
      <c r="H102" s="453"/>
      <c r="I102" s="452"/>
      <c r="J102" s="452"/>
      <c r="K102" s="452"/>
      <c r="L102" s="452"/>
      <c r="M102" s="452"/>
      <c r="N102" s="452"/>
      <c r="O102" s="453"/>
      <c r="P102" s="452"/>
      <c r="Q102" s="452"/>
      <c r="R102" s="452"/>
      <c r="S102" s="452"/>
      <c r="T102" s="452"/>
      <c r="U102" s="452"/>
      <c r="V102" s="453"/>
      <c r="W102" s="452"/>
      <c r="X102" s="452"/>
      <c r="Y102" s="452"/>
      <c r="Z102" s="452"/>
      <c r="AA102" s="452"/>
      <c r="AB102" s="452"/>
      <c r="AC102" s="453"/>
      <c r="AD102" s="452"/>
      <c r="AE102" s="452"/>
      <c r="AF102" s="452"/>
      <c r="AG102" s="454"/>
      <c r="AH102" s="455"/>
      <c r="AI102" s="404"/>
      <c r="AJ102" s="404"/>
    </row>
    <row r="103" spans="1:36" ht="13.4" customHeight="1">
      <c r="A103" s="403">
        <f>COUNTIF(C103:AG103,"★★")</f>
        <v>4</v>
      </c>
      <c r="B103" s="23" t="s">
        <v>333</v>
      </c>
      <c r="C103" s="232" t="s">
        <v>910</v>
      </c>
      <c r="D103" s="232" t="s">
        <v>911</v>
      </c>
      <c r="E103" s="232" t="s">
        <v>912</v>
      </c>
      <c r="F103" s="232" t="s">
        <v>913</v>
      </c>
      <c r="G103" s="232" t="s">
        <v>914</v>
      </c>
      <c r="H103" s="231" t="s">
        <v>151</v>
      </c>
      <c r="I103" s="232" t="s">
        <v>130</v>
      </c>
      <c r="J103" s="232" t="s">
        <v>913</v>
      </c>
      <c r="K103" s="232" t="s">
        <v>915</v>
      </c>
      <c r="L103" s="232" t="s">
        <v>202</v>
      </c>
      <c r="M103" s="232" t="s">
        <v>727</v>
      </c>
      <c r="N103" s="232" t="s">
        <v>727</v>
      </c>
      <c r="O103" s="231" t="s">
        <v>151</v>
      </c>
      <c r="P103" s="232" t="s">
        <v>130</v>
      </c>
      <c r="Q103" s="232" t="s">
        <v>913</v>
      </c>
      <c r="R103" s="232"/>
      <c r="S103" s="232" t="s">
        <v>913</v>
      </c>
      <c r="T103" s="232" t="s">
        <v>913</v>
      </c>
      <c r="U103" s="232" t="s">
        <v>916</v>
      </c>
      <c r="V103" s="231" t="s">
        <v>151</v>
      </c>
      <c r="W103" s="232" t="s">
        <v>130</v>
      </c>
      <c r="X103" s="232" t="s">
        <v>917</v>
      </c>
      <c r="Y103" s="232" t="s">
        <v>913</v>
      </c>
      <c r="Z103" s="232" t="s">
        <v>641</v>
      </c>
      <c r="AA103" s="232" t="s">
        <v>220</v>
      </c>
      <c r="AB103" s="232" t="s">
        <v>918</v>
      </c>
      <c r="AC103" s="231" t="s">
        <v>151</v>
      </c>
      <c r="AD103" s="232" t="s">
        <v>130</v>
      </c>
      <c r="AE103" s="232" t="s">
        <v>913</v>
      </c>
      <c r="AF103" s="232" t="s">
        <v>241</v>
      </c>
      <c r="AG103" s="250" t="s">
        <v>913</v>
      </c>
      <c r="AH103" s="293" t="s">
        <v>334</v>
      </c>
      <c r="AI103" s="404" t="s">
        <v>335</v>
      </c>
      <c r="AJ103" s="404" t="s">
        <v>207</v>
      </c>
    </row>
    <row r="104" spans="1:36" ht="13.4" customHeight="1">
      <c r="A104" s="403">
        <f>COUNTIF(C103:AG103,"★")</f>
        <v>4</v>
      </c>
      <c r="B104" s="24"/>
      <c r="C104" s="234" t="s">
        <v>919</v>
      </c>
      <c r="D104" s="234" t="s">
        <v>913</v>
      </c>
      <c r="E104" s="234" t="s">
        <v>920</v>
      </c>
      <c r="F104" s="234" t="s">
        <v>913</v>
      </c>
      <c r="G104" s="234"/>
      <c r="H104" s="233" t="s">
        <v>913</v>
      </c>
      <c r="I104" s="234" t="s">
        <v>913</v>
      </c>
      <c r="J104" s="234" t="s">
        <v>913</v>
      </c>
      <c r="K104" s="234" t="s">
        <v>913</v>
      </c>
      <c r="L104" s="234" t="s">
        <v>913</v>
      </c>
      <c r="M104" s="234" t="s">
        <v>264</v>
      </c>
      <c r="N104" s="234" t="s">
        <v>264</v>
      </c>
      <c r="O104" s="233" t="s">
        <v>913</v>
      </c>
      <c r="P104" s="234" t="s">
        <v>913</v>
      </c>
      <c r="Q104" s="234" t="s">
        <v>913</v>
      </c>
      <c r="R104" s="234" t="s">
        <v>913</v>
      </c>
      <c r="S104" s="234" t="s">
        <v>913</v>
      </c>
      <c r="T104" s="234" t="s">
        <v>913</v>
      </c>
      <c r="U104" s="234" t="s">
        <v>921</v>
      </c>
      <c r="V104" s="233" t="s">
        <v>913</v>
      </c>
      <c r="W104" s="234" t="s">
        <v>913</v>
      </c>
      <c r="X104" s="234" t="s">
        <v>922</v>
      </c>
      <c r="Y104" s="234" t="s">
        <v>913</v>
      </c>
      <c r="Z104" s="234" t="s">
        <v>923</v>
      </c>
      <c r="AA104" s="234" t="s">
        <v>913</v>
      </c>
      <c r="AB104" s="234" t="s">
        <v>913</v>
      </c>
      <c r="AC104" s="233" t="s">
        <v>913</v>
      </c>
      <c r="AD104" s="234" t="s">
        <v>913</v>
      </c>
      <c r="AE104" s="234" t="s">
        <v>913</v>
      </c>
      <c r="AF104" s="234" t="s">
        <v>913</v>
      </c>
      <c r="AG104" s="251" t="s">
        <v>913</v>
      </c>
      <c r="AH104" s="296"/>
      <c r="AI104" s="404"/>
      <c r="AJ104" s="404"/>
    </row>
    <row r="105" spans="1:36" ht="13.4" customHeight="1">
      <c r="A105" s="403">
        <f t="shared" ref="A105" si="0">COUNTIF(C105:AG105,"★★")</f>
        <v>4</v>
      </c>
      <c r="B105" s="23" t="s">
        <v>336</v>
      </c>
      <c r="C105" s="232" t="s">
        <v>913</v>
      </c>
      <c r="D105" s="232" t="s">
        <v>241</v>
      </c>
      <c r="E105" s="232" t="s">
        <v>924</v>
      </c>
      <c r="F105" s="232" t="s">
        <v>925</v>
      </c>
      <c r="G105" s="232" t="s">
        <v>924</v>
      </c>
      <c r="H105" s="231" t="s">
        <v>151</v>
      </c>
      <c r="I105" s="232" t="s">
        <v>130</v>
      </c>
      <c r="J105" s="232" t="s">
        <v>202</v>
      </c>
      <c r="K105" s="232" t="s">
        <v>241</v>
      </c>
      <c r="L105" s="232" t="s">
        <v>926</v>
      </c>
      <c r="M105" s="232" t="s">
        <v>925</v>
      </c>
      <c r="N105" s="232" t="s">
        <v>916</v>
      </c>
      <c r="O105" s="231" t="s">
        <v>924</v>
      </c>
      <c r="P105" s="232" t="s">
        <v>130</v>
      </c>
      <c r="Q105" s="232" t="s">
        <v>151</v>
      </c>
      <c r="R105" s="232" t="s">
        <v>913</v>
      </c>
      <c r="S105" s="232" t="s">
        <v>927</v>
      </c>
      <c r="T105" s="232" t="s">
        <v>927</v>
      </c>
      <c r="U105" s="232" t="s">
        <v>913</v>
      </c>
      <c r="V105" s="231" t="s">
        <v>151</v>
      </c>
      <c r="W105" s="232" t="s">
        <v>130</v>
      </c>
      <c r="X105" s="232" t="s">
        <v>928</v>
      </c>
      <c r="Y105" s="232" t="s">
        <v>241</v>
      </c>
      <c r="Z105" s="232" t="s">
        <v>641</v>
      </c>
      <c r="AA105" s="232" t="s">
        <v>925</v>
      </c>
      <c r="AB105" s="232" t="s">
        <v>918</v>
      </c>
      <c r="AC105" s="231" t="s">
        <v>924</v>
      </c>
      <c r="AD105" s="232" t="s">
        <v>130</v>
      </c>
      <c r="AE105" s="232" t="s">
        <v>917</v>
      </c>
      <c r="AF105" s="232" t="s">
        <v>151</v>
      </c>
      <c r="AG105" s="250" t="s">
        <v>913</v>
      </c>
      <c r="AH105" s="293" t="s">
        <v>337</v>
      </c>
      <c r="AI105" s="404" t="s">
        <v>335</v>
      </c>
      <c r="AJ105" s="404" t="s">
        <v>207</v>
      </c>
    </row>
    <row r="106" spans="1:36" ht="13.4" customHeight="1">
      <c r="A106" s="403">
        <f t="shared" ref="A106" si="1">COUNTIF(C105:AG105,"★")</f>
        <v>4</v>
      </c>
      <c r="B106" s="24"/>
      <c r="C106" s="234" t="s">
        <v>913</v>
      </c>
      <c r="D106" s="234" t="s">
        <v>913</v>
      </c>
      <c r="E106" s="234" t="s">
        <v>929</v>
      </c>
      <c r="F106" s="234" t="s">
        <v>930</v>
      </c>
      <c r="G106" s="234" t="s">
        <v>922</v>
      </c>
      <c r="H106" s="233" t="s">
        <v>913</v>
      </c>
      <c r="I106" s="234" t="s">
        <v>913</v>
      </c>
      <c r="J106" s="234" t="s">
        <v>913</v>
      </c>
      <c r="K106" s="234" t="s">
        <v>913</v>
      </c>
      <c r="L106" s="234" t="s">
        <v>913</v>
      </c>
      <c r="M106" s="234" t="s">
        <v>930</v>
      </c>
      <c r="N106" s="234" t="s">
        <v>913</v>
      </c>
      <c r="O106" s="233" t="s">
        <v>922</v>
      </c>
      <c r="P106" s="234" t="s">
        <v>913</v>
      </c>
      <c r="Q106" s="234" t="s">
        <v>913</v>
      </c>
      <c r="R106" s="234" t="s">
        <v>913</v>
      </c>
      <c r="S106" s="234" t="s">
        <v>931</v>
      </c>
      <c r="T106" s="234" t="s">
        <v>931</v>
      </c>
      <c r="U106" s="234" t="s">
        <v>913</v>
      </c>
      <c r="V106" s="233" t="s">
        <v>913</v>
      </c>
      <c r="W106" s="234" t="s">
        <v>913</v>
      </c>
      <c r="X106" s="234" t="s">
        <v>913</v>
      </c>
      <c r="Y106" s="234" t="s">
        <v>913</v>
      </c>
      <c r="Z106" s="234" t="s">
        <v>923</v>
      </c>
      <c r="AA106" s="234" t="s">
        <v>930</v>
      </c>
      <c r="AB106" s="234" t="s">
        <v>916</v>
      </c>
      <c r="AC106" s="233" t="s">
        <v>922</v>
      </c>
      <c r="AD106" s="234" t="s">
        <v>913</v>
      </c>
      <c r="AE106" s="234" t="s">
        <v>922</v>
      </c>
      <c r="AF106" s="234" t="s">
        <v>913</v>
      </c>
      <c r="AG106" s="251" t="s">
        <v>913</v>
      </c>
      <c r="AH106" s="296"/>
    </row>
    <row r="107" spans="1:36" ht="13.4" customHeight="1">
      <c r="A107" s="403">
        <f>COUNTIF(C107:AG107,"★★")</f>
        <v>4</v>
      </c>
      <c r="B107" s="23" t="s">
        <v>338</v>
      </c>
      <c r="C107" s="232" t="s">
        <v>932</v>
      </c>
      <c r="D107" s="232" t="s">
        <v>932</v>
      </c>
      <c r="E107" s="232" t="s">
        <v>933</v>
      </c>
      <c r="F107" s="232" t="s">
        <v>934</v>
      </c>
      <c r="G107" s="232" t="s">
        <v>916</v>
      </c>
      <c r="H107" s="231" t="s">
        <v>151</v>
      </c>
      <c r="I107" s="232" t="s">
        <v>130</v>
      </c>
      <c r="J107" s="232" t="s">
        <v>917</v>
      </c>
      <c r="K107" s="232" t="s">
        <v>935</v>
      </c>
      <c r="L107" s="232" t="s">
        <v>202</v>
      </c>
      <c r="M107" s="232" t="s">
        <v>936</v>
      </c>
      <c r="N107" s="232" t="s">
        <v>220</v>
      </c>
      <c r="O107" s="231" t="s">
        <v>914</v>
      </c>
      <c r="P107" s="232" t="s">
        <v>130</v>
      </c>
      <c r="Q107" s="232" t="s">
        <v>151</v>
      </c>
      <c r="R107" s="232" t="s">
        <v>241</v>
      </c>
      <c r="S107" s="232" t="s">
        <v>937</v>
      </c>
      <c r="T107" s="232" t="s">
        <v>925</v>
      </c>
      <c r="U107" s="232" t="s">
        <v>912</v>
      </c>
      <c r="V107" s="231" t="s">
        <v>151</v>
      </c>
      <c r="W107" s="232" t="s">
        <v>130</v>
      </c>
      <c r="X107" s="232" t="s">
        <v>932</v>
      </c>
      <c r="Y107" s="232" t="s">
        <v>932</v>
      </c>
      <c r="Z107" s="232" t="s">
        <v>220</v>
      </c>
      <c r="AA107" s="232" t="s">
        <v>937</v>
      </c>
      <c r="AB107" s="232" t="s">
        <v>918</v>
      </c>
      <c r="AC107" s="231" t="s">
        <v>151</v>
      </c>
      <c r="AD107" s="232" t="s">
        <v>130</v>
      </c>
      <c r="AE107" s="232" t="s">
        <v>932</v>
      </c>
      <c r="AF107" s="232" t="s">
        <v>932</v>
      </c>
      <c r="AG107" s="250" t="s">
        <v>913</v>
      </c>
      <c r="AH107" s="293" t="s">
        <v>339</v>
      </c>
      <c r="AI107" s="404" t="s">
        <v>335</v>
      </c>
      <c r="AJ107" s="404" t="s">
        <v>207</v>
      </c>
    </row>
    <row r="108" spans="1:36" ht="13.4" customHeight="1">
      <c r="A108" s="403">
        <f>COUNTIF(C107:AG107,"★")</f>
        <v>4</v>
      </c>
      <c r="B108" s="24"/>
      <c r="C108" s="234" t="s">
        <v>938</v>
      </c>
      <c r="D108" s="234" t="s">
        <v>938</v>
      </c>
      <c r="E108" s="234" t="s">
        <v>913</v>
      </c>
      <c r="F108" s="234" t="s">
        <v>641</v>
      </c>
      <c r="G108" s="234" t="s">
        <v>935</v>
      </c>
      <c r="H108" s="233" t="s">
        <v>913</v>
      </c>
      <c r="I108" s="234" t="s">
        <v>913</v>
      </c>
      <c r="J108" s="234" t="s">
        <v>922</v>
      </c>
      <c r="K108" s="234" t="s">
        <v>913</v>
      </c>
      <c r="L108" s="234" t="s">
        <v>939</v>
      </c>
      <c r="M108" s="234" t="s">
        <v>940</v>
      </c>
      <c r="N108" s="234"/>
      <c r="O108" s="233" t="s">
        <v>937</v>
      </c>
      <c r="P108" s="234" t="s">
        <v>913</v>
      </c>
      <c r="Q108" s="234" t="s">
        <v>913</v>
      </c>
      <c r="R108" s="234" t="s">
        <v>913</v>
      </c>
      <c r="S108" s="234" t="s">
        <v>941</v>
      </c>
      <c r="T108" s="234" t="s">
        <v>930</v>
      </c>
      <c r="U108" s="234" t="s">
        <v>942</v>
      </c>
      <c r="V108" s="233" t="s">
        <v>913</v>
      </c>
      <c r="W108" s="234" t="s">
        <v>913</v>
      </c>
      <c r="X108" s="234" t="s">
        <v>942</v>
      </c>
      <c r="Y108" s="234" t="s">
        <v>942</v>
      </c>
      <c r="Z108" s="234" t="s">
        <v>913</v>
      </c>
      <c r="AA108" s="234" t="s">
        <v>941</v>
      </c>
      <c r="AB108" s="234"/>
      <c r="AC108" s="233" t="s">
        <v>913</v>
      </c>
      <c r="AD108" s="234" t="s">
        <v>913</v>
      </c>
      <c r="AE108" s="234" t="s">
        <v>942</v>
      </c>
      <c r="AF108" s="234" t="s">
        <v>942</v>
      </c>
      <c r="AG108" s="251" t="s">
        <v>913</v>
      </c>
      <c r="AH108" s="296"/>
      <c r="AI108" s="404"/>
      <c r="AJ108" s="404"/>
    </row>
    <row r="109" spans="1:36" ht="13.4" customHeight="1">
      <c r="A109" s="403">
        <f>COUNTIF(C109:AG109,"★★")</f>
        <v>4</v>
      </c>
      <c r="B109" s="518" t="s">
        <v>340</v>
      </c>
      <c r="C109" s="232"/>
      <c r="D109" s="232"/>
      <c r="E109" s="232"/>
      <c r="F109" s="232"/>
      <c r="G109" s="232"/>
      <c r="H109" s="231" t="s">
        <v>151</v>
      </c>
      <c r="I109" s="232" t="s">
        <v>130</v>
      </c>
      <c r="J109" s="232"/>
      <c r="K109" s="232"/>
      <c r="L109" s="232"/>
      <c r="M109" s="232"/>
      <c r="N109" s="232"/>
      <c r="O109" s="231" t="s">
        <v>151</v>
      </c>
      <c r="P109" s="232" t="s">
        <v>130</v>
      </c>
      <c r="Q109" s="232"/>
      <c r="R109" s="232"/>
      <c r="S109" s="232"/>
      <c r="T109" s="232"/>
      <c r="U109" s="232"/>
      <c r="V109" s="231" t="s">
        <v>151</v>
      </c>
      <c r="W109" s="232" t="s">
        <v>130</v>
      </c>
      <c r="X109" s="232"/>
      <c r="Y109" s="232"/>
      <c r="Z109" s="232"/>
      <c r="AA109" s="232"/>
      <c r="AB109" s="232"/>
      <c r="AC109" s="231" t="s">
        <v>151</v>
      </c>
      <c r="AD109" s="232" t="s">
        <v>130</v>
      </c>
      <c r="AE109" s="232"/>
      <c r="AF109" s="232"/>
      <c r="AG109" s="250"/>
      <c r="AH109" s="293" t="s">
        <v>976</v>
      </c>
      <c r="AI109" s="404" t="s">
        <v>335</v>
      </c>
      <c r="AJ109" s="404" t="s">
        <v>207</v>
      </c>
    </row>
    <row r="110" spans="1:36" ht="13.4" customHeight="1" thickBot="1">
      <c r="A110" s="403">
        <f>COUNTIF(C109:AG109,"★")</f>
        <v>4</v>
      </c>
      <c r="B110" s="424"/>
      <c r="C110" s="456"/>
      <c r="D110" s="456"/>
      <c r="E110" s="456"/>
      <c r="F110" s="456"/>
      <c r="G110" s="456"/>
      <c r="H110" s="457"/>
      <c r="I110" s="456"/>
      <c r="J110" s="456"/>
      <c r="K110" s="456"/>
      <c r="L110" s="456"/>
      <c r="M110" s="456"/>
      <c r="N110" s="456"/>
      <c r="O110" s="457"/>
      <c r="P110" s="456"/>
      <c r="Q110" s="456"/>
      <c r="R110" s="456"/>
      <c r="S110" s="456"/>
      <c r="T110" s="456"/>
      <c r="U110" s="456"/>
      <c r="V110" s="457"/>
      <c r="W110" s="456"/>
      <c r="X110" s="456"/>
      <c r="Y110" s="456"/>
      <c r="Z110" s="456"/>
      <c r="AA110" s="456"/>
      <c r="AB110" s="456"/>
      <c r="AC110" s="457"/>
      <c r="AD110" s="456"/>
      <c r="AE110" s="456"/>
      <c r="AF110" s="456"/>
      <c r="AG110" s="458"/>
      <c r="AH110" s="437"/>
      <c r="AI110" s="404"/>
      <c r="AJ110" s="404"/>
    </row>
    <row r="111" spans="1:36" ht="13.4" customHeight="1">
      <c r="A111" s="403">
        <f>COUNTIF(C111:AG111,"★★")</f>
        <v>4</v>
      </c>
      <c r="B111" s="23" t="s">
        <v>341</v>
      </c>
      <c r="C111" s="96"/>
      <c r="D111" s="96"/>
      <c r="E111" s="96"/>
      <c r="F111" s="96"/>
      <c r="G111" s="96"/>
      <c r="H111" s="149" t="s">
        <v>101</v>
      </c>
      <c r="I111" s="96" t="s">
        <v>102</v>
      </c>
      <c r="J111" s="96"/>
      <c r="K111" s="96"/>
      <c r="L111" s="96" t="s">
        <v>342</v>
      </c>
      <c r="M111" s="96"/>
      <c r="N111" s="96" t="s">
        <v>71</v>
      </c>
      <c r="O111" s="149" t="s">
        <v>26</v>
      </c>
      <c r="P111" s="96" t="s">
        <v>102</v>
      </c>
      <c r="Q111" s="96"/>
      <c r="R111" s="96"/>
      <c r="S111" s="96"/>
      <c r="T111" s="96" t="s">
        <v>342</v>
      </c>
      <c r="U111" s="96" t="s">
        <v>101</v>
      </c>
      <c r="V111" s="149" t="s">
        <v>101</v>
      </c>
      <c r="W111" s="96" t="s">
        <v>102</v>
      </c>
      <c r="X111" s="96"/>
      <c r="Y111" s="96" t="s">
        <v>69</v>
      </c>
      <c r="Z111" s="96"/>
      <c r="AA111" s="96"/>
      <c r="AB111" s="96"/>
      <c r="AC111" s="149" t="s">
        <v>101</v>
      </c>
      <c r="AD111" s="96" t="s">
        <v>102</v>
      </c>
      <c r="AE111" s="96"/>
      <c r="AF111" s="96" t="s">
        <v>342</v>
      </c>
      <c r="AG111" s="240"/>
      <c r="AH111" s="293" t="s">
        <v>343</v>
      </c>
      <c r="AI111" s="404" t="s">
        <v>122</v>
      </c>
      <c r="AJ111" s="404" t="s">
        <v>108</v>
      </c>
    </row>
    <row r="112" spans="1:36" ht="13.4" customHeight="1">
      <c r="A112" s="403">
        <f>COUNTIF(C111:AG111,"★")</f>
        <v>4</v>
      </c>
      <c r="B112" s="24"/>
      <c r="C112" s="75" t="s">
        <v>99</v>
      </c>
      <c r="D112" s="75" t="s">
        <v>897</v>
      </c>
      <c r="E112" s="75"/>
      <c r="F112" s="75"/>
      <c r="G112" s="75"/>
      <c r="H112" s="150"/>
      <c r="I112" s="75"/>
      <c r="J112" s="75"/>
      <c r="K112" s="75"/>
      <c r="L112" s="75" t="s">
        <v>127</v>
      </c>
      <c r="M112" s="75"/>
      <c r="N112" s="75" t="s">
        <v>199</v>
      </c>
      <c r="O112" s="150" t="s">
        <v>200</v>
      </c>
      <c r="P112" s="75" t="s">
        <v>127</v>
      </c>
      <c r="Q112" s="75"/>
      <c r="R112" s="75" t="s">
        <v>897</v>
      </c>
      <c r="S112" s="75" t="s">
        <v>898</v>
      </c>
      <c r="T112" s="75" t="s">
        <v>127</v>
      </c>
      <c r="U112" s="75" t="s">
        <v>127</v>
      </c>
      <c r="V112" s="150" t="s">
        <v>127</v>
      </c>
      <c r="W112" s="75" t="s">
        <v>127</v>
      </c>
      <c r="X112" s="75"/>
      <c r="Y112" s="75" t="s">
        <v>199</v>
      </c>
      <c r="Z112" s="75"/>
      <c r="AA112" s="75"/>
      <c r="AB112" s="75"/>
      <c r="AC112" s="150"/>
      <c r="AD112" s="75"/>
      <c r="AE112" s="75"/>
      <c r="AF112" s="75" t="s">
        <v>127</v>
      </c>
      <c r="AG112" s="241"/>
      <c r="AH112" s="296"/>
      <c r="AI112" s="404"/>
      <c r="AJ112" s="404"/>
    </row>
    <row r="113" spans="1:36" ht="13.4" customHeight="1">
      <c r="A113" s="403">
        <f>COUNTIF(C113:AG113,"★★")</f>
        <v>0</v>
      </c>
      <c r="B113" s="23" t="s">
        <v>344</v>
      </c>
      <c r="C113" s="96"/>
      <c r="D113" s="96"/>
      <c r="E113" s="96"/>
      <c r="F113" s="96"/>
      <c r="G113" s="96"/>
      <c r="H113" s="149" t="s">
        <v>68</v>
      </c>
      <c r="I113" s="96"/>
      <c r="J113" s="96"/>
      <c r="K113" s="96"/>
      <c r="L113" s="96"/>
      <c r="M113" s="96"/>
      <c r="N113" s="96"/>
      <c r="O113" s="149"/>
      <c r="P113" s="96"/>
      <c r="Q113" s="96"/>
      <c r="R113" s="96"/>
      <c r="S113" s="96"/>
      <c r="T113" s="96"/>
      <c r="U113" s="96"/>
      <c r="V113" s="149"/>
      <c r="W113" s="96"/>
      <c r="X113" s="96"/>
      <c r="Y113" s="96"/>
      <c r="Z113" s="96"/>
      <c r="AA113" s="96"/>
      <c r="AB113" s="96"/>
      <c r="AC113" s="149"/>
      <c r="AD113" s="96"/>
      <c r="AE113" s="96"/>
      <c r="AF113" s="96"/>
      <c r="AG113" s="240"/>
      <c r="AH113" s="293" t="s">
        <v>345</v>
      </c>
      <c r="AI113" s="404" t="s">
        <v>171</v>
      </c>
      <c r="AJ113" s="404" t="s">
        <v>186</v>
      </c>
    </row>
    <row r="114" spans="1:36" ht="13.4" customHeight="1">
      <c r="A114" s="403">
        <f>COUNTIF(C113:AG113,"★")</f>
        <v>0</v>
      </c>
      <c r="B114" s="24"/>
      <c r="C114" s="75"/>
      <c r="D114" s="75"/>
      <c r="E114" s="75"/>
      <c r="F114" s="75"/>
      <c r="G114" s="75"/>
      <c r="H114" s="150" t="s">
        <v>298</v>
      </c>
      <c r="I114" s="75"/>
      <c r="J114" s="75"/>
      <c r="K114" s="75"/>
      <c r="L114" s="75"/>
      <c r="M114" s="75"/>
      <c r="N114" s="75"/>
      <c r="O114" s="150"/>
      <c r="P114" s="75"/>
      <c r="Q114" s="75"/>
      <c r="R114" s="75"/>
      <c r="S114" s="75"/>
      <c r="T114" s="75"/>
      <c r="U114" s="75"/>
      <c r="V114" s="150"/>
      <c r="W114" s="75"/>
      <c r="X114" s="75"/>
      <c r="Y114" s="75"/>
      <c r="Z114" s="75"/>
      <c r="AA114" s="75"/>
      <c r="AB114" s="75"/>
      <c r="AC114" s="150"/>
      <c r="AD114" s="75"/>
      <c r="AE114" s="75"/>
      <c r="AF114" s="75"/>
      <c r="AG114" s="241"/>
      <c r="AH114" s="296"/>
      <c r="AI114" s="404"/>
      <c r="AJ114" s="404"/>
    </row>
    <row r="115" spans="1:36" ht="13.4" customHeight="1">
      <c r="A115" s="403">
        <f>COUNTIF(C115:AG115,"★★")</f>
        <v>4</v>
      </c>
      <c r="B115" s="23" t="s">
        <v>346</v>
      </c>
      <c r="C115" s="138"/>
      <c r="D115" s="138"/>
      <c r="E115" s="138"/>
      <c r="F115" s="138"/>
      <c r="G115" s="138"/>
      <c r="H115" s="151" t="s">
        <v>151</v>
      </c>
      <c r="I115" s="138" t="s">
        <v>130</v>
      </c>
      <c r="J115" s="138"/>
      <c r="K115" s="138"/>
      <c r="L115" s="138"/>
      <c r="M115" s="138"/>
      <c r="N115" s="138"/>
      <c r="O115" s="151" t="s">
        <v>151</v>
      </c>
      <c r="P115" s="138" t="s">
        <v>130</v>
      </c>
      <c r="Q115" s="138"/>
      <c r="R115" s="138"/>
      <c r="S115" s="138"/>
      <c r="T115" s="138"/>
      <c r="U115" s="138"/>
      <c r="V115" s="151" t="s">
        <v>151</v>
      </c>
      <c r="W115" s="138" t="s">
        <v>130</v>
      </c>
      <c r="X115" s="138"/>
      <c r="Y115" s="138"/>
      <c r="Z115" s="138"/>
      <c r="AA115" s="138"/>
      <c r="AB115" s="336"/>
      <c r="AC115" s="151" t="s">
        <v>151</v>
      </c>
      <c r="AD115" s="138" t="s">
        <v>130</v>
      </c>
      <c r="AE115" s="138"/>
      <c r="AF115" s="138"/>
      <c r="AG115" s="248"/>
      <c r="AH115" s="293" t="s">
        <v>347</v>
      </c>
      <c r="AI115" s="404" t="s">
        <v>107</v>
      </c>
      <c r="AJ115" s="404" t="s">
        <v>207</v>
      </c>
    </row>
    <row r="116" spans="1:36" ht="13.4" customHeight="1">
      <c r="A116" s="403">
        <f>COUNTIF(C115:AG115,"★")</f>
        <v>4</v>
      </c>
      <c r="B116" s="24"/>
      <c r="C116" s="139" t="s">
        <v>99</v>
      </c>
      <c r="D116" s="139"/>
      <c r="E116" s="139"/>
      <c r="F116" s="139"/>
      <c r="G116" s="139"/>
      <c r="H116" s="152"/>
      <c r="I116" s="139"/>
      <c r="J116" s="139"/>
      <c r="K116" s="139"/>
      <c r="L116" s="139"/>
      <c r="M116" s="139"/>
      <c r="N116" s="139"/>
      <c r="O116" s="152"/>
      <c r="P116" s="139"/>
      <c r="Q116" s="139"/>
      <c r="R116" s="139"/>
      <c r="S116" s="139"/>
      <c r="T116" s="139"/>
      <c r="U116" s="139"/>
      <c r="V116" s="152"/>
      <c r="W116" s="139"/>
      <c r="X116" s="139"/>
      <c r="Y116" s="139"/>
      <c r="Z116" s="139"/>
      <c r="AA116" s="139"/>
      <c r="AB116" s="337"/>
      <c r="AC116" s="152"/>
      <c r="AD116" s="139"/>
      <c r="AE116" s="139"/>
      <c r="AF116" s="139"/>
      <c r="AG116" s="249"/>
      <c r="AH116" s="296"/>
    </row>
    <row r="117" spans="1:36" ht="13.4" customHeight="1">
      <c r="A117" s="403">
        <f>COUNTIF(C117:AG117,"★★")</f>
        <v>4</v>
      </c>
      <c r="B117" s="23" t="s">
        <v>348</v>
      </c>
      <c r="C117" s="123"/>
      <c r="D117" s="123"/>
      <c r="E117" s="123"/>
      <c r="F117" s="123"/>
      <c r="G117" s="123"/>
      <c r="H117" s="157" t="s">
        <v>101</v>
      </c>
      <c r="I117" s="123" t="s">
        <v>102</v>
      </c>
      <c r="J117" s="123"/>
      <c r="K117" s="123"/>
      <c r="L117" s="123"/>
      <c r="M117" s="123"/>
      <c r="N117" s="123"/>
      <c r="O117" s="157" t="s">
        <v>101</v>
      </c>
      <c r="P117" s="123" t="s">
        <v>102</v>
      </c>
      <c r="Q117" s="123"/>
      <c r="R117" s="123"/>
      <c r="S117" s="123"/>
      <c r="T117" s="123"/>
      <c r="U117" s="123"/>
      <c r="V117" s="157" t="s">
        <v>101</v>
      </c>
      <c r="W117" s="123" t="s">
        <v>102</v>
      </c>
      <c r="X117" s="123"/>
      <c r="Y117" s="123"/>
      <c r="Z117" s="123"/>
      <c r="AA117" s="123"/>
      <c r="AB117" s="123"/>
      <c r="AC117" s="157" t="s">
        <v>101</v>
      </c>
      <c r="AD117" s="123" t="s">
        <v>102</v>
      </c>
      <c r="AE117" s="123"/>
      <c r="AF117" s="123"/>
      <c r="AG117" s="244"/>
      <c r="AH117" s="293" t="s">
        <v>349</v>
      </c>
      <c r="AI117" s="404" t="s">
        <v>135</v>
      </c>
      <c r="AJ117" s="404" t="s">
        <v>207</v>
      </c>
    </row>
    <row r="118" spans="1:36" ht="13.4" customHeight="1" thickBot="1">
      <c r="A118" s="403">
        <f>COUNTIF(C117:AG117,"★")</f>
        <v>4</v>
      </c>
      <c r="B118" s="430"/>
      <c r="C118" s="445" t="s">
        <v>99</v>
      </c>
      <c r="D118" s="445"/>
      <c r="E118" s="445"/>
      <c r="F118" s="445"/>
      <c r="G118" s="445"/>
      <c r="H118" s="446"/>
      <c r="I118" s="445"/>
      <c r="J118" s="445"/>
      <c r="K118" s="445"/>
      <c r="L118" s="445"/>
      <c r="M118" s="445"/>
      <c r="N118" s="445"/>
      <c r="O118" s="446"/>
      <c r="P118" s="445"/>
      <c r="Q118" s="445"/>
      <c r="R118" s="445"/>
      <c r="S118" s="445"/>
      <c r="T118" s="445"/>
      <c r="U118" s="445"/>
      <c r="V118" s="446"/>
      <c r="W118" s="445"/>
      <c r="X118" s="445"/>
      <c r="Y118" s="445"/>
      <c r="Z118" s="445"/>
      <c r="AA118" s="445"/>
      <c r="AB118" s="445"/>
      <c r="AC118" s="446"/>
      <c r="AD118" s="445"/>
      <c r="AE118" s="445"/>
      <c r="AF118" s="445"/>
      <c r="AG118" s="447"/>
      <c r="AH118" s="437"/>
      <c r="AI118" s="404"/>
      <c r="AJ118" s="404"/>
    </row>
    <row r="119" spans="1:36" ht="13.4" customHeight="1">
      <c r="B119" s="23"/>
      <c r="C119" s="96"/>
      <c r="D119" s="96"/>
      <c r="E119" s="96"/>
      <c r="F119" s="96"/>
      <c r="G119" s="96"/>
      <c r="H119" s="149"/>
      <c r="I119" s="96"/>
      <c r="J119" s="96"/>
      <c r="K119" s="96"/>
      <c r="L119" s="96"/>
      <c r="M119" s="96"/>
      <c r="N119" s="96"/>
      <c r="O119" s="149"/>
      <c r="P119" s="96"/>
      <c r="Q119" s="96"/>
      <c r="R119" s="96"/>
      <c r="S119" s="96"/>
      <c r="T119" s="96"/>
      <c r="U119" s="96"/>
      <c r="V119" s="149"/>
      <c r="W119" s="96"/>
      <c r="X119" s="96"/>
      <c r="Y119" s="96"/>
      <c r="Z119" s="96"/>
      <c r="AA119" s="96"/>
      <c r="AB119" s="96"/>
      <c r="AC119" s="149"/>
      <c r="AD119" s="96"/>
      <c r="AE119" s="96"/>
      <c r="AF119" s="96"/>
      <c r="AG119" s="240"/>
      <c r="AH119" s="293"/>
      <c r="AI119" s="404"/>
      <c r="AJ119" s="404"/>
    </row>
    <row r="120" spans="1:36" ht="13.4" customHeight="1">
      <c r="B120" s="24"/>
      <c r="C120" s="75"/>
      <c r="D120" s="75"/>
      <c r="E120" s="75"/>
      <c r="F120" s="75"/>
      <c r="G120" s="75"/>
      <c r="H120" s="150"/>
      <c r="I120" s="75"/>
      <c r="J120" s="75"/>
      <c r="K120" s="75"/>
      <c r="L120" s="75"/>
      <c r="M120" s="75"/>
      <c r="N120" s="75"/>
      <c r="O120" s="150"/>
      <c r="P120" s="75"/>
      <c r="Q120" s="75"/>
      <c r="R120" s="75"/>
      <c r="S120" s="75"/>
      <c r="T120" s="75"/>
      <c r="U120" s="75"/>
      <c r="V120" s="150"/>
      <c r="W120" s="75"/>
      <c r="X120" s="75"/>
      <c r="Y120" s="75"/>
      <c r="Z120" s="75"/>
      <c r="AA120" s="75"/>
      <c r="AB120" s="75"/>
      <c r="AC120" s="150"/>
      <c r="AD120" s="75"/>
      <c r="AE120" s="75"/>
      <c r="AF120" s="75"/>
      <c r="AG120" s="241"/>
      <c r="AH120" s="296"/>
      <c r="AI120" s="404"/>
      <c r="AJ120" s="404"/>
    </row>
    <row r="121" spans="1:36" ht="13.4" customHeight="1">
      <c r="B121" s="23"/>
      <c r="C121" s="96"/>
      <c r="D121" s="96"/>
      <c r="E121" s="96"/>
      <c r="F121" s="96"/>
      <c r="G121" s="96"/>
      <c r="H121" s="149"/>
      <c r="I121" s="96"/>
      <c r="J121" s="96"/>
      <c r="K121" s="96"/>
      <c r="L121" s="96"/>
      <c r="M121" s="96"/>
      <c r="N121" s="96"/>
      <c r="O121" s="149"/>
      <c r="P121" s="335"/>
      <c r="Q121" s="96"/>
      <c r="R121" s="96"/>
      <c r="S121" s="96"/>
      <c r="T121" s="96"/>
      <c r="U121" s="96"/>
      <c r="V121" s="149"/>
      <c r="W121" s="96"/>
      <c r="X121" s="96"/>
      <c r="Y121" s="335"/>
      <c r="Z121" s="96"/>
      <c r="AA121" s="96"/>
      <c r="AB121" s="96"/>
      <c r="AC121" s="338"/>
      <c r="AD121" s="335"/>
      <c r="AE121" s="96"/>
      <c r="AF121" s="96"/>
      <c r="AG121" s="240"/>
      <c r="AH121" s="293"/>
      <c r="AI121" s="404"/>
      <c r="AJ121" s="404"/>
    </row>
    <row r="122" spans="1:36" ht="13.4" customHeight="1">
      <c r="B122" s="24"/>
      <c r="C122" s="75"/>
      <c r="D122" s="75"/>
      <c r="E122" s="75"/>
      <c r="F122" s="75"/>
      <c r="G122" s="75"/>
      <c r="H122" s="150"/>
      <c r="I122" s="75"/>
      <c r="J122" s="75"/>
      <c r="K122" s="75"/>
      <c r="L122" s="75"/>
      <c r="M122" s="75"/>
      <c r="N122" s="75"/>
      <c r="O122" s="150"/>
      <c r="P122" s="75"/>
      <c r="Q122" s="75"/>
      <c r="R122" s="75"/>
      <c r="S122" s="75"/>
      <c r="T122" s="75"/>
      <c r="U122" s="75"/>
      <c r="V122" s="150"/>
      <c r="W122" s="75"/>
      <c r="X122" s="75"/>
      <c r="Y122" s="75"/>
      <c r="Z122" s="75"/>
      <c r="AA122" s="75"/>
      <c r="AB122" s="75"/>
      <c r="AC122" s="150"/>
      <c r="AD122" s="75"/>
      <c r="AE122" s="75"/>
      <c r="AF122" s="75"/>
      <c r="AG122" s="241"/>
      <c r="AH122" s="296"/>
      <c r="AI122" s="404"/>
      <c r="AJ122" s="404"/>
    </row>
    <row r="123" spans="1:36" ht="13.4" customHeight="1">
      <c r="B123" s="23"/>
      <c r="C123" s="13"/>
      <c r="D123" s="13"/>
      <c r="E123" s="13"/>
      <c r="F123" s="13"/>
      <c r="G123" s="13"/>
      <c r="H123" s="268"/>
      <c r="I123" s="13"/>
      <c r="J123" s="13"/>
      <c r="K123" s="13"/>
      <c r="L123" s="13"/>
      <c r="M123" s="13"/>
      <c r="N123" s="13"/>
      <c r="O123" s="268"/>
      <c r="P123" s="13"/>
      <c r="Q123" s="13"/>
      <c r="R123" s="13"/>
      <c r="S123" s="13"/>
      <c r="T123" s="13"/>
      <c r="U123" s="13"/>
      <c r="V123" s="268"/>
      <c r="W123" s="13"/>
      <c r="X123" s="13"/>
      <c r="Y123" s="13"/>
      <c r="Z123" s="13"/>
      <c r="AA123" s="13"/>
      <c r="AB123" s="13"/>
      <c r="AC123" s="268"/>
      <c r="AD123" s="13"/>
      <c r="AE123" s="13"/>
      <c r="AF123" s="13"/>
      <c r="AG123" s="14"/>
      <c r="AH123" s="293"/>
      <c r="AI123" s="404"/>
      <c r="AJ123" s="404"/>
    </row>
    <row r="124" spans="1:36" ht="13.4" customHeight="1">
      <c r="B124" s="24"/>
      <c r="C124" s="15"/>
      <c r="D124" s="15"/>
      <c r="E124" s="15"/>
      <c r="F124" s="15"/>
      <c r="G124" s="15"/>
      <c r="H124" s="269"/>
      <c r="I124" s="15"/>
      <c r="J124" s="15"/>
      <c r="K124" s="15"/>
      <c r="L124" s="15"/>
      <c r="M124" s="15"/>
      <c r="N124" s="15"/>
      <c r="O124" s="269"/>
      <c r="P124" s="15"/>
      <c r="Q124" s="15"/>
      <c r="R124" s="15"/>
      <c r="S124" s="15"/>
      <c r="T124" s="15"/>
      <c r="U124" s="15"/>
      <c r="V124" s="269"/>
      <c r="W124" s="15"/>
      <c r="X124" s="15"/>
      <c r="Y124" s="15"/>
      <c r="Z124" s="15"/>
      <c r="AA124" s="15"/>
      <c r="AB124" s="15"/>
      <c r="AC124" s="269"/>
      <c r="AD124" s="15"/>
      <c r="AE124" s="15"/>
      <c r="AF124" s="15"/>
      <c r="AG124" s="16"/>
      <c r="AH124" s="296"/>
      <c r="AI124" s="404"/>
      <c r="AJ124" s="404"/>
    </row>
    <row r="125" spans="1:36" ht="13.4" customHeight="1">
      <c r="B125" s="23"/>
      <c r="C125" s="96"/>
      <c r="D125" s="96"/>
      <c r="E125" s="96"/>
      <c r="F125" s="96"/>
      <c r="G125" s="96"/>
      <c r="H125" s="149"/>
      <c r="I125" s="96"/>
      <c r="J125" s="96"/>
      <c r="K125" s="96"/>
      <c r="L125" s="96"/>
      <c r="M125" s="96"/>
      <c r="N125" s="96"/>
      <c r="O125" s="149"/>
      <c r="P125" s="96"/>
      <c r="Q125" s="96"/>
      <c r="R125" s="96"/>
      <c r="S125" s="96"/>
      <c r="T125" s="96"/>
      <c r="U125" s="96"/>
      <c r="V125" s="149"/>
      <c r="W125" s="96"/>
      <c r="X125" s="96"/>
      <c r="Y125" s="96"/>
      <c r="Z125" s="96"/>
      <c r="AA125" s="96"/>
      <c r="AB125" s="96"/>
      <c r="AC125" s="149"/>
      <c r="AD125" s="96"/>
      <c r="AE125" s="96"/>
      <c r="AF125" s="96"/>
      <c r="AG125" s="240"/>
      <c r="AH125" s="293"/>
      <c r="AI125" s="404"/>
      <c r="AJ125" s="404"/>
    </row>
    <row r="126" spans="1:36" ht="13.4" customHeight="1">
      <c r="B126" s="24"/>
      <c r="C126" s="75"/>
      <c r="D126" s="75"/>
      <c r="E126" s="75"/>
      <c r="F126" s="75"/>
      <c r="G126" s="75"/>
      <c r="H126" s="150"/>
      <c r="I126" s="75"/>
      <c r="J126" s="75"/>
      <c r="K126" s="75"/>
      <c r="L126" s="75"/>
      <c r="M126" s="75"/>
      <c r="N126" s="75"/>
      <c r="O126" s="150"/>
      <c r="P126" s="75"/>
      <c r="Q126" s="75"/>
      <c r="R126" s="75"/>
      <c r="S126" s="75"/>
      <c r="T126" s="75"/>
      <c r="U126" s="75"/>
      <c r="V126" s="150"/>
      <c r="W126" s="75"/>
      <c r="X126" s="75"/>
      <c r="Y126" s="75"/>
      <c r="Z126" s="75"/>
      <c r="AA126" s="75"/>
      <c r="AB126" s="75"/>
      <c r="AC126" s="150"/>
      <c r="AD126" s="75"/>
      <c r="AE126" s="75"/>
      <c r="AF126" s="75"/>
      <c r="AG126" s="241"/>
      <c r="AH126" s="296"/>
      <c r="AI126" s="404"/>
      <c r="AJ126" s="404"/>
    </row>
    <row r="127" spans="1:36" ht="13.4" customHeight="1">
      <c r="B127" s="23"/>
      <c r="C127" s="96"/>
      <c r="D127" s="96"/>
      <c r="E127" s="96"/>
      <c r="F127" s="96"/>
      <c r="G127" s="96"/>
      <c r="H127" s="149"/>
      <c r="I127" s="96"/>
      <c r="J127" s="96"/>
      <c r="K127" s="96"/>
      <c r="L127" s="96"/>
      <c r="M127" s="96"/>
      <c r="N127" s="96"/>
      <c r="O127" s="149"/>
      <c r="P127" s="96"/>
      <c r="Q127" s="96"/>
      <c r="R127" s="96"/>
      <c r="S127" s="96"/>
      <c r="T127" s="96"/>
      <c r="U127" s="96"/>
      <c r="V127" s="149"/>
      <c r="W127" s="96"/>
      <c r="X127" s="96"/>
      <c r="Y127" s="96"/>
      <c r="Z127" s="96"/>
      <c r="AA127" s="96"/>
      <c r="AB127" s="96"/>
      <c r="AC127" s="149"/>
      <c r="AD127" s="96"/>
      <c r="AE127" s="96"/>
      <c r="AF127" s="96"/>
      <c r="AG127" s="240"/>
      <c r="AH127" s="293"/>
    </row>
    <row r="128" spans="1:36" ht="13.4" customHeight="1">
      <c r="B128" s="24"/>
      <c r="C128" s="75"/>
      <c r="D128" s="75"/>
      <c r="E128" s="75"/>
      <c r="F128" s="75"/>
      <c r="G128" s="75"/>
      <c r="H128" s="150"/>
      <c r="I128" s="75"/>
      <c r="J128" s="75"/>
      <c r="K128" s="75"/>
      <c r="L128" s="75"/>
      <c r="M128" s="75"/>
      <c r="N128" s="75"/>
      <c r="O128" s="150"/>
      <c r="P128" s="75"/>
      <c r="Q128" s="75"/>
      <c r="R128" s="75"/>
      <c r="S128" s="75"/>
      <c r="T128" s="75"/>
      <c r="U128" s="75"/>
      <c r="V128" s="150"/>
      <c r="W128" s="75"/>
      <c r="X128" s="75"/>
      <c r="Y128" s="75"/>
      <c r="Z128" s="75"/>
      <c r="AA128" s="75"/>
      <c r="AB128" s="75"/>
      <c r="AC128" s="150"/>
      <c r="AD128" s="75"/>
      <c r="AE128" s="75"/>
      <c r="AF128" s="75"/>
      <c r="AG128" s="241"/>
      <c r="AH128" s="296"/>
    </row>
    <row r="129" spans="2:34" ht="13.4" customHeight="1">
      <c r="B129" s="23"/>
      <c r="C129" s="96"/>
      <c r="D129" s="96"/>
      <c r="E129" s="96"/>
      <c r="F129" s="96"/>
      <c r="G129" s="96"/>
      <c r="H129" s="149"/>
      <c r="I129" s="96"/>
      <c r="J129" s="96"/>
      <c r="K129" s="96"/>
      <c r="L129" s="96"/>
      <c r="M129" s="96"/>
      <c r="N129" s="96"/>
      <c r="O129" s="149"/>
      <c r="P129" s="96"/>
      <c r="Q129" s="96"/>
      <c r="R129" s="96"/>
      <c r="S129" s="96"/>
      <c r="T129" s="96"/>
      <c r="U129" s="96"/>
      <c r="V129" s="149"/>
      <c r="W129" s="96"/>
      <c r="X129" s="96"/>
      <c r="Y129" s="96"/>
      <c r="Z129" s="96"/>
      <c r="AA129" s="96"/>
      <c r="AB129" s="96"/>
      <c r="AC129" s="149"/>
      <c r="AD129" s="96"/>
      <c r="AE129" s="96"/>
      <c r="AF129" s="96"/>
      <c r="AG129" s="240"/>
      <c r="AH129" s="293"/>
    </row>
    <row r="130" spans="2:34" ht="13.4" customHeight="1">
      <c r="B130" s="24"/>
      <c r="C130" s="75"/>
      <c r="D130" s="75"/>
      <c r="E130" s="75"/>
      <c r="F130" s="75"/>
      <c r="G130" s="75"/>
      <c r="H130" s="150"/>
      <c r="I130" s="75"/>
      <c r="J130" s="75"/>
      <c r="K130" s="75"/>
      <c r="L130" s="75"/>
      <c r="M130" s="75"/>
      <c r="N130" s="75"/>
      <c r="O130" s="150"/>
      <c r="P130" s="75"/>
      <c r="Q130" s="75"/>
      <c r="R130" s="75"/>
      <c r="S130" s="75"/>
      <c r="T130" s="75"/>
      <c r="U130" s="75"/>
      <c r="V130" s="150"/>
      <c r="W130" s="75"/>
      <c r="X130" s="75"/>
      <c r="Y130" s="75"/>
      <c r="Z130" s="75"/>
      <c r="AA130" s="75"/>
      <c r="AB130" s="75"/>
      <c r="AC130" s="150"/>
      <c r="AD130" s="75"/>
      <c r="AE130" s="75"/>
      <c r="AF130" s="75"/>
      <c r="AG130" s="241"/>
      <c r="AH130" s="296"/>
    </row>
    <row r="131" spans="2:34" ht="13.4" customHeight="1">
      <c r="B131" s="23"/>
      <c r="C131" s="96"/>
      <c r="D131" s="96"/>
      <c r="E131" s="96"/>
      <c r="F131" s="96"/>
      <c r="G131" s="96"/>
      <c r="H131" s="149"/>
      <c r="I131" s="96"/>
      <c r="J131" s="96"/>
      <c r="K131" s="96"/>
      <c r="L131" s="96"/>
      <c r="M131" s="96"/>
      <c r="N131" s="96"/>
      <c r="O131" s="149"/>
      <c r="P131" s="96"/>
      <c r="Q131" s="96"/>
      <c r="R131" s="96"/>
      <c r="S131" s="96"/>
      <c r="T131" s="96"/>
      <c r="U131" s="96"/>
      <c r="V131" s="149"/>
      <c r="W131" s="96"/>
      <c r="X131" s="96"/>
      <c r="Y131" s="96"/>
      <c r="Z131" s="96"/>
      <c r="AA131" s="96"/>
      <c r="AB131" s="96"/>
      <c r="AC131" s="149"/>
      <c r="AD131" s="96"/>
      <c r="AE131" s="96"/>
      <c r="AF131" s="96"/>
      <c r="AG131" s="240"/>
      <c r="AH131" s="293"/>
    </row>
    <row r="132" spans="2:34" ht="13.4" customHeight="1">
      <c r="B132" s="24"/>
      <c r="C132" s="75"/>
      <c r="D132" s="75"/>
      <c r="E132" s="75"/>
      <c r="F132" s="75"/>
      <c r="G132" s="75"/>
      <c r="H132" s="150"/>
      <c r="I132" s="75"/>
      <c r="J132" s="75"/>
      <c r="K132" s="75"/>
      <c r="L132" s="75"/>
      <c r="M132" s="75"/>
      <c r="N132" s="75"/>
      <c r="O132" s="150"/>
      <c r="P132" s="75"/>
      <c r="Q132" s="75"/>
      <c r="R132" s="75"/>
      <c r="S132" s="75"/>
      <c r="T132" s="75"/>
      <c r="U132" s="75"/>
      <c r="V132" s="150"/>
      <c r="W132" s="75"/>
      <c r="X132" s="75"/>
      <c r="Y132" s="75"/>
      <c r="Z132" s="75"/>
      <c r="AA132" s="75"/>
      <c r="AB132" s="75"/>
      <c r="AC132" s="150"/>
      <c r="AD132" s="75"/>
      <c r="AE132" s="75"/>
      <c r="AF132" s="75"/>
      <c r="AG132" s="241"/>
      <c r="AH132" s="296"/>
    </row>
    <row r="133" spans="2:34" ht="13.4" customHeight="1">
      <c r="B133" s="23"/>
      <c r="C133" s="96"/>
      <c r="D133" s="96"/>
      <c r="E133" s="96"/>
      <c r="F133" s="96"/>
      <c r="G133" s="96"/>
      <c r="H133" s="149"/>
      <c r="I133" s="96"/>
      <c r="J133" s="96"/>
      <c r="K133" s="96"/>
      <c r="L133" s="96"/>
      <c r="M133" s="96"/>
      <c r="N133" s="96"/>
      <c r="O133" s="149"/>
      <c r="P133" s="96"/>
      <c r="Q133" s="96"/>
      <c r="R133" s="96"/>
      <c r="S133" s="96"/>
      <c r="T133" s="96"/>
      <c r="U133" s="96"/>
      <c r="V133" s="149"/>
      <c r="W133" s="96"/>
      <c r="X133" s="96"/>
      <c r="Y133" s="96"/>
      <c r="Z133" s="96"/>
      <c r="AA133" s="96"/>
      <c r="AB133" s="96"/>
      <c r="AC133" s="149"/>
      <c r="AD133" s="96"/>
      <c r="AE133" s="96"/>
      <c r="AF133" s="96"/>
      <c r="AG133" s="240"/>
      <c r="AH133" s="293"/>
    </row>
    <row r="134" spans="2:34" ht="13.4" customHeight="1">
      <c r="B134" s="24"/>
      <c r="C134" s="75"/>
      <c r="D134" s="75"/>
      <c r="E134" s="75"/>
      <c r="F134" s="75"/>
      <c r="G134" s="75"/>
      <c r="H134" s="150"/>
      <c r="I134" s="75"/>
      <c r="J134" s="75"/>
      <c r="K134" s="75"/>
      <c r="L134" s="75"/>
      <c r="M134" s="75"/>
      <c r="N134" s="75"/>
      <c r="O134" s="150"/>
      <c r="P134" s="75"/>
      <c r="Q134" s="75"/>
      <c r="R134" s="75"/>
      <c r="S134" s="75"/>
      <c r="T134" s="75"/>
      <c r="U134" s="75"/>
      <c r="V134" s="150"/>
      <c r="W134" s="75"/>
      <c r="X134" s="75"/>
      <c r="Y134" s="75"/>
      <c r="Z134" s="75"/>
      <c r="AA134" s="75"/>
      <c r="AB134" s="75"/>
      <c r="AC134" s="150"/>
      <c r="AD134" s="75"/>
      <c r="AE134" s="75"/>
      <c r="AF134" s="75"/>
      <c r="AG134" s="241"/>
      <c r="AH134" s="296"/>
    </row>
    <row r="135" spans="2:34" ht="13.4" customHeight="1">
      <c r="B135" s="23"/>
      <c r="C135" s="96"/>
      <c r="D135" s="96"/>
      <c r="E135" s="96"/>
      <c r="F135" s="96"/>
      <c r="G135" s="96"/>
      <c r="H135" s="149"/>
      <c r="I135" s="96"/>
      <c r="J135" s="96"/>
      <c r="K135" s="96"/>
      <c r="L135" s="96"/>
      <c r="M135" s="96"/>
      <c r="N135" s="96"/>
      <c r="O135" s="149"/>
      <c r="P135" s="96"/>
      <c r="Q135" s="96"/>
      <c r="R135" s="96"/>
      <c r="S135" s="96"/>
      <c r="T135" s="96"/>
      <c r="U135" s="96"/>
      <c r="V135" s="149"/>
      <c r="W135" s="96"/>
      <c r="X135" s="96"/>
      <c r="Y135" s="96"/>
      <c r="Z135" s="96"/>
      <c r="AA135" s="96"/>
      <c r="AB135" s="96"/>
      <c r="AC135" s="149"/>
      <c r="AD135" s="96"/>
      <c r="AE135" s="96"/>
      <c r="AF135" s="96"/>
      <c r="AG135" s="240"/>
      <c r="AH135" s="293"/>
    </row>
    <row r="136" spans="2:34" ht="13.4" customHeight="1" thickBot="1">
      <c r="B136" s="430"/>
      <c r="C136" s="442"/>
      <c r="D136" s="442"/>
      <c r="E136" s="442"/>
      <c r="F136" s="442"/>
      <c r="G136" s="442"/>
      <c r="H136" s="443"/>
      <c r="I136" s="442"/>
      <c r="J136" s="442"/>
      <c r="K136" s="442"/>
      <c r="L136" s="442"/>
      <c r="M136" s="442"/>
      <c r="N136" s="442"/>
      <c r="O136" s="443"/>
      <c r="P136" s="442"/>
      <c r="Q136" s="442"/>
      <c r="R136" s="442"/>
      <c r="S136" s="442"/>
      <c r="T136" s="442"/>
      <c r="U136" s="442"/>
      <c r="V136" s="443"/>
      <c r="W136" s="442"/>
      <c r="X136" s="442"/>
      <c r="Y136" s="442"/>
      <c r="Z136" s="442"/>
      <c r="AA136" s="442"/>
      <c r="AB136" s="442"/>
      <c r="AC136" s="443"/>
      <c r="AD136" s="442"/>
      <c r="AE136" s="442"/>
      <c r="AF136" s="442"/>
      <c r="AG136" s="444"/>
      <c r="AH136" s="437"/>
    </row>
    <row r="137" spans="2:34" ht="13.4" customHeight="1">
      <c r="B137" s="299" t="str">
        <f>月間設定!C1&amp;"年"</f>
        <v>2026年</v>
      </c>
      <c r="C137" s="409">
        <v>1</v>
      </c>
      <c r="D137" s="409">
        <v>2</v>
      </c>
      <c r="E137" s="409">
        <v>3</v>
      </c>
      <c r="F137" s="409">
        <v>4</v>
      </c>
      <c r="G137" s="409">
        <v>5</v>
      </c>
      <c r="H137" s="413">
        <v>6</v>
      </c>
      <c r="I137" s="409">
        <v>7</v>
      </c>
      <c r="J137" s="409">
        <v>8</v>
      </c>
      <c r="K137" s="409">
        <v>9</v>
      </c>
      <c r="L137" s="409">
        <v>10</v>
      </c>
      <c r="M137" s="409">
        <v>11</v>
      </c>
      <c r="N137" s="409">
        <v>12</v>
      </c>
      <c r="O137" s="413">
        <v>13</v>
      </c>
      <c r="P137" s="409">
        <v>14</v>
      </c>
      <c r="Q137" s="409">
        <v>15</v>
      </c>
      <c r="R137" s="409">
        <v>16</v>
      </c>
      <c r="S137" s="409">
        <v>17</v>
      </c>
      <c r="T137" s="409">
        <v>18</v>
      </c>
      <c r="U137" s="409">
        <v>19</v>
      </c>
      <c r="V137" s="413">
        <v>20</v>
      </c>
      <c r="W137" s="409">
        <v>21</v>
      </c>
      <c r="X137" s="409">
        <v>22</v>
      </c>
      <c r="Y137" s="409">
        <v>23</v>
      </c>
      <c r="Z137" s="409">
        <v>24</v>
      </c>
      <c r="AA137" s="409">
        <v>25</v>
      </c>
      <c r="AB137" s="409">
        <v>26</v>
      </c>
      <c r="AC137" s="413">
        <v>27</v>
      </c>
      <c r="AD137" s="409">
        <v>28</v>
      </c>
      <c r="AE137" s="409">
        <v>29</v>
      </c>
      <c r="AF137" s="409">
        <v>30</v>
      </c>
      <c r="AG137" s="411">
        <v>31</v>
      </c>
      <c r="AH137" s="297" t="s">
        <v>17</v>
      </c>
    </row>
    <row r="138" spans="2:34" ht="13.4" customHeight="1" thickBot="1">
      <c r="B138" s="432" t="str">
        <f>月間設定!E1&amp;"月"</f>
        <v>6月</v>
      </c>
      <c r="C138" s="431">
        <f>月間設定!C4</f>
        <v>2</v>
      </c>
      <c r="D138" s="431">
        <f>月間設定!D4</f>
        <v>3</v>
      </c>
      <c r="E138" s="431">
        <f>月間設定!E4</f>
        <v>4</v>
      </c>
      <c r="F138" s="431">
        <f>月間設定!F4</f>
        <v>5</v>
      </c>
      <c r="G138" s="431">
        <f>月間設定!G4</f>
        <v>6</v>
      </c>
      <c r="H138" s="438">
        <f>月間設定!H4</f>
        <v>7</v>
      </c>
      <c r="I138" s="431">
        <f>月間設定!I4</f>
        <v>1</v>
      </c>
      <c r="J138" s="431">
        <f>月間設定!J4</f>
        <v>2</v>
      </c>
      <c r="K138" s="431">
        <f>月間設定!K4</f>
        <v>3</v>
      </c>
      <c r="L138" s="431">
        <f>月間設定!L4</f>
        <v>4</v>
      </c>
      <c r="M138" s="431">
        <f>月間設定!M4</f>
        <v>5</v>
      </c>
      <c r="N138" s="431">
        <f>月間設定!N4</f>
        <v>6</v>
      </c>
      <c r="O138" s="438">
        <f>月間設定!O4</f>
        <v>7</v>
      </c>
      <c r="P138" s="431">
        <f>月間設定!P4</f>
        <v>1</v>
      </c>
      <c r="Q138" s="431">
        <f>月間設定!Q4</f>
        <v>2</v>
      </c>
      <c r="R138" s="431">
        <f>月間設定!R4</f>
        <v>3</v>
      </c>
      <c r="S138" s="431">
        <f>月間設定!S4</f>
        <v>4</v>
      </c>
      <c r="T138" s="431">
        <f>月間設定!T4</f>
        <v>5</v>
      </c>
      <c r="U138" s="431">
        <f>月間設定!U4</f>
        <v>6</v>
      </c>
      <c r="V138" s="438">
        <f>月間設定!V4</f>
        <v>7</v>
      </c>
      <c r="W138" s="431">
        <f>月間設定!W4</f>
        <v>1</v>
      </c>
      <c r="X138" s="431">
        <f>月間設定!X4</f>
        <v>2</v>
      </c>
      <c r="Y138" s="431">
        <f>月間設定!Y4</f>
        <v>3</v>
      </c>
      <c r="Z138" s="431">
        <f>月間設定!Z4</f>
        <v>4</v>
      </c>
      <c r="AA138" s="431">
        <f>月間設定!AA4</f>
        <v>5</v>
      </c>
      <c r="AB138" s="431">
        <f>月間設定!AB4</f>
        <v>6</v>
      </c>
      <c r="AC138" s="438">
        <f>月間設定!AC4</f>
        <v>7</v>
      </c>
      <c r="AD138" s="431">
        <f>月間設定!AD4</f>
        <v>1</v>
      </c>
      <c r="AE138" s="431">
        <f>月間設定!AE4</f>
        <v>2</v>
      </c>
      <c r="AF138" s="431">
        <f>月間設定!AF4</f>
        <v>3</v>
      </c>
      <c r="AG138" s="433" t="str">
        <f>月間設定!AG4</f>
        <v/>
      </c>
      <c r="AH138" s="434" t="str">
        <f>月間設定!I1&amp;"日"</f>
        <v>8日</v>
      </c>
    </row>
    <row r="139" spans="2:34" ht="13.4" customHeight="1">
      <c r="C139" s="405"/>
      <c r="D139" s="405"/>
      <c r="E139" s="405"/>
      <c r="F139" s="405"/>
      <c r="G139" s="405"/>
      <c r="H139" s="405"/>
      <c r="I139" s="405"/>
      <c r="J139" s="405"/>
      <c r="K139" s="405"/>
      <c r="L139" s="405"/>
      <c r="M139" s="405"/>
      <c r="N139" s="405"/>
      <c r="O139" s="405"/>
      <c r="P139" s="405"/>
      <c r="Q139" s="405"/>
      <c r="R139" s="405"/>
      <c r="S139" s="405"/>
      <c r="T139" s="405"/>
      <c r="U139" s="405"/>
      <c r="V139" s="405"/>
      <c r="W139" s="405"/>
      <c r="X139" s="405"/>
      <c r="Y139" s="405"/>
      <c r="Z139" s="405"/>
      <c r="AA139" s="405"/>
      <c r="AB139" s="405"/>
      <c r="AC139" s="405"/>
      <c r="AD139" s="405"/>
      <c r="AE139" s="405"/>
      <c r="AF139" s="405"/>
      <c r="AG139" s="405"/>
    </row>
    <row r="140" spans="2:34" ht="13.4" customHeight="1">
      <c r="C140" s="405"/>
      <c r="D140" s="405"/>
      <c r="E140" s="405"/>
      <c r="F140" s="405"/>
      <c r="G140" s="405"/>
      <c r="H140" s="405"/>
      <c r="I140" s="405"/>
      <c r="J140" s="405"/>
      <c r="K140" s="405"/>
      <c r="L140" s="405"/>
      <c r="M140" s="405"/>
      <c r="N140" s="405"/>
      <c r="O140" s="405"/>
      <c r="P140" s="405"/>
      <c r="Q140" s="405"/>
      <c r="R140" s="405"/>
      <c r="S140" s="405"/>
      <c r="T140" s="405"/>
      <c r="U140" s="405"/>
      <c r="V140" s="405"/>
      <c r="W140" s="405"/>
      <c r="X140" s="405"/>
      <c r="Y140" s="405"/>
      <c r="Z140" s="405"/>
      <c r="AA140" s="405"/>
      <c r="AB140" s="405"/>
      <c r="AC140" s="405"/>
      <c r="AD140" s="405"/>
      <c r="AE140" s="405"/>
      <c r="AF140" s="405"/>
      <c r="AG140" s="405"/>
    </row>
    <row r="141" spans="2:34" ht="13.4" customHeight="1">
      <c r="C141" s="405"/>
      <c r="D141" s="405"/>
      <c r="E141" s="405"/>
      <c r="F141" s="405"/>
      <c r="G141" s="405"/>
      <c r="H141" s="405"/>
      <c r="I141" s="405"/>
      <c r="J141" s="405"/>
      <c r="K141" s="405"/>
      <c r="L141" s="405"/>
      <c r="M141" s="405"/>
      <c r="N141" s="405"/>
      <c r="O141" s="405"/>
      <c r="P141" s="405"/>
      <c r="Q141" s="405"/>
      <c r="R141" s="405"/>
      <c r="S141" s="405"/>
      <c r="T141" s="405"/>
      <c r="U141" s="405"/>
      <c r="V141" s="405"/>
      <c r="W141" s="405"/>
      <c r="X141" s="405"/>
      <c r="Y141" s="405"/>
      <c r="Z141" s="405"/>
      <c r="AA141" s="405"/>
      <c r="AB141" s="405"/>
      <c r="AC141" s="405"/>
      <c r="AD141" s="405"/>
      <c r="AE141" s="405"/>
      <c r="AF141" s="405"/>
      <c r="AG141" s="405"/>
    </row>
    <row r="142" spans="2:34" ht="13.4" customHeight="1">
      <c r="C142" s="405"/>
      <c r="D142" s="405"/>
      <c r="E142" s="405"/>
      <c r="F142" s="405"/>
      <c r="G142" s="405"/>
      <c r="H142" s="405"/>
      <c r="I142" s="405"/>
      <c r="J142" s="405"/>
      <c r="K142" s="405"/>
      <c r="L142" s="405"/>
      <c r="M142" s="405"/>
      <c r="N142" s="405"/>
      <c r="O142" s="405"/>
      <c r="P142" s="405"/>
      <c r="Q142" s="405"/>
      <c r="R142" s="405"/>
      <c r="S142" s="405"/>
      <c r="T142" s="405"/>
      <c r="U142" s="405"/>
      <c r="V142" s="405"/>
      <c r="W142" s="405"/>
      <c r="X142" s="405"/>
      <c r="Y142" s="405"/>
      <c r="Z142" s="405"/>
      <c r="AA142" s="405"/>
      <c r="AB142" s="405"/>
      <c r="AC142" s="405"/>
      <c r="AD142" s="405"/>
      <c r="AE142" s="405"/>
      <c r="AF142" s="405"/>
      <c r="AG142" s="405"/>
    </row>
  </sheetData>
  <customSheetViews>
    <customSheetView guid="{48D17560-CF9A-4AC4-87A5-512F1C94B1E6}" fitToPage="1" showRuler="0">
      <pane xSplit="2" ySplit="28" topLeftCell="C29" activePane="bottomRight" state="frozen"/>
      <selection pane="bottomRight"/>
      <pageMargins left="0" right="0" top="0" bottom="0" header="0" footer="0"/>
      <pageSetup paperSize="8" scale="66" orientation="portrait" blackAndWhite="1" horizontalDpi="4294967292" verticalDpi="4294967292" r:id="rId1"/>
      <headerFooter alignWithMargins="0">
        <oddHeader>&amp;R&amp;"Osaka,標準"&amp;D　&amp;T</oddHeader>
      </headerFooter>
    </customSheetView>
  </customSheetViews>
  <phoneticPr fontId="4"/>
  <pageMargins left="0.19685039370078741" right="0.19685039370078741" top="0.39370078740157483" bottom="0.39370078740157483" header="0.39370078740157483" footer="0.39370078740157483"/>
  <pageSetup paperSize="8" scale="64" orientation="portrait" blackAndWhite="1" horizontalDpi="300" verticalDpi="300" r:id="rId2"/>
  <headerFooter alignWithMargins="0">
    <oddHeader>&amp;R&amp;"Osaka,標準"&amp;D　&amp;T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Line="0" autoPict="0" macro="[0]!一覧罫線">
                <anchor moveWithCells="1" sizeWithCells="1">
                  <from>
                    <xdr:col>1</xdr:col>
                    <xdr:colOff>107950</xdr:colOff>
                    <xdr:row>0</xdr:row>
                    <xdr:rowOff>31750</xdr:rowOff>
                  </from>
                  <to>
                    <xdr:col>1</xdr:col>
                    <xdr:colOff>527050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Line="0" autoPict="0" macro="[0]!最新">
                <anchor moveWithCells="1" sizeWithCells="1">
                  <from>
                    <xdr:col>3</xdr:col>
                    <xdr:colOff>412750</xdr:colOff>
                    <xdr:row>0</xdr:row>
                    <xdr:rowOff>38100</xdr:rowOff>
                  </from>
                  <to>
                    <xdr:col>9</xdr:col>
                    <xdr:colOff>342900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Line="0" autoPict="0" macro="[0]!Save_Signage">
                <anchor moveWithCells="1" sizeWithCells="1">
                  <from>
                    <xdr:col>10</xdr:col>
                    <xdr:colOff>107950</xdr:colOff>
                    <xdr:row>0</xdr:row>
                    <xdr:rowOff>38100</xdr:rowOff>
                  </from>
                  <to>
                    <xdr:col>13</xdr:col>
                    <xdr:colOff>31750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pageSetUpPr fitToPage="1"/>
  </sheetPr>
  <dimension ref="A2:AN82"/>
  <sheetViews>
    <sheetView zoomScale="85" zoomScaleNormal="85" workbookViewId="0">
      <pane xSplit="2" ySplit="4" topLeftCell="C15" activePane="bottomRight" state="frozen"/>
      <selection pane="topRight" activeCell="AA46" sqref="AA46"/>
      <selection pane="bottomLeft" activeCell="AA46" sqref="AA46"/>
      <selection pane="bottomRight" activeCell="X27" sqref="X27:AD42"/>
    </sheetView>
  </sheetViews>
  <sheetFormatPr defaultColWidth="9" defaultRowHeight="14.15" customHeight="1"/>
  <cols>
    <col min="1" max="1" width="2.453125" style="347" customWidth="1"/>
    <col min="2" max="2" width="11.453125" style="347" bestFit="1" customWidth="1"/>
    <col min="3" max="33" width="6.453125" style="347" customWidth="1"/>
    <col min="34" max="34" width="7.453125" style="347" customWidth="1"/>
    <col min="35" max="35" width="2.453125" style="347" customWidth="1"/>
    <col min="36" max="38" width="5.453125" style="347" customWidth="1"/>
    <col min="39" max="39" width="7.453125" style="347" customWidth="1"/>
    <col min="40" max="40" width="2.453125" style="347" customWidth="1"/>
    <col min="41" max="16384" width="9" style="347"/>
  </cols>
  <sheetData>
    <row r="2" spans="2:40" ht="14.15" customHeight="1" thickBot="1"/>
    <row r="3" spans="2:40" ht="14.15" customHeight="1" thickTop="1">
      <c r="B3" s="348" t="str">
        <f>月間設定!C1&amp;"年"</f>
        <v>2026年</v>
      </c>
      <c r="C3" s="352">
        <v>1</v>
      </c>
      <c r="D3" s="352">
        <v>2</v>
      </c>
      <c r="E3" s="352">
        <v>3</v>
      </c>
      <c r="F3" s="352">
        <v>4</v>
      </c>
      <c r="G3" s="352">
        <v>5</v>
      </c>
      <c r="H3" s="353">
        <v>6</v>
      </c>
      <c r="I3" s="352">
        <v>7</v>
      </c>
      <c r="J3" s="352">
        <v>8</v>
      </c>
      <c r="K3" s="352">
        <v>9</v>
      </c>
      <c r="L3" s="352">
        <v>10</v>
      </c>
      <c r="M3" s="352">
        <v>11</v>
      </c>
      <c r="N3" s="352">
        <v>12</v>
      </c>
      <c r="O3" s="353">
        <v>13</v>
      </c>
      <c r="P3" s="352">
        <v>14</v>
      </c>
      <c r="Q3" s="352">
        <v>15</v>
      </c>
      <c r="R3" s="352">
        <v>16</v>
      </c>
      <c r="S3" s="352">
        <v>17</v>
      </c>
      <c r="T3" s="352">
        <v>18</v>
      </c>
      <c r="U3" s="352">
        <v>19</v>
      </c>
      <c r="V3" s="353">
        <v>20</v>
      </c>
      <c r="W3" s="352">
        <v>21</v>
      </c>
      <c r="X3" s="352">
        <v>22</v>
      </c>
      <c r="Y3" s="352">
        <v>23</v>
      </c>
      <c r="Z3" s="352">
        <v>24</v>
      </c>
      <c r="AA3" s="352">
        <v>25</v>
      </c>
      <c r="AB3" s="352">
        <v>26</v>
      </c>
      <c r="AC3" s="353">
        <v>27</v>
      </c>
      <c r="AD3" s="352">
        <v>28</v>
      </c>
      <c r="AE3" s="352">
        <f>月間設定!AE3</f>
        <v>29</v>
      </c>
      <c r="AF3" s="352">
        <f>月間設定!AF3</f>
        <v>30</v>
      </c>
      <c r="AG3" s="354" t="str">
        <f>月間設定!AG3</f>
        <v/>
      </c>
      <c r="AH3" s="370" t="s">
        <v>17</v>
      </c>
      <c r="AI3" s="366"/>
      <c r="AJ3" s="366"/>
      <c r="AK3" s="366"/>
      <c r="AL3" s="366"/>
      <c r="AM3" s="366"/>
      <c r="AN3" s="366"/>
    </row>
    <row r="4" spans="2:40" ht="14.15" customHeight="1" thickBot="1">
      <c r="B4" s="459" t="str">
        <f>月間設定!E1&amp;"月"</f>
        <v>6月</v>
      </c>
      <c r="C4" s="460">
        <f>月間設定!C4</f>
        <v>2</v>
      </c>
      <c r="D4" s="460">
        <f>月間設定!D4</f>
        <v>3</v>
      </c>
      <c r="E4" s="460">
        <f>月間設定!E4</f>
        <v>4</v>
      </c>
      <c r="F4" s="460">
        <f>月間設定!F4</f>
        <v>5</v>
      </c>
      <c r="G4" s="460">
        <f>月間設定!G4</f>
        <v>6</v>
      </c>
      <c r="H4" s="461">
        <f>月間設定!H4</f>
        <v>7</v>
      </c>
      <c r="I4" s="460">
        <f>月間設定!I4</f>
        <v>1</v>
      </c>
      <c r="J4" s="460">
        <f>月間設定!J4</f>
        <v>2</v>
      </c>
      <c r="K4" s="460">
        <f>月間設定!K4</f>
        <v>3</v>
      </c>
      <c r="L4" s="460">
        <f>月間設定!L4</f>
        <v>4</v>
      </c>
      <c r="M4" s="460">
        <f>月間設定!M4</f>
        <v>5</v>
      </c>
      <c r="N4" s="460">
        <f>月間設定!N4</f>
        <v>6</v>
      </c>
      <c r="O4" s="461">
        <f>月間設定!O4</f>
        <v>7</v>
      </c>
      <c r="P4" s="460">
        <f>月間設定!P4</f>
        <v>1</v>
      </c>
      <c r="Q4" s="460">
        <f>月間設定!Q4</f>
        <v>2</v>
      </c>
      <c r="R4" s="460">
        <f>月間設定!R4</f>
        <v>3</v>
      </c>
      <c r="S4" s="460">
        <f>月間設定!S4</f>
        <v>4</v>
      </c>
      <c r="T4" s="460">
        <f>月間設定!T4</f>
        <v>5</v>
      </c>
      <c r="U4" s="460">
        <f>月間設定!U4</f>
        <v>6</v>
      </c>
      <c r="V4" s="461">
        <f>月間設定!V4</f>
        <v>7</v>
      </c>
      <c r="W4" s="460">
        <f>月間設定!W4</f>
        <v>1</v>
      </c>
      <c r="X4" s="460">
        <f>月間設定!X4</f>
        <v>2</v>
      </c>
      <c r="Y4" s="460">
        <f>月間設定!Y4</f>
        <v>3</v>
      </c>
      <c r="Z4" s="460">
        <f>月間設定!Z4</f>
        <v>4</v>
      </c>
      <c r="AA4" s="460">
        <f>月間設定!AA4</f>
        <v>5</v>
      </c>
      <c r="AB4" s="460">
        <f>月間設定!AB4</f>
        <v>6</v>
      </c>
      <c r="AC4" s="461">
        <f>月間設定!AC4</f>
        <v>7</v>
      </c>
      <c r="AD4" s="460">
        <f>月間設定!AD4</f>
        <v>1</v>
      </c>
      <c r="AE4" s="460">
        <f>月間設定!AE4</f>
        <v>2</v>
      </c>
      <c r="AF4" s="460">
        <f>月間設定!AF4</f>
        <v>3</v>
      </c>
      <c r="AG4" s="462" t="str">
        <f>月間設定!AG4</f>
        <v/>
      </c>
      <c r="AH4" s="463" t="str">
        <f>月間設定!I1&amp;"日"</f>
        <v>8日</v>
      </c>
      <c r="AI4" s="366"/>
      <c r="AJ4" s="366"/>
      <c r="AK4" s="366"/>
      <c r="AL4" s="366"/>
      <c r="AM4" s="366"/>
      <c r="AN4" s="366"/>
    </row>
    <row r="5" spans="2:40" ht="12" customHeight="1">
      <c r="B5" s="23"/>
      <c r="C5" s="349" t="s">
        <v>350</v>
      </c>
      <c r="D5" s="349" t="s">
        <v>350</v>
      </c>
      <c r="E5" s="349" t="s">
        <v>350</v>
      </c>
      <c r="F5" s="349" t="s">
        <v>350</v>
      </c>
      <c r="G5" s="349" t="s">
        <v>350</v>
      </c>
      <c r="H5" s="350"/>
      <c r="I5" s="349"/>
      <c r="J5" s="349" t="s">
        <v>350</v>
      </c>
      <c r="K5" s="349" t="s">
        <v>350</v>
      </c>
      <c r="L5" s="349" t="s">
        <v>350</v>
      </c>
      <c r="M5" s="349" t="s">
        <v>350</v>
      </c>
      <c r="N5" s="349" t="s">
        <v>350</v>
      </c>
      <c r="O5" s="350" t="s">
        <v>351</v>
      </c>
      <c r="P5" s="349"/>
      <c r="Q5" s="349" t="s">
        <v>350</v>
      </c>
      <c r="R5" s="349" t="s">
        <v>350</v>
      </c>
      <c r="S5" s="349" t="s">
        <v>350</v>
      </c>
      <c r="T5" s="349" t="s">
        <v>350</v>
      </c>
      <c r="U5" s="349" t="s">
        <v>350</v>
      </c>
      <c r="V5" s="350"/>
      <c r="W5" s="349"/>
      <c r="X5" s="349" t="s">
        <v>350</v>
      </c>
      <c r="Y5" s="349" t="s">
        <v>350</v>
      </c>
      <c r="Z5" s="349" t="s">
        <v>350</v>
      </c>
      <c r="AA5" s="349" t="s">
        <v>350</v>
      </c>
      <c r="AB5" s="349" t="s">
        <v>350</v>
      </c>
      <c r="AC5" s="350" t="s">
        <v>351</v>
      </c>
      <c r="AD5" s="349"/>
      <c r="AE5" s="349" t="s">
        <v>350</v>
      </c>
      <c r="AF5" s="349" t="s">
        <v>350</v>
      </c>
      <c r="AG5" s="351"/>
      <c r="AH5" s="293"/>
      <c r="AI5" s="366"/>
      <c r="AJ5" s="366"/>
      <c r="AK5" s="366"/>
      <c r="AL5" s="366"/>
      <c r="AM5" s="366"/>
      <c r="AN5" s="366"/>
    </row>
    <row r="6" spans="2:40" ht="12" customHeight="1">
      <c r="B6" s="23" t="s">
        <v>6</v>
      </c>
      <c r="C6" s="349" t="s">
        <v>352</v>
      </c>
      <c r="D6" s="349" t="s">
        <v>352</v>
      </c>
      <c r="E6" s="349" t="s">
        <v>352</v>
      </c>
      <c r="F6" s="349" t="s">
        <v>352</v>
      </c>
      <c r="G6" s="349" t="s">
        <v>352</v>
      </c>
      <c r="H6" s="350"/>
      <c r="I6" s="349"/>
      <c r="J6" s="349" t="s">
        <v>352</v>
      </c>
      <c r="K6" s="349" t="s">
        <v>352</v>
      </c>
      <c r="L6" s="349" t="s">
        <v>352</v>
      </c>
      <c r="M6" s="349" t="s">
        <v>352</v>
      </c>
      <c r="N6" s="349" t="s">
        <v>352</v>
      </c>
      <c r="O6" s="350"/>
      <c r="P6" s="349"/>
      <c r="Q6" s="349" t="s">
        <v>352</v>
      </c>
      <c r="R6" s="349" t="s">
        <v>352</v>
      </c>
      <c r="S6" s="349" t="s">
        <v>352</v>
      </c>
      <c r="T6" s="349" t="s">
        <v>352</v>
      </c>
      <c r="U6" s="349" t="s">
        <v>352</v>
      </c>
      <c r="V6" s="350"/>
      <c r="W6" s="349"/>
      <c r="X6" s="349" t="s">
        <v>352</v>
      </c>
      <c r="Y6" s="349" t="s">
        <v>352</v>
      </c>
      <c r="Z6" s="349" t="s">
        <v>352</v>
      </c>
      <c r="AA6" s="349" t="s">
        <v>352</v>
      </c>
      <c r="AB6" s="349" t="s">
        <v>352</v>
      </c>
      <c r="AC6" s="350"/>
      <c r="AD6" s="349"/>
      <c r="AE6" s="349" t="s">
        <v>352</v>
      </c>
      <c r="AF6" s="349" t="s">
        <v>352</v>
      </c>
      <c r="AG6" s="351"/>
      <c r="AH6" s="293" t="s">
        <v>6</v>
      </c>
      <c r="AI6" s="366"/>
      <c r="AJ6" s="366"/>
      <c r="AK6" s="366"/>
      <c r="AL6" s="366"/>
      <c r="AM6" s="366"/>
      <c r="AN6" s="366"/>
    </row>
    <row r="7" spans="2:40" ht="12" customHeight="1">
      <c r="B7" s="24"/>
      <c r="C7" s="355"/>
      <c r="D7" s="355"/>
      <c r="E7" s="355"/>
      <c r="F7" s="355"/>
      <c r="G7" s="355"/>
      <c r="H7" s="356"/>
      <c r="I7" s="355"/>
      <c r="J7" s="355"/>
      <c r="K7" s="355"/>
      <c r="L7" s="355"/>
      <c r="M7" s="355"/>
      <c r="N7" s="355"/>
      <c r="O7" s="356"/>
      <c r="P7" s="355"/>
      <c r="Q7" s="355"/>
      <c r="R7" s="355"/>
      <c r="S7" s="355"/>
      <c r="T7" s="355"/>
      <c r="U7" s="355"/>
      <c r="V7" s="356"/>
      <c r="W7" s="355"/>
      <c r="X7" s="355"/>
      <c r="Y7" s="355"/>
      <c r="Z7" s="355"/>
      <c r="AA7" s="355"/>
      <c r="AB7" s="355"/>
      <c r="AC7" s="356"/>
      <c r="AD7" s="355"/>
      <c r="AE7" s="355"/>
      <c r="AF7" s="355"/>
      <c r="AG7" s="357"/>
      <c r="AH7" s="296"/>
      <c r="AI7" s="366"/>
      <c r="AJ7" s="366"/>
      <c r="AK7" s="366"/>
      <c r="AL7" s="366"/>
      <c r="AM7" s="366"/>
      <c r="AN7" s="366"/>
    </row>
    <row r="8" spans="2:40" ht="12" customHeight="1">
      <c r="B8" s="23"/>
      <c r="C8" s="349"/>
      <c r="D8" s="349"/>
      <c r="E8" s="349"/>
      <c r="F8" s="349"/>
      <c r="G8" s="349" t="s">
        <v>353</v>
      </c>
      <c r="H8" s="350"/>
      <c r="I8" s="349"/>
      <c r="J8" s="349"/>
      <c r="K8" s="349"/>
      <c r="L8" s="349" t="s">
        <v>354</v>
      </c>
      <c r="M8" s="349"/>
      <c r="N8" s="349"/>
      <c r="O8" s="350"/>
      <c r="P8" s="349"/>
      <c r="Q8" s="349"/>
      <c r="R8" s="349"/>
      <c r="S8" s="349"/>
      <c r="T8" s="349" t="s">
        <v>353</v>
      </c>
      <c r="U8" s="349"/>
      <c r="V8" s="350"/>
      <c r="W8" s="349"/>
      <c r="X8" s="349" t="s">
        <v>355</v>
      </c>
      <c r="Y8" s="349"/>
      <c r="Z8" s="349"/>
      <c r="AA8" s="349"/>
      <c r="AB8" s="349"/>
      <c r="AC8" s="350"/>
      <c r="AD8" s="349"/>
      <c r="AE8" s="349"/>
      <c r="AF8" s="349"/>
      <c r="AG8" s="351"/>
      <c r="AH8" s="293"/>
      <c r="AI8" s="366"/>
      <c r="AJ8" s="366"/>
      <c r="AK8" s="366"/>
      <c r="AL8" s="366"/>
      <c r="AM8" s="366"/>
      <c r="AN8" s="366"/>
    </row>
    <row r="9" spans="2:40" ht="12" customHeight="1">
      <c r="B9" s="23" t="s">
        <v>8</v>
      </c>
      <c r="C9" s="349"/>
      <c r="D9" s="349"/>
      <c r="E9" s="349"/>
      <c r="F9" s="349"/>
      <c r="G9" s="349"/>
      <c r="H9" s="350"/>
      <c r="I9" s="349"/>
      <c r="J9" s="349"/>
      <c r="K9" s="349"/>
      <c r="L9" s="349"/>
      <c r="M9" s="349"/>
      <c r="N9" s="349"/>
      <c r="O9" s="350"/>
      <c r="P9" s="349"/>
      <c r="Q9" s="349"/>
      <c r="R9" s="349"/>
      <c r="S9" s="349"/>
      <c r="T9" s="349" t="s">
        <v>356</v>
      </c>
      <c r="U9" s="349"/>
      <c r="V9" s="350"/>
      <c r="W9" s="349"/>
      <c r="X9" s="349"/>
      <c r="Y9" s="349"/>
      <c r="Z9" s="349"/>
      <c r="AA9" s="349"/>
      <c r="AB9" s="349"/>
      <c r="AC9" s="350"/>
      <c r="AD9" s="349"/>
      <c r="AE9" s="349"/>
      <c r="AF9" s="349"/>
      <c r="AG9" s="351"/>
      <c r="AH9" s="293" t="s">
        <v>8</v>
      </c>
      <c r="AI9" s="366"/>
      <c r="AJ9" s="366"/>
      <c r="AK9" s="366"/>
      <c r="AL9" s="366"/>
      <c r="AM9" s="366"/>
      <c r="AN9" s="366"/>
    </row>
    <row r="10" spans="2:40" ht="12" customHeight="1">
      <c r="B10" s="24"/>
      <c r="C10" s="355"/>
      <c r="D10" s="355"/>
      <c r="E10" s="355"/>
      <c r="F10" s="355"/>
      <c r="G10" s="355"/>
      <c r="H10" s="356"/>
      <c r="I10" s="355"/>
      <c r="J10" s="355"/>
      <c r="K10" s="355"/>
      <c r="L10" s="355"/>
      <c r="M10" s="355"/>
      <c r="N10" s="355"/>
      <c r="O10" s="356"/>
      <c r="P10" s="355"/>
      <c r="Q10" s="355"/>
      <c r="R10" s="355"/>
      <c r="S10" s="355"/>
      <c r="T10" s="355"/>
      <c r="U10" s="355"/>
      <c r="V10" s="356"/>
      <c r="W10" s="355"/>
      <c r="X10" s="355"/>
      <c r="Y10" s="355"/>
      <c r="Z10" s="355"/>
      <c r="AA10" s="355"/>
      <c r="AB10" s="355"/>
      <c r="AC10" s="356"/>
      <c r="AD10" s="355"/>
      <c r="AE10" s="355"/>
      <c r="AF10" s="355"/>
      <c r="AG10" s="357"/>
      <c r="AH10" s="296"/>
      <c r="AI10" s="366"/>
      <c r="AJ10" s="366"/>
      <c r="AK10" s="366"/>
      <c r="AL10" s="366"/>
      <c r="AM10" s="366"/>
      <c r="AN10" s="366"/>
    </row>
    <row r="11" spans="2:40" ht="12" customHeight="1">
      <c r="B11" s="23"/>
      <c r="C11" s="349"/>
      <c r="D11" s="349"/>
      <c r="E11" s="349" t="s">
        <v>357</v>
      </c>
      <c r="F11" s="349"/>
      <c r="G11" s="349"/>
      <c r="H11" s="350" t="s">
        <v>358</v>
      </c>
      <c r="I11" s="349"/>
      <c r="J11" s="349"/>
      <c r="K11" s="349" t="s">
        <v>359</v>
      </c>
      <c r="L11" s="349"/>
      <c r="M11" s="349" t="s">
        <v>360</v>
      </c>
      <c r="N11" s="349" t="s">
        <v>361</v>
      </c>
      <c r="O11" s="350" t="s">
        <v>358</v>
      </c>
      <c r="P11" s="349"/>
      <c r="Q11" s="349" t="s">
        <v>362</v>
      </c>
      <c r="R11" s="349"/>
      <c r="S11" s="349" t="s">
        <v>357</v>
      </c>
      <c r="T11" s="349"/>
      <c r="U11" s="349"/>
      <c r="V11" s="350" t="s">
        <v>358</v>
      </c>
      <c r="W11" s="349"/>
      <c r="X11" s="349" t="s">
        <v>360</v>
      </c>
      <c r="Y11" s="349" t="s">
        <v>359</v>
      </c>
      <c r="Z11" s="349"/>
      <c r="AA11" s="349"/>
      <c r="AB11" s="349" t="s">
        <v>361</v>
      </c>
      <c r="AC11" s="350"/>
      <c r="AD11" s="349"/>
      <c r="AE11" s="349" t="s">
        <v>362</v>
      </c>
      <c r="AF11" s="349"/>
      <c r="AG11" s="351"/>
      <c r="AH11" s="293"/>
      <c r="AI11" s="366"/>
      <c r="AJ11" s="366"/>
      <c r="AK11" s="366"/>
      <c r="AL11" s="366"/>
      <c r="AM11" s="366"/>
      <c r="AN11" s="366"/>
    </row>
    <row r="12" spans="2:40" ht="12" customHeight="1">
      <c r="B12" s="23" t="s">
        <v>14</v>
      </c>
      <c r="C12" s="349"/>
      <c r="D12" s="349"/>
      <c r="E12" s="349"/>
      <c r="F12" s="349"/>
      <c r="G12" s="349"/>
      <c r="H12" s="350"/>
      <c r="I12" s="349"/>
      <c r="J12" s="349"/>
      <c r="K12" s="349"/>
      <c r="L12" s="349"/>
      <c r="M12" s="349"/>
      <c r="N12" s="349"/>
      <c r="O12" s="350"/>
      <c r="P12" s="349"/>
      <c r="Q12" s="349"/>
      <c r="R12" s="349"/>
      <c r="S12" s="349" t="s">
        <v>363</v>
      </c>
      <c r="T12" s="349"/>
      <c r="U12" s="349"/>
      <c r="V12" s="350"/>
      <c r="W12" s="349"/>
      <c r="X12" s="349"/>
      <c r="Y12" s="349"/>
      <c r="Z12" s="349"/>
      <c r="AA12" s="349"/>
      <c r="AB12" s="349"/>
      <c r="AC12" s="350"/>
      <c r="AD12" s="349"/>
      <c r="AE12" s="349"/>
      <c r="AF12" s="349"/>
      <c r="AG12" s="351"/>
      <c r="AH12" s="293" t="s">
        <v>14</v>
      </c>
      <c r="AI12" s="366"/>
      <c r="AJ12" s="366"/>
      <c r="AK12" s="366"/>
      <c r="AL12" s="366"/>
      <c r="AM12" s="366"/>
      <c r="AN12" s="366"/>
    </row>
    <row r="13" spans="2:40" ht="12" customHeight="1">
      <c r="B13" s="24"/>
      <c r="C13" s="355"/>
      <c r="D13" s="355"/>
      <c r="E13" s="355"/>
      <c r="F13" s="355"/>
      <c r="G13" s="355"/>
      <c r="H13" s="356"/>
      <c r="I13" s="355"/>
      <c r="J13" s="355"/>
      <c r="K13" s="355"/>
      <c r="L13" s="355"/>
      <c r="M13" s="355"/>
      <c r="N13" s="355"/>
      <c r="O13" s="356"/>
      <c r="P13" s="355"/>
      <c r="Q13" s="355"/>
      <c r="R13" s="355"/>
      <c r="S13" s="355"/>
      <c r="T13" s="355"/>
      <c r="U13" s="355"/>
      <c r="V13" s="356"/>
      <c r="W13" s="355"/>
      <c r="X13" s="355"/>
      <c r="Y13" s="355"/>
      <c r="Z13" s="355"/>
      <c r="AA13" s="355"/>
      <c r="AB13" s="355"/>
      <c r="AC13" s="356"/>
      <c r="AD13" s="355"/>
      <c r="AE13" s="355"/>
      <c r="AF13" s="355"/>
      <c r="AG13" s="357"/>
      <c r="AH13" s="296"/>
      <c r="AI13" s="366"/>
      <c r="AJ13" s="366"/>
      <c r="AK13" s="366"/>
      <c r="AL13" s="366"/>
      <c r="AM13" s="366"/>
      <c r="AN13" s="366"/>
    </row>
    <row r="14" spans="2:40" ht="12" customHeight="1">
      <c r="B14" s="532" t="s">
        <v>74</v>
      </c>
      <c r="C14" s="349" t="s">
        <v>364</v>
      </c>
      <c r="D14" s="349" t="s">
        <v>364</v>
      </c>
      <c r="E14" s="349" t="s">
        <v>364</v>
      </c>
      <c r="F14" s="349" t="s">
        <v>364</v>
      </c>
      <c r="G14" s="349" t="s">
        <v>364</v>
      </c>
      <c r="H14" s="350"/>
      <c r="I14" s="349"/>
      <c r="J14" s="349" t="s">
        <v>364</v>
      </c>
      <c r="K14" s="349" t="s">
        <v>364</v>
      </c>
      <c r="L14" s="349" t="s">
        <v>364</v>
      </c>
      <c r="M14" s="349" t="s">
        <v>364</v>
      </c>
      <c r="N14" s="349" t="s">
        <v>364</v>
      </c>
      <c r="O14" s="350" t="s">
        <v>365</v>
      </c>
      <c r="P14" s="349"/>
      <c r="Q14" s="349" t="s">
        <v>364</v>
      </c>
      <c r="R14" s="349" t="s">
        <v>364</v>
      </c>
      <c r="S14" s="349" t="s">
        <v>364</v>
      </c>
      <c r="T14" s="349" t="s">
        <v>364</v>
      </c>
      <c r="U14" s="349" t="s">
        <v>364</v>
      </c>
      <c r="V14" s="350"/>
      <c r="W14" s="349"/>
      <c r="X14" s="349" t="s">
        <v>364</v>
      </c>
      <c r="Y14" s="349" t="s">
        <v>364</v>
      </c>
      <c r="Z14" s="349" t="s">
        <v>364</v>
      </c>
      <c r="AA14" s="349" t="s">
        <v>364</v>
      </c>
      <c r="AB14" s="349" t="s">
        <v>364</v>
      </c>
      <c r="AC14" s="350"/>
      <c r="AD14" s="349"/>
      <c r="AE14" s="349" t="s">
        <v>364</v>
      </c>
      <c r="AF14" s="349" t="s">
        <v>364</v>
      </c>
      <c r="AG14" s="351"/>
      <c r="AH14" s="534" t="s">
        <v>74</v>
      </c>
      <c r="AI14" s="366"/>
      <c r="AJ14" s="366"/>
      <c r="AK14" s="366"/>
      <c r="AL14" s="366"/>
      <c r="AM14" s="366"/>
      <c r="AN14" s="366"/>
    </row>
    <row r="15" spans="2:40" ht="12" customHeight="1">
      <c r="B15" s="533"/>
      <c r="C15" s="355"/>
      <c r="D15" s="355"/>
      <c r="E15" s="355"/>
      <c r="F15" s="355"/>
      <c r="G15" s="355"/>
      <c r="H15" s="356"/>
      <c r="I15" s="355"/>
      <c r="J15" s="355"/>
      <c r="K15" s="355"/>
      <c r="L15" s="355"/>
      <c r="M15" s="355"/>
      <c r="N15" s="355"/>
      <c r="O15" s="356" t="s">
        <v>366</v>
      </c>
      <c r="P15" s="355"/>
      <c r="Q15" s="355"/>
      <c r="R15" s="355"/>
      <c r="S15" s="355"/>
      <c r="T15" s="355"/>
      <c r="U15" s="355"/>
      <c r="V15" s="356"/>
      <c r="W15" s="355"/>
      <c r="X15" s="355"/>
      <c r="Y15" s="355"/>
      <c r="Z15" s="355"/>
      <c r="AA15" s="355"/>
      <c r="AB15" s="355"/>
      <c r="AC15" s="356"/>
      <c r="AD15" s="355"/>
      <c r="AE15" s="355"/>
      <c r="AF15" s="355"/>
      <c r="AG15" s="357"/>
      <c r="AH15" s="535"/>
      <c r="AI15" s="366"/>
      <c r="AJ15" s="366"/>
      <c r="AK15" s="366"/>
      <c r="AL15" s="366"/>
      <c r="AM15" s="366"/>
      <c r="AN15" s="366"/>
    </row>
    <row r="16" spans="2:40" ht="12" customHeight="1">
      <c r="B16" s="532" t="s">
        <v>78</v>
      </c>
      <c r="C16" s="349"/>
      <c r="D16" s="349"/>
      <c r="E16" s="349"/>
      <c r="F16" s="349"/>
      <c r="G16" s="349"/>
      <c r="H16" s="350"/>
      <c r="I16" s="349"/>
      <c r="J16" s="349"/>
      <c r="K16" s="349"/>
      <c r="L16" s="349"/>
      <c r="M16" s="349"/>
      <c r="N16" s="349"/>
      <c r="O16" s="350"/>
      <c r="P16" s="349"/>
      <c r="Q16" s="349"/>
      <c r="R16" s="349"/>
      <c r="S16" s="349"/>
      <c r="T16" s="349"/>
      <c r="U16" s="349"/>
      <c r="V16" s="350"/>
      <c r="W16" s="349"/>
      <c r="X16" s="349"/>
      <c r="Y16" s="349"/>
      <c r="Z16" s="349"/>
      <c r="AA16" s="349"/>
      <c r="AB16" s="349"/>
      <c r="AC16" s="350"/>
      <c r="AD16" s="349"/>
      <c r="AE16" s="349"/>
      <c r="AF16" s="349"/>
      <c r="AG16" s="351"/>
      <c r="AH16" s="534" t="s">
        <v>78</v>
      </c>
      <c r="AI16" s="366"/>
      <c r="AJ16" s="366"/>
      <c r="AK16" s="366"/>
      <c r="AL16" s="366"/>
      <c r="AM16" s="366"/>
      <c r="AN16" s="366"/>
    </row>
    <row r="17" spans="1:40" ht="12" customHeight="1">
      <c r="B17" s="533"/>
      <c r="C17" s="355"/>
      <c r="D17" s="355"/>
      <c r="E17" s="355"/>
      <c r="F17" s="355"/>
      <c r="G17" s="355"/>
      <c r="H17" s="356"/>
      <c r="I17" s="355"/>
      <c r="J17" s="355"/>
      <c r="K17" s="355"/>
      <c r="L17" s="355"/>
      <c r="M17" s="355"/>
      <c r="N17" s="355"/>
      <c r="O17" s="356"/>
      <c r="P17" s="355"/>
      <c r="Q17" s="355"/>
      <c r="R17" s="355"/>
      <c r="S17" s="355"/>
      <c r="T17" s="355"/>
      <c r="U17" s="355"/>
      <c r="V17" s="356"/>
      <c r="W17" s="355"/>
      <c r="X17" s="355"/>
      <c r="Y17" s="355"/>
      <c r="Z17" s="355"/>
      <c r="AA17" s="355"/>
      <c r="AB17" s="355"/>
      <c r="AC17" s="356"/>
      <c r="AD17" s="355"/>
      <c r="AE17" s="355"/>
      <c r="AF17" s="355"/>
      <c r="AG17" s="357"/>
      <c r="AH17" s="535"/>
      <c r="AI17" s="366"/>
      <c r="AJ17" s="366"/>
      <c r="AK17" s="366"/>
      <c r="AL17" s="366"/>
      <c r="AM17" s="366"/>
      <c r="AN17" s="366"/>
    </row>
    <row r="18" spans="1:40" ht="12" customHeight="1">
      <c r="B18" s="532" t="s">
        <v>79</v>
      </c>
      <c r="C18" s="349"/>
      <c r="D18" s="349"/>
      <c r="E18" s="349"/>
      <c r="F18" s="349"/>
      <c r="G18" s="349"/>
      <c r="H18" s="350"/>
      <c r="I18" s="349"/>
      <c r="J18" s="349"/>
      <c r="K18" s="349"/>
      <c r="L18" s="349"/>
      <c r="M18" s="349"/>
      <c r="N18" s="349"/>
      <c r="O18" s="350"/>
      <c r="P18" s="349"/>
      <c r="Q18" s="349"/>
      <c r="R18" s="349"/>
      <c r="S18" s="349" t="s">
        <v>367</v>
      </c>
      <c r="T18" s="349"/>
      <c r="U18" s="349"/>
      <c r="V18" s="350"/>
      <c r="W18" s="349"/>
      <c r="X18" s="349"/>
      <c r="Y18" s="349"/>
      <c r="Z18" s="349"/>
      <c r="AA18" s="349"/>
      <c r="AB18" s="349"/>
      <c r="AC18" s="350"/>
      <c r="AD18" s="349"/>
      <c r="AE18" s="349"/>
      <c r="AF18" s="349" t="s">
        <v>368</v>
      </c>
      <c r="AG18" s="351"/>
      <c r="AH18" s="534" t="s">
        <v>79</v>
      </c>
      <c r="AI18" s="366"/>
      <c r="AJ18" s="366"/>
      <c r="AK18" s="366"/>
      <c r="AL18" s="366"/>
      <c r="AM18" s="366"/>
      <c r="AN18" s="366"/>
    </row>
    <row r="19" spans="1:40" ht="12" customHeight="1">
      <c r="B19" s="533"/>
      <c r="C19" s="355"/>
      <c r="D19" s="355"/>
      <c r="E19" s="355"/>
      <c r="F19" s="355"/>
      <c r="G19" s="355"/>
      <c r="H19" s="356"/>
      <c r="I19" s="355"/>
      <c r="J19" s="355"/>
      <c r="K19" s="355"/>
      <c r="L19" s="355"/>
      <c r="M19" s="355"/>
      <c r="N19" s="355"/>
      <c r="O19" s="356"/>
      <c r="P19" s="355"/>
      <c r="Q19" s="355"/>
      <c r="R19" s="355"/>
      <c r="S19" s="355"/>
      <c r="T19" s="355"/>
      <c r="U19" s="355"/>
      <c r="V19" s="356"/>
      <c r="W19" s="355"/>
      <c r="X19" s="355"/>
      <c r="Y19" s="355"/>
      <c r="Z19" s="355"/>
      <c r="AA19" s="355"/>
      <c r="AB19" s="355"/>
      <c r="AC19" s="356"/>
      <c r="AD19" s="355"/>
      <c r="AE19" s="355"/>
      <c r="AF19" s="355" t="s">
        <v>369</v>
      </c>
      <c r="AG19" s="357"/>
      <c r="AH19" s="535"/>
      <c r="AI19" s="366"/>
      <c r="AJ19" s="366"/>
      <c r="AK19" s="366"/>
      <c r="AL19" s="366"/>
      <c r="AM19" s="366"/>
      <c r="AN19" s="366"/>
    </row>
    <row r="20" spans="1:40" ht="12" customHeight="1">
      <c r="B20" s="532" t="s">
        <v>83</v>
      </c>
      <c r="C20" s="349"/>
      <c r="D20" s="349"/>
      <c r="E20" s="349"/>
      <c r="F20" s="349"/>
      <c r="G20" s="349"/>
      <c r="H20" s="350"/>
      <c r="I20" s="349"/>
      <c r="J20" s="349"/>
      <c r="K20" s="349"/>
      <c r="L20" s="349"/>
      <c r="M20" s="349"/>
      <c r="N20" s="349"/>
      <c r="O20" s="350"/>
      <c r="P20" s="349"/>
      <c r="Q20" s="349"/>
      <c r="R20" s="349"/>
      <c r="S20" s="349"/>
      <c r="T20" s="349"/>
      <c r="U20" s="349"/>
      <c r="V20" s="350"/>
      <c r="W20" s="349"/>
      <c r="X20" s="349"/>
      <c r="Y20" s="349"/>
      <c r="Z20" s="349"/>
      <c r="AA20" s="349"/>
      <c r="AB20" s="349"/>
      <c r="AC20" s="350"/>
      <c r="AD20" s="349"/>
      <c r="AE20" s="349"/>
      <c r="AF20" s="349"/>
      <c r="AG20" s="351"/>
      <c r="AH20" s="534" t="s">
        <v>83</v>
      </c>
      <c r="AI20" s="366"/>
      <c r="AJ20" s="366"/>
      <c r="AK20" s="366"/>
      <c r="AL20" s="366"/>
      <c r="AM20" s="366"/>
      <c r="AN20" s="366"/>
    </row>
    <row r="21" spans="1:40" ht="12" customHeight="1">
      <c r="B21" s="533"/>
      <c r="C21" s="355"/>
      <c r="D21" s="355"/>
      <c r="E21" s="355"/>
      <c r="F21" s="355"/>
      <c r="G21" s="355"/>
      <c r="H21" s="356"/>
      <c r="I21" s="355"/>
      <c r="J21" s="355"/>
      <c r="K21" s="355"/>
      <c r="L21" s="355"/>
      <c r="M21" s="355"/>
      <c r="N21" s="355"/>
      <c r="O21" s="356"/>
      <c r="P21" s="355"/>
      <c r="Q21" s="355"/>
      <c r="R21" s="355"/>
      <c r="S21" s="355"/>
      <c r="T21" s="355"/>
      <c r="U21" s="355"/>
      <c r="V21" s="356"/>
      <c r="W21" s="355"/>
      <c r="X21" s="355"/>
      <c r="Y21" s="355"/>
      <c r="Z21" s="355"/>
      <c r="AA21" s="355"/>
      <c r="AB21" s="355"/>
      <c r="AC21" s="356"/>
      <c r="AD21" s="355"/>
      <c r="AE21" s="355"/>
      <c r="AF21" s="355"/>
      <c r="AG21" s="357"/>
      <c r="AH21" s="535"/>
      <c r="AI21" s="366"/>
      <c r="AJ21" s="366"/>
      <c r="AK21" s="366"/>
      <c r="AL21" s="366"/>
      <c r="AM21" s="366"/>
      <c r="AN21" s="366"/>
    </row>
    <row r="22" spans="1:40" ht="12" customHeight="1">
      <c r="B22" s="532" t="s">
        <v>37</v>
      </c>
      <c r="C22" s="349"/>
      <c r="D22" s="349"/>
      <c r="E22" s="349"/>
      <c r="F22" s="349"/>
      <c r="G22" s="349"/>
      <c r="H22" s="350"/>
      <c r="I22" s="349" t="s">
        <v>370</v>
      </c>
      <c r="J22" s="349"/>
      <c r="K22" s="349"/>
      <c r="L22" s="349"/>
      <c r="M22" s="349"/>
      <c r="N22" s="349"/>
      <c r="O22" s="350"/>
      <c r="P22" s="349"/>
      <c r="Q22" s="349" t="s">
        <v>384</v>
      </c>
      <c r="R22" s="349" t="s">
        <v>371</v>
      </c>
      <c r="S22" s="349"/>
      <c r="T22" s="349"/>
      <c r="U22" s="349"/>
      <c r="V22" s="350"/>
      <c r="W22" s="349"/>
      <c r="X22" s="349"/>
      <c r="Y22" s="349"/>
      <c r="Z22" s="349"/>
      <c r="AA22" s="349"/>
      <c r="AB22" s="349"/>
      <c r="AC22" s="350"/>
      <c r="AD22" s="349" t="s">
        <v>370</v>
      </c>
      <c r="AE22" s="349"/>
      <c r="AF22" s="349"/>
      <c r="AG22" s="351"/>
      <c r="AH22" s="534" t="s">
        <v>37</v>
      </c>
      <c r="AI22" s="366"/>
      <c r="AJ22" s="366"/>
      <c r="AK22" s="366"/>
      <c r="AL22" s="366"/>
      <c r="AM22" s="366"/>
      <c r="AN22" s="366"/>
    </row>
    <row r="23" spans="1:40" ht="12" customHeight="1">
      <c r="B23" s="533"/>
      <c r="C23" s="355"/>
      <c r="D23" s="355"/>
      <c r="E23" s="355"/>
      <c r="F23" s="355"/>
      <c r="G23" s="355"/>
      <c r="H23" s="356"/>
      <c r="I23" s="355" t="s">
        <v>372</v>
      </c>
      <c r="J23" s="355"/>
      <c r="K23" s="355"/>
      <c r="L23" s="355"/>
      <c r="M23" s="355"/>
      <c r="N23" s="355"/>
      <c r="O23" s="356"/>
      <c r="P23" s="355"/>
      <c r="Q23" s="355"/>
      <c r="R23" s="355"/>
      <c r="S23" s="355"/>
      <c r="T23" s="355"/>
      <c r="U23" s="355"/>
      <c r="V23" s="356"/>
      <c r="W23" s="355"/>
      <c r="X23" s="355"/>
      <c r="Y23" s="355"/>
      <c r="Z23" s="355"/>
      <c r="AA23" s="355"/>
      <c r="AB23" s="355"/>
      <c r="AC23" s="356"/>
      <c r="AD23" s="355" t="s">
        <v>372</v>
      </c>
      <c r="AE23" s="355"/>
      <c r="AF23" s="355"/>
      <c r="AG23" s="357"/>
      <c r="AH23" s="535"/>
      <c r="AI23" s="366"/>
      <c r="AJ23" s="366"/>
      <c r="AK23" s="366"/>
      <c r="AL23" s="366"/>
      <c r="AM23" s="366"/>
      <c r="AN23" s="366"/>
    </row>
    <row r="24" spans="1:40" ht="12" customHeight="1">
      <c r="B24" s="23"/>
      <c r="C24" s="349"/>
      <c r="D24" s="349"/>
      <c r="E24" s="349"/>
      <c r="F24" s="349" t="s">
        <v>373</v>
      </c>
      <c r="G24" s="349"/>
      <c r="H24" s="350"/>
      <c r="I24" s="349"/>
      <c r="J24" s="349"/>
      <c r="K24" s="349"/>
      <c r="L24" s="349"/>
      <c r="M24" s="349" t="s">
        <v>373</v>
      </c>
      <c r="N24" s="349"/>
      <c r="O24" s="350"/>
      <c r="P24" s="349"/>
      <c r="Q24" s="349"/>
      <c r="R24" s="349"/>
      <c r="S24" s="349"/>
      <c r="T24" s="349" t="s">
        <v>373</v>
      </c>
      <c r="U24" s="349"/>
      <c r="V24" s="350"/>
      <c r="W24" s="349"/>
      <c r="X24" s="349"/>
      <c r="Y24" s="349"/>
      <c r="Z24" s="349"/>
      <c r="AA24" s="349" t="s">
        <v>373</v>
      </c>
      <c r="AB24" s="349"/>
      <c r="AC24" s="350"/>
      <c r="AD24" s="349"/>
      <c r="AE24" s="349"/>
      <c r="AF24" s="349"/>
      <c r="AG24" s="351"/>
      <c r="AH24" s="293"/>
      <c r="AI24" s="366"/>
      <c r="AJ24" s="366"/>
      <c r="AK24" s="366"/>
      <c r="AL24" s="366"/>
      <c r="AM24" s="366"/>
      <c r="AN24" s="366"/>
    </row>
    <row r="25" spans="1:40" ht="12" customHeight="1">
      <c r="B25" s="23" t="s">
        <v>42</v>
      </c>
      <c r="C25" s="349"/>
      <c r="D25" s="349"/>
      <c r="E25" s="349" t="s">
        <v>374</v>
      </c>
      <c r="F25" s="349" t="s">
        <v>363</v>
      </c>
      <c r="G25" s="349"/>
      <c r="H25" s="350"/>
      <c r="I25" s="349"/>
      <c r="J25" s="349"/>
      <c r="K25" s="349"/>
      <c r="L25" s="349"/>
      <c r="M25" s="349" t="s">
        <v>375</v>
      </c>
      <c r="N25" s="349"/>
      <c r="O25" s="350" t="s">
        <v>365</v>
      </c>
      <c r="P25" s="349"/>
      <c r="Q25" s="349"/>
      <c r="R25" s="349"/>
      <c r="S25" s="349"/>
      <c r="T25" s="349" t="s">
        <v>376</v>
      </c>
      <c r="U25" s="349"/>
      <c r="V25" s="350"/>
      <c r="W25" s="349"/>
      <c r="X25" s="349" t="s">
        <v>377</v>
      </c>
      <c r="Y25" s="349"/>
      <c r="Z25" s="349"/>
      <c r="AA25" s="349" t="s">
        <v>363</v>
      </c>
      <c r="AB25" s="349"/>
      <c r="AC25" s="350"/>
      <c r="AD25" s="349"/>
      <c r="AE25" s="349"/>
      <c r="AF25" s="349" t="s">
        <v>378</v>
      </c>
      <c r="AG25" s="351"/>
      <c r="AH25" s="293" t="s">
        <v>42</v>
      </c>
      <c r="AI25" s="366"/>
      <c r="AJ25" s="366"/>
      <c r="AK25" s="366"/>
      <c r="AL25" s="366"/>
      <c r="AM25" s="366"/>
      <c r="AN25" s="366"/>
    </row>
    <row r="26" spans="1:40" ht="12" customHeight="1" thickBot="1">
      <c r="B26" s="430"/>
      <c r="C26" s="464"/>
      <c r="D26" s="464"/>
      <c r="E26" s="464" t="s">
        <v>379</v>
      </c>
      <c r="F26" s="464"/>
      <c r="G26" s="464"/>
      <c r="H26" s="465"/>
      <c r="I26" s="464"/>
      <c r="J26" s="464"/>
      <c r="K26" s="464"/>
      <c r="L26" s="464"/>
      <c r="M26" s="464"/>
      <c r="N26" s="464"/>
      <c r="O26" s="465" t="s">
        <v>366</v>
      </c>
      <c r="P26" s="464"/>
      <c r="Q26" s="464"/>
      <c r="R26" s="464"/>
      <c r="S26" s="464"/>
      <c r="T26" s="464" t="s">
        <v>380</v>
      </c>
      <c r="U26" s="464"/>
      <c r="V26" s="465"/>
      <c r="W26" s="464"/>
      <c r="X26" s="464" t="s">
        <v>381</v>
      </c>
      <c r="Y26" s="464"/>
      <c r="Z26" s="464"/>
      <c r="AA26" s="464" t="s">
        <v>382</v>
      </c>
      <c r="AB26" s="464"/>
      <c r="AC26" s="465"/>
      <c r="AD26" s="464"/>
      <c r="AE26" s="464" t="s">
        <v>383</v>
      </c>
      <c r="AF26" s="464" t="s">
        <v>369</v>
      </c>
      <c r="AG26" s="466"/>
      <c r="AH26" s="437"/>
      <c r="AI26" s="366"/>
      <c r="AJ26" s="366"/>
      <c r="AK26" s="366"/>
      <c r="AL26" s="366"/>
      <c r="AM26" s="366"/>
      <c r="AN26" s="366"/>
    </row>
    <row r="27" spans="1:40" ht="14.15" customHeight="1">
      <c r="A27" s="347">
        <f>COUNTIF(C27:AG27,"★★")</f>
        <v>4</v>
      </c>
      <c r="B27" s="518" t="str">
        <f>IF(一覧!B35="","",一覧!B35)</f>
        <v>坂口　裕一</v>
      </c>
      <c r="C27" s="349" t="str">
        <f>IF(一覧!C35="","",一覧!C35)</f>
        <v>じゅっと</v>
      </c>
      <c r="D27" s="349" t="str">
        <f>IF(一覧!D35="","",一覧!D35)</f>
        <v>ミヤネ屋</v>
      </c>
      <c r="E27" s="349" t="str">
        <f>IF(一覧!E35="","",一覧!E35)</f>
        <v>代休</v>
      </c>
      <c r="F27" s="349" t="str">
        <f>IF(一覧!F35="","",一覧!F35)</f>
        <v>ｔｅｎ！</v>
      </c>
      <c r="G27" s="349" t="str">
        <f>IF(一覧!G35="","",一覧!G35)</f>
        <v>吉田粗品</v>
      </c>
      <c r="H27" s="350" t="str">
        <f>IF(一覧!H35="","",一覧!H35)</f>
        <v>★★</v>
      </c>
      <c r="I27" s="349" t="str">
        <f>IF(一覧!I35="","",一覧!I35)</f>
        <v>　　　━</v>
      </c>
      <c r="J27" s="349" t="str">
        <f>IF(一覧!J35="","",一覧!J35)</f>
        <v>━　　　</v>
      </c>
      <c r="K27" s="349" t="str">
        <f>IF(一覧!K35="","",一覧!K35)</f>
        <v>中継車WG</v>
      </c>
      <c r="L27" s="349" t="str">
        <f>IF(一覧!L35="","",一覧!L35)</f>
        <v>NTV会議</v>
      </c>
      <c r="M27" s="349" t="str">
        <f>IF(一覧!M35="","",一覧!M35)</f>
        <v/>
      </c>
      <c r="N27" s="349" t="str">
        <f>IF(一覧!N35="","",一覧!N35)</f>
        <v>★</v>
      </c>
      <c r="O27" s="350" t="str">
        <f>IF(一覧!O35="","",一覧!O35)</f>
        <v>★</v>
      </c>
      <c r="P27" s="349" t="str">
        <f>IF(一覧!P35="","",一覧!P35)</f>
        <v>★★</v>
      </c>
      <c r="Q27" s="349" t="str">
        <f>IF(一覧!Q35="","",一覧!Q35)</f>
        <v/>
      </c>
      <c r="R27" s="349" t="str">
        <f>IF(一覧!R35="","",一覧!R35)</f>
        <v/>
      </c>
      <c r="S27" s="349" t="str">
        <f>IF(一覧!S35="","",一覧!S35)</f>
        <v>うさかめ</v>
      </c>
      <c r="T27" s="349" t="str">
        <f>IF(一覧!T35="","",一覧!T35)</f>
        <v>吉田粗品</v>
      </c>
      <c r="U27" s="349" t="str">
        <f>IF(一覧!U35="","",一覧!U35)</f>
        <v>ｶﾒﾗG会</v>
      </c>
      <c r="V27" s="350" t="str">
        <f>IF(一覧!V35="","",一覧!V35)</f>
        <v>ジグザグ</v>
      </c>
      <c r="W27" s="349" t="str">
        <f>IF(一覧!W35="","",一覧!W35)</f>
        <v>★★</v>
      </c>
      <c r="X27" s="349" t="str">
        <f>IF(一覧!X35="","",一覧!X35)</f>
        <v>　　　━</v>
      </c>
      <c r="Y27" s="349" t="str">
        <f>IF(一覧!Y35="","",一覧!Y35)</f>
        <v>━　　　</v>
      </c>
      <c r="Z27" s="349" t="str">
        <f>IF(一覧!Z35="","",一覧!Z35)</f>
        <v>★</v>
      </c>
      <c r="AA27" s="349" t="str">
        <f>IF(一覧!AA35="","",一覧!AA35)</f>
        <v>ｔｅｎ！</v>
      </c>
      <c r="AB27" s="349" t="str">
        <f>IF(一覧!AB35="","",一覧!AB35)</f>
        <v/>
      </c>
      <c r="AC27" s="350" t="str">
        <f>IF(一覧!AC35="","",一覧!AC35)</f>
        <v>★</v>
      </c>
      <c r="AD27" s="349" t="str">
        <f>IF(一覧!AD35="","",一覧!AD35)</f>
        <v>★★</v>
      </c>
      <c r="AE27" s="349" t="str">
        <f>IF(一覧!AE35="","",一覧!AE35)</f>
        <v>ミヤネ屋</v>
      </c>
      <c r="AF27" s="349" t="str">
        <f>IF(一覧!AF35="","",一覧!AF35)</f>
        <v>じゅっと</v>
      </c>
      <c r="AG27" s="351" t="str">
        <f>IF(一覧!AG35="","",一覧!AG35)</f>
        <v/>
      </c>
      <c r="AH27" s="519" t="str">
        <f>IF(一覧!AH35="","",一覧!AH35)</f>
        <v>坂口裕</v>
      </c>
      <c r="AI27" s="366"/>
      <c r="AJ27" s="366"/>
      <c r="AK27" s="366"/>
      <c r="AL27" s="366"/>
      <c r="AM27" s="366"/>
      <c r="AN27" s="366"/>
    </row>
    <row r="28" spans="1:40" ht="14.15" customHeight="1">
      <c r="A28" s="347">
        <f>COUNTIF(C27:AG27,"★")</f>
        <v>4</v>
      </c>
      <c r="B28" s="303" t="str">
        <f>IF(一覧!B36="","",一覧!B36)</f>
        <v/>
      </c>
      <c r="C28" s="355" t="str">
        <f>IF(一覧!C36="","",一覧!C36)</f>
        <v>ＴＤ</v>
      </c>
      <c r="D28" s="355" t="str">
        <f>IF(一覧!D36="","",一覧!D36)</f>
        <v>ＳＷ</v>
      </c>
      <c r="E28" s="355" t="str">
        <f>IF(一覧!E36="","",一覧!E36)</f>
        <v>5/31分</v>
      </c>
      <c r="F28" s="355" t="str">
        <f>IF(一覧!F36="","",一覧!F36)</f>
        <v>ＳＷ</v>
      </c>
      <c r="G28" s="355" t="str">
        <f>IF(一覧!G36="","",一覧!G36)</f>
        <v>ＴＤ</v>
      </c>
      <c r="H28" s="356" t="str">
        <f>IF(一覧!H36="","",一覧!H36)</f>
        <v>※</v>
      </c>
      <c r="I28" s="355" t="str">
        <f>IF(一覧!I36="","",一覧!I36)</f>
        <v/>
      </c>
      <c r="J28" s="355" t="str">
        <f>IF(一覧!J36="","",一覧!J36)</f>
        <v>吉田粗品</v>
      </c>
      <c r="K28" s="355" t="str">
        <f>IF(一覧!K36="","",一覧!K36)</f>
        <v/>
      </c>
      <c r="L28" s="355" t="str">
        <f>IF(一覧!L36="","",一覧!L36)</f>
        <v/>
      </c>
      <c r="M28" s="355" t="str">
        <f>IF(一覧!M36="","",一覧!M36)</f>
        <v/>
      </c>
      <c r="N28" s="355" t="str">
        <f>IF(一覧!N36="","",一覧!N36)</f>
        <v/>
      </c>
      <c r="O28" s="356" t="str">
        <f>IF(一覧!O36="","",一覧!O36)</f>
        <v/>
      </c>
      <c r="P28" s="355" t="str">
        <f>IF(一覧!P36="","",一覧!P36)</f>
        <v/>
      </c>
      <c r="Q28" s="355" t="str">
        <f>IF(一覧!Q36="","",一覧!Q36)</f>
        <v/>
      </c>
      <c r="R28" s="355" t="str">
        <f>IF(一覧!R36="","",一覧!R36)</f>
        <v/>
      </c>
      <c r="S28" s="355" t="str">
        <f>IF(一覧!S36="","",一覧!S36)</f>
        <v>ＴＤ</v>
      </c>
      <c r="T28" s="355" t="str">
        <f>IF(一覧!T36="","",一覧!T36)</f>
        <v>ＳＷ</v>
      </c>
      <c r="U28" s="355" t="str">
        <f>IF(一覧!U36="","",一覧!U36)</f>
        <v>13゜～</v>
      </c>
      <c r="V28" s="356" t="str">
        <f>IF(一覧!V36="","",一覧!V36)</f>
        <v>ＴＤ</v>
      </c>
      <c r="W28" s="355" t="str">
        <f>IF(一覧!W36="","",一覧!W36)</f>
        <v/>
      </c>
      <c r="X28" s="355" t="str">
        <f>IF(一覧!X36="","",一覧!X36)</f>
        <v/>
      </c>
      <c r="Y28" s="355" t="str">
        <f>IF(一覧!Y36="","",一覧!Y36)</f>
        <v/>
      </c>
      <c r="Z28" s="355" t="str">
        <f>IF(一覧!Z36="","",一覧!Z36)</f>
        <v/>
      </c>
      <c r="AA28" s="355" t="str">
        <f>IF(一覧!AA36="","",一覧!AA36)</f>
        <v>ＴＤ</v>
      </c>
      <c r="AB28" s="355" t="str">
        <f>IF(一覧!AB36="","",一覧!AB36)</f>
        <v>技術会議</v>
      </c>
      <c r="AC28" s="356" t="str">
        <f>IF(一覧!AC36="","",一覧!AC36)</f>
        <v/>
      </c>
      <c r="AD28" s="355" t="str">
        <f>IF(一覧!AD36="","",一覧!AD36)</f>
        <v/>
      </c>
      <c r="AE28" s="355" t="str">
        <f>IF(一覧!AE36="","",一覧!AE36)</f>
        <v>ＳＷ</v>
      </c>
      <c r="AF28" s="355" t="str">
        <f>IF(一覧!AF36="","",一覧!AF36)</f>
        <v>ＴＤ</v>
      </c>
      <c r="AG28" s="357" t="str">
        <f>IF(一覧!AG36="","",一覧!AG36)</f>
        <v/>
      </c>
      <c r="AH28" s="304" t="str">
        <f>IF(一覧!AH36="","",一覧!AH36)</f>
        <v/>
      </c>
      <c r="AI28" s="366"/>
      <c r="AJ28" s="366"/>
      <c r="AK28" s="366"/>
      <c r="AL28" s="366"/>
      <c r="AM28" s="366"/>
      <c r="AN28" s="366"/>
    </row>
    <row r="29" spans="1:40" ht="14.15" customHeight="1">
      <c r="A29" s="347">
        <f>COUNTIF(C29:AG29,"★★")</f>
        <v>4</v>
      </c>
      <c r="B29" s="518" t="str">
        <f>IF(一覧!B45="","",一覧!B45)</f>
        <v>藤井　義行</v>
      </c>
      <c r="C29" s="349" t="str">
        <f>IF(一覧!C45="","",一覧!C45)</f>
        <v>木ドラ</v>
      </c>
      <c r="D29" s="349" t="str">
        <f>IF(一覧!D45="","",一覧!D45)</f>
        <v>代休</v>
      </c>
      <c r="E29" s="349" t="str">
        <f>IF(一覧!E45="","",一覧!E45)</f>
        <v>代休</v>
      </c>
      <c r="F29" s="349" t="str">
        <f>IF(一覧!F45="","",一覧!F45)</f>
        <v>ミヤネ屋</v>
      </c>
      <c r="G29" s="349" t="str">
        <f>IF(一覧!G45="","",一覧!G45)</f>
        <v>じゅっと</v>
      </c>
      <c r="H29" s="350" t="str">
        <f>IF(一覧!H45="","",一覧!H45)</f>
        <v>ジグザグ</v>
      </c>
      <c r="I29" s="349" t="str">
        <f>IF(一覧!I45="","",一覧!I45)</f>
        <v>★★</v>
      </c>
      <c r="J29" s="349" t="str">
        <f>IF(一覧!J45="","",一覧!J45)</f>
        <v>★</v>
      </c>
      <c r="K29" s="349" t="str">
        <f>IF(一覧!K45="","",一覧!K45)</f>
        <v>ほんわか</v>
      </c>
      <c r="L29" s="349" t="str">
        <f>IF(一覧!L45="","",一覧!L45)</f>
        <v>ミヤネ屋</v>
      </c>
      <c r="M29" s="349" t="str">
        <f>IF(一覧!M45="","",一覧!M45)</f>
        <v/>
      </c>
      <c r="N29" s="349" t="str">
        <f>IF(一覧!N45="","",一覧!N45)</f>
        <v/>
      </c>
      <c r="O29" s="350" t="str">
        <f>IF(一覧!O45="","",一覧!O45)</f>
        <v>ジグザグ</v>
      </c>
      <c r="P29" s="349" t="str">
        <f>IF(一覧!P45="","",一覧!P45)</f>
        <v>★★</v>
      </c>
      <c r="Q29" s="349" t="str">
        <f>IF(一覧!Q45="","",一覧!Q45)</f>
        <v>★</v>
      </c>
      <c r="R29" s="349" t="str">
        <f>IF(一覧!R45="","",一覧!R45)</f>
        <v>ミヤネ屋</v>
      </c>
      <c r="S29" s="349" t="str">
        <f>IF(一覧!S45="","",一覧!S45)</f>
        <v>読響</v>
      </c>
      <c r="T29" s="349" t="str">
        <f>IF(一覧!T45="","",一覧!T45)</f>
        <v>　　　━</v>
      </c>
      <c r="U29" s="349" t="str">
        <f>IF(一覧!U45="","",一覧!U45)</f>
        <v>━　　　</v>
      </c>
      <c r="V29" s="350" t="str">
        <f>IF(一覧!V45="","",一覧!V45)</f>
        <v>★★</v>
      </c>
      <c r="W29" s="349" t="str">
        <f>IF(一覧!W45="","",一覧!W45)</f>
        <v>NsubTD</v>
      </c>
      <c r="X29" s="349" t="str">
        <f>IF(一覧!X45="","",一覧!X45)</f>
        <v>じゅっと</v>
      </c>
      <c r="Y29" s="349" t="str">
        <f>IF(一覧!Y45="","",一覧!Y45)</f>
        <v>ほんわか</v>
      </c>
      <c r="Z29" s="349" t="str">
        <f>IF(一覧!Z45="","",一覧!Z45)</f>
        <v>★</v>
      </c>
      <c r="AA29" s="349" t="str">
        <f>IF(一覧!AA45="","",一覧!AA45)</f>
        <v/>
      </c>
      <c r="AB29" s="349" t="str">
        <f>IF(一覧!AB45="","",一覧!AB45)</f>
        <v>ミヤネ屋</v>
      </c>
      <c r="AC29" s="350" t="str">
        <f>IF(一覧!AC45="","",一覧!AC45)</f>
        <v>★</v>
      </c>
      <c r="AD29" s="349" t="str">
        <f>IF(一覧!AD45="","",一覧!AD45)</f>
        <v>★★</v>
      </c>
      <c r="AE29" s="349" t="str">
        <f>IF(一覧!AE45="","",一覧!AE45)</f>
        <v>土ダメ</v>
      </c>
      <c r="AF29" s="349" t="str">
        <f>IF(一覧!AF45="","",一覧!AF45)</f>
        <v/>
      </c>
      <c r="AG29" s="351" t="str">
        <f>IF(一覧!AG45="","",一覧!AG45)</f>
        <v/>
      </c>
      <c r="AH29" s="519" t="str">
        <f>IF(一覧!AH45="","",一覧!AH45)</f>
        <v>藤井</v>
      </c>
      <c r="AI29" s="366"/>
      <c r="AJ29" s="366"/>
      <c r="AK29" s="366"/>
      <c r="AL29" s="366"/>
      <c r="AM29" s="366"/>
      <c r="AN29" s="366"/>
    </row>
    <row r="30" spans="1:40" ht="14.15" customHeight="1">
      <c r="A30" s="347">
        <f>COUNTIF(C29:AG29,"★")</f>
        <v>4</v>
      </c>
      <c r="B30" s="303" t="str">
        <f>IF(一覧!B46="","",一覧!B46)</f>
        <v/>
      </c>
      <c r="C30" s="355" t="str">
        <f>IF(一覧!C46="","",一覧!C46)</f>
        <v/>
      </c>
      <c r="D30" s="355" t="str">
        <f>IF(一覧!D46="","",一覧!D46)</f>
        <v>5/30分</v>
      </c>
      <c r="E30" s="355" t="str">
        <f>IF(一覧!E46="","",一覧!E46)</f>
        <v>5/31分</v>
      </c>
      <c r="F30" s="355" t="str">
        <f>IF(一覧!F46="","",一覧!F46)</f>
        <v>ＴＤ</v>
      </c>
      <c r="G30" s="355" t="str">
        <f>IF(一覧!G46="","",一覧!G46)</f>
        <v>ＴＤ</v>
      </c>
      <c r="H30" s="356" t="str">
        <f>IF(一覧!H46="","",一覧!H46)</f>
        <v>ＴＤ</v>
      </c>
      <c r="I30" s="355" t="str">
        <f>IF(一覧!I46="","",一覧!I46)</f>
        <v/>
      </c>
      <c r="J30" s="355" t="str">
        <f>IF(一覧!J46="","",一覧!J46)</f>
        <v/>
      </c>
      <c r="K30" s="355"/>
      <c r="L30" s="355" t="str">
        <f>IF(一覧!L46="","",一覧!L46)</f>
        <v>ＴＤ</v>
      </c>
      <c r="M30" s="355" t="str">
        <f>IF(一覧!M46="","",一覧!M46)</f>
        <v/>
      </c>
      <c r="N30" s="355" t="str">
        <f>IF(一覧!N46="","",一覧!N46)</f>
        <v/>
      </c>
      <c r="O30" s="356" t="str">
        <f>IF(一覧!O46="","",一覧!O46)</f>
        <v>ＴＤ</v>
      </c>
      <c r="P30" s="355" t="str">
        <f>IF(一覧!P46="","",一覧!P46)</f>
        <v/>
      </c>
      <c r="Q30" s="355" t="str">
        <f>IF(一覧!Q46="","",一覧!Q46)</f>
        <v/>
      </c>
      <c r="R30" s="355" t="str">
        <f>IF(一覧!R46="","",一覧!R46)</f>
        <v>ＳＷ</v>
      </c>
      <c r="S30" s="355" t="str">
        <f>IF(一覧!S46="","",一覧!S46)</f>
        <v>ＣＡＭ</v>
      </c>
      <c r="T30" s="355" t="str">
        <f>IF(一覧!T46="","",一覧!T46)</f>
        <v/>
      </c>
      <c r="U30" s="355" t="str">
        <f>IF(一覧!U46="","",一覧!U46)</f>
        <v>ｶﾒﾗG会</v>
      </c>
      <c r="V30" s="356" t="str">
        <f>IF(一覧!V46="","",一覧!V46)</f>
        <v/>
      </c>
      <c r="W30" s="355" t="str">
        <f>IF(一覧!W46="","",一覧!W46)</f>
        <v/>
      </c>
      <c r="X30" s="355" t="str">
        <f>IF(一覧!X46="","",一覧!X46)</f>
        <v>ＴＤ</v>
      </c>
      <c r="Y30" s="355" t="str">
        <f>IF(一覧!Y46="","",一覧!Y46)</f>
        <v>ＳＷ</v>
      </c>
      <c r="Z30" s="355" t="str">
        <f>IF(一覧!Z46="","",一覧!Z46)</f>
        <v/>
      </c>
      <c r="AA30" s="355" t="str">
        <f>IF(一覧!AA46="","",一覧!AA46)</f>
        <v/>
      </c>
      <c r="AB30" s="355" t="str">
        <f>IF(一覧!AB46="","",一覧!AB46)</f>
        <v>ＴＤ</v>
      </c>
      <c r="AC30" s="356" t="str">
        <f>IF(一覧!AC46="","",一覧!AC46)</f>
        <v/>
      </c>
      <c r="AD30" s="355" t="str">
        <f>IF(一覧!AD46="","",一覧!AD46)</f>
        <v/>
      </c>
      <c r="AE30" s="355" t="str">
        <f>IF(一覧!AE46="","",一覧!AE46)</f>
        <v>ＳＷ</v>
      </c>
      <c r="AF30" s="355" t="str">
        <f>IF(一覧!AF46="","",一覧!AF46)</f>
        <v/>
      </c>
      <c r="AG30" s="357" t="str">
        <f>IF(一覧!AG46="","",一覧!AG46)</f>
        <v/>
      </c>
      <c r="AH30" s="304" t="str">
        <f>IF(一覧!AH46="","",一覧!AH46)</f>
        <v/>
      </c>
      <c r="AI30" s="366"/>
      <c r="AJ30" s="366"/>
      <c r="AK30" s="366"/>
      <c r="AL30" s="366"/>
      <c r="AM30" s="366"/>
      <c r="AN30" s="366"/>
    </row>
    <row r="31" spans="1:40" ht="14.15" customHeight="1">
      <c r="A31" s="347">
        <f>COUNTIF(C31:AG31,"★★")</f>
        <v>4</v>
      </c>
      <c r="B31" s="518" t="str">
        <f>IF(一覧!B59="","",一覧!B59)</f>
        <v>野口　忠繁</v>
      </c>
      <c r="C31" s="349" t="str">
        <f>IF(一覧!C59="","",一覧!C59)</f>
        <v>木ドラ</v>
      </c>
      <c r="D31" s="349" t="str">
        <f>IF(一覧!D59="","",一覧!D59)</f>
        <v>代休</v>
      </c>
      <c r="E31" s="349" t="str">
        <f>IF(一覧!E59="","",一覧!E59)</f>
        <v>代休</v>
      </c>
      <c r="F31" s="349"/>
      <c r="G31" s="349" t="str">
        <f>IF(一覧!G59="","",一覧!G59)</f>
        <v>じゅっと</v>
      </c>
      <c r="H31" s="350" t="str">
        <f>IF(一覧!H59="","",一覧!H59)</f>
        <v>★</v>
      </c>
      <c r="I31" s="349" t="str">
        <f>IF(一覧!I59="","",一覧!I59)</f>
        <v>★★</v>
      </c>
      <c r="J31" s="349" t="str">
        <f>IF(一覧!J59="","",一覧!J59)</f>
        <v>ミヤネ屋</v>
      </c>
      <c r="K31" s="349" t="str">
        <f>IF(一覧!K59="","",一覧!K59)</f>
        <v>ほんわか</v>
      </c>
      <c r="L31" s="349" t="str">
        <f>IF(一覧!L59="","",一覧!L59)</f>
        <v>声</v>
      </c>
      <c r="M31" s="349" t="str">
        <f>IF(一覧!M59="","",一覧!M59)</f>
        <v>じゅっと</v>
      </c>
      <c r="N31" s="349" t="str">
        <f>IF(一覧!N59="","",一覧!N59)</f>
        <v>委員会</v>
      </c>
      <c r="O31" s="350" t="str">
        <f>IF(一覧!O59="","",一覧!O59)</f>
        <v>読響</v>
      </c>
      <c r="P31" s="349" t="str">
        <f>IF(一覧!P59="","",一覧!P59)</f>
        <v>★★</v>
      </c>
      <c r="Q31" s="349" t="str">
        <f>IF(一覧!Q59="","",一覧!Q59)</f>
        <v>土ダメ</v>
      </c>
      <c r="R31" s="349" t="str">
        <f>IF(一覧!R59="","",一覧!R59)</f>
        <v>準備</v>
      </c>
      <c r="S31" s="349" t="str">
        <f>IF(一覧!S59="","",一覧!S59)</f>
        <v>読響</v>
      </c>
      <c r="T31" s="349" t="str">
        <f>IF(一覧!T59="","",一覧!T59)</f>
        <v>★</v>
      </c>
      <c r="U31" s="349" t="str">
        <f>IF(一覧!U59="","",一覧!U59)</f>
        <v>じゅっと</v>
      </c>
      <c r="V31" s="350" t="str">
        <f>IF(一覧!V59="","",一覧!V59)</f>
        <v>ジグザグ</v>
      </c>
      <c r="W31" s="349" t="str">
        <f>IF(一覧!W59="","",一覧!W59)</f>
        <v>音道楽</v>
      </c>
      <c r="X31" s="349" t="str">
        <f>IF(一覧!X59="","",一覧!X59)</f>
        <v>音道楽</v>
      </c>
      <c r="Y31" s="349" t="str">
        <f>IF(一覧!Y59="","",一覧!Y59)</f>
        <v>★★</v>
      </c>
      <c r="Z31" s="349" t="str">
        <f>IF(一覧!Z59="","",一覧!Z59)</f>
        <v>★</v>
      </c>
      <c r="AA31" s="349" t="str">
        <f>IF(一覧!AA59="","",一覧!AA59)</f>
        <v>人事配信</v>
      </c>
      <c r="AB31" s="349" t="str">
        <f>IF(一覧!AB59="","",一覧!AB59)</f>
        <v>委員会</v>
      </c>
      <c r="AC31" s="350" t="str">
        <f>IF(一覧!AC59="","",一覧!AC59)</f>
        <v>★</v>
      </c>
      <c r="AD31" s="349" t="str">
        <f>IF(一覧!AD59="","",一覧!AD59)</f>
        <v>★★</v>
      </c>
      <c r="AE31" s="349" t="str">
        <f>IF(一覧!AE59="","",一覧!AE59)</f>
        <v>X準備</v>
      </c>
      <c r="AF31" s="349" t="str">
        <f>IF(一覧!AF59="","",一覧!AF59)</f>
        <v>年休</v>
      </c>
      <c r="AG31" s="351" t="str">
        <f>IF(一覧!AG59="","",一覧!AG59)</f>
        <v/>
      </c>
      <c r="AH31" s="519" t="str">
        <f>IF(一覧!AH59="","",一覧!AH59)</f>
        <v>野口</v>
      </c>
      <c r="AI31" s="366"/>
      <c r="AJ31" s="366"/>
      <c r="AK31" s="366"/>
      <c r="AL31" s="366"/>
      <c r="AM31" s="366"/>
      <c r="AN31" s="366"/>
    </row>
    <row r="32" spans="1:40" ht="14.15" customHeight="1">
      <c r="A32" s="347">
        <f>COUNTIF(C31:AG31,"★")</f>
        <v>4</v>
      </c>
      <c r="B32" s="303" t="str">
        <f>IF(一覧!B60="","",一覧!B60)</f>
        <v/>
      </c>
      <c r="C32" s="355" t="str">
        <f>IF(一覧!C60="","",一覧!C60)</f>
        <v/>
      </c>
      <c r="D32" s="355" t="str">
        <f>IF(一覧!D60="","",一覧!D60)</f>
        <v>5/30分</v>
      </c>
      <c r="E32" s="355" t="str">
        <f>IF(一覧!E60="","",一覧!E60)</f>
        <v>5/31分</v>
      </c>
      <c r="F32" s="355"/>
      <c r="G32" s="355" t="str">
        <f>IF(一覧!G60="","",一覧!G60)</f>
        <v>ＴＤ’</v>
      </c>
      <c r="H32" s="356" t="str">
        <f>IF(一覧!H60="","",一覧!H60)</f>
        <v/>
      </c>
      <c r="I32" s="355" t="str">
        <f>IF(一覧!I60="","",一覧!I60)</f>
        <v/>
      </c>
      <c r="J32" s="355" t="str">
        <f>IF(一覧!J60="","",一覧!J60)</f>
        <v>ＴＤ</v>
      </c>
      <c r="K32" s="355" t="str">
        <f>IF(一覧!K60="","",一覧!K60)</f>
        <v>ＣＡＭ</v>
      </c>
      <c r="L32" s="355" t="str">
        <f>IF(一覧!L60="","",一覧!L60)</f>
        <v>ＣＡＭ</v>
      </c>
      <c r="M32" s="355" t="str">
        <f>IF(一覧!M60="","",一覧!M60)</f>
        <v>ＴＤ’</v>
      </c>
      <c r="N32" s="355" t="str">
        <f>IF(一覧!N60="","",一覧!N60)</f>
        <v>ＴＤ.SW</v>
      </c>
      <c r="O32" s="356" t="str">
        <f>IF(一覧!O60="","",一覧!O60)</f>
        <v>下見</v>
      </c>
      <c r="P32" s="355" t="str">
        <f>IF(一覧!P60="","",一覧!P60)</f>
        <v/>
      </c>
      <c r="Q32" s="355" t="str">
        <f>IF(一覧!Q60="","",一覧!Q60)</f>
        <v>ＳＷ</v>
      </c>
      <c r="R32" s="355" t="str">
        <f>IF(一覧!R60="","",一覧!R60)</f>
        <v/>
      </c>
      <c r="S32" s="355" t="str">
        <f>IF(一覧!S60="","",一覧!S60)</f>
        <v>ＳＷ</v>
      </c>
      <c r="T32" s="355" t="str">
        <f>IF(一覧!T60="","",一覧!T60)</f>
        <v/>
      </c>
      <c r="U32" s="355" t="str">
        <f>IF(一覧!U60="","",一覧!U60)</f>
        <v>ＴＤ</v>
      </c>
      <c r="V32" s="356" t="str">
        <f>IF(一覧!V60="","",一覧!V60)</f>
        <v>ＳＷ</v>
      </c>
      <c r="W32" s="355" t="str">
        <f>IF(一覧!W60="","",一覧!W60)</f>
        <v>ＳＷ</v>
      </c>
      <c r="X32" s="355" t="str">
        <f>IF(一覧!X60="","",一覧!X60)</f>
        <v>ＳＷ</v>
      </c>
      <c r="Y32" s="355" t="str">
        <f>IF(一覧!Y60="","",一覧!Y60)</f>
        <v/>
      </c>
      <c r="Z32" s="355" t="str">
        <f>IF(一覧!Z60="","",一覧!Z60)</f>
        <v/>
      </c>
      <c r="AA32" s="355" t="str">
        <f>IF(一覧!AA60="","",一覧!AA60)</f>
        <v/>
      </c>
      <c r="AB32" s="355" t="str">
        <f>IF(一覧!AB60="","",一覧!AB60)</f>
        <v>ＴＤ.SW</v>
      </c>
      <c r="AC32" s="356" t="str">
        <f>IF(一覧!AC60="","",一覧!AC60)</f>
        <v/>
      </c>
      <c r="AD32" s="355" t="str">
        <f>IF(一覧!AD60="","",一覧!AD60)</f>
        <v/>
      </c>
      <c r="AE32" s="355" t="str">
        <f>IF(一覧!AE60="","",一覧!AE60)</f>
        <v/>
      </c>
      <c r="AF32" s="355" t="str">
        <f>IF(一覧!AF60="","",一覧!AF60)</f>
        <v>※</v>
      </c>
      <c r="AG32" s="357" t="str">
        <f>IF(一覧!AG60="","",一覧!AG60)</f>
        <v/>
      </c>
      <c r="AH32" s="304" t="str">
        <f>IF(一覧!AH60="","",一覧!AH60)</f>
        <v/>
      </c>
      <c r="AI32" s="366"/>
      <c r="AJ32" s="366"/>
      <c r="AK32" s="366"/>
      <c r="AL32" s="366"/>
      <c r="AM32" s="366"/>
      <c r="AN32" s="366"/>
    </row>
    <row r="33" spans="1:40" ht="14.15" customHeight="1">
      <c r="A33" s="347">
        <f>COUNTIF(C33:AG33,"★★")</f>
        <v>4</v>
      </c>
      <c r="B33" s="518" t="str">
        <f>IF(一覧!B65="","",一覧!B65)</f>
        <v>大矢　晃平</v>
      </c>
      <c r="C33" s="349" t="str">
        <f>IF(一覧!C65="","",一覧!C65)</f>
        <v>NTV応援</v>
      </c>
      <c r="D33" s="349" t="str">
        <f>IF(一覧!D65="","",一覧!D65)</f>
        <v>代休</v>
      </c>
      <c r="E33" s="349" t="str">
        <f>IF(一覧!E65="","",一覧!E65)</f>
        <v>うさかめ</v>
      </c>
      <c r="F33" s="349" t="str">
        <f>IF(一覧!F65="","",一覧!F65)</f>
        <v>ｔｅｎ！</v>
      </c>
      <c r="G33" s="349" t="str">
        <f>IF(一覧!G65="","",一覧!G65)</f>
        <v>吉田粗品</v>
      </c>
      <c r="H33" s="350" t="str">
        <f>IF(一覧!H65="","",一覧!H65)</f>
        <v>★</v>
      </c>
      <c r="I33" s="349" t="str">
        <f>IF(一覧!I65="","",一覧!I65)</f>
        <v>★★</v>
      </c>
      <c r="J33" s="349" t="str">
        <f>IF(一覧!J65="","",一覧!J65)</f>
        <v/>
      </c>
      <c r="K33" s="349" t="str">
        <f>IF(一覧!K65="","",一覧!K65)</f>
        <v>代休</v>
      </c>
      <c r="L33" s="349" t="str">
        <f>IF(一覧!L65="","",一覧!L65)</f>
        <v>音道楽</v>
      </c>
      <c r="M33" s="349" t="str">
        <f>IF(一覧!M65="","",一覧!M65)</f>
        <v>音道楽</v>
      </c>
      <c r="N33" s="349" t="str">
        <f>IF(一覧!N65="","",一覧!N65)</f>
        <v/>
      </c>
      <c r="O33" s="350" t="str">
        <f>IF(一覧!O65="","",一覧!O65)</f>
        <v>★</v>
      </c>
      <c r="P33" s="349" t="str">
        <f>IF(一覧!P65="","",一覧!P65)</f>
        <v>★★</v>
      </c>
      <c r="Q33" s="349" t="str">
        <f>IF(一覧!Q65="","",一覧!Q65)</f>
        <v>ten中継</v>
      </c>
      <c r="R33" s="349" t="str">
        <f>IF(一覧!R65="","",一覧!R65)</f>
        <v/>
      </c>
      <c r="S33" s="349" t="str">
        <f>IF(一覧!S65="","",一覧!S65)</f>
        <v>読響</v>
      </c>
      <c r="T33" s="349" t="str">
        <f>IF(一覧!T65="","",一覧!T65)</f>
        <v>ten中継</v>
      </c>
      <c r="U33" s="349" t="str">
        <f>IF(一覧!U65="","",一覧!U65)</f>
        <v>ｶﾒﾗG会</v>
      </c>
      <c r="V33" s="350" t="str">
        <f>IF(一覧!V65="","",一覧!V65)</f>
        <v>★★</v>
      </c>
      <c r="W33" s="349" t="str">
        <f>IF(一覧!W65="","",一覧!W65)</f>
        <v>音道楽</v>
      </c>
      <c r="X33" s="349" t="str">
        <f>IF(一覧!X65="","",一覧!X65)</f>
        <v>音道楽</v>
      </c>
      <c r="Y33" s="349" t="str">
        <f>IF(一覧!Y65="","",一覧!Y65)</f>
        <v>★</v>
      </c>
      <c r="Z33" s="349" t="str">
        <f>IF(一覧!Z65="","",一覧!Z65)</f>
        <v/>
      </c>
      <c r="AA33" s="349" t="str">
        <f>IF(一覧!AA65="","",一覧!AA65)</f>
        <v>人事配信</v>
      </c>
      <c r="AB33" s="349" t="str">
        <f>IF(一覧!AB65="","",一覧!AB65)</f>
        <v>委員会</v>
      </c>
      <c r="AC33" s="350" t="str">
        <f>IF(一覧!AC65="","",一覧!AC65)</f>
        <v>MUSICDAY</v>
      </c>
      <c r="AD33" s="349" t="str">
        <f>IF(一覧!AD65="","",一覧!AD65)</f>
        <v>★★</v>
      </c>
      <c r="AE33" s="349" t="str">
        <f>IF(一覧!AE65="","",一覧!AE65)</f>
        <v>★</v>
      </c>
      <c r="AF33" s="349" t="str">
        <f>IF(一覧!AF65="","",一覧!AF65)</f>
        <v>MUSICDAY</v>
      </c>
      <c r="AG33" s="351" t="str">
        <f>IF(一覧!AG65="","",一覧!AG65)</f>
        <v/>
      </c>
      <c r="AH33" s="519" t="str">
        <f>IF(一覧!AH65="","",一覧!AH65)</f>
        <v>大矢</v>
      </c>
      <c r="AI33" s="366"/>
      <c r="AJ33" s="366"/>
      <c r="AK33" s="366"/>
      <c r="AL33" s="366"/>
      <c r="AM33" s="366"/>
      <c r="AN33" s="366"/>
    </row>
    <row r="34" spans="1:40" ht="14.15" customHeight="1">
      <c r="A34" s="347">
        <f>COUNTIF(C33:AG33,"★")</f>
        <v>4</v>
      </c>
      <c r="B34" s="303" t="str">
        <f>IF(一覧!B66="","",一覧!B66)</f>
        <v/>
      </c>
      <c r="C34" s="355" t="str">
        <f>IF(一覧!C66="","",一覧!C66)</f>
        <v>サッカー</v>
      </c>
      <c r="D34" s="355" t="str">
        <f>IF(一覧!D66="","",一覧!D66)</f>
        <v>5/3分</v>
      </c>
      <c r="E34" s="355" t="str">
        <f>IF(一覧!E66="","",一覧!E66)</f>
        <v>ＴＤ.SW</v>
      </c>
      <c r="F34" s="355" t="str">
        <f>IF(一覧!F66="","",一覧!F66)</f>
        <v>ＳＷ’</v>
      </c>
      <c r="G34" s="355" t="str">
        <f>IF(一覧!G66="","",一覧!G66)</f>
        <v>ＣＡＭ</v>
      </c>
      <c r="H34" s="356" t="str">
        <f>IF(一覧!H66="","",一覧!H66)</f>
        <v/>
      </c>
      <c r="I34" s="355" t="str">
        <f>IF(一覧!I66="","",一覧!I66)</f>
        <v/>
      </c>
      <c r="J34" s="355" t="str">
        <f>IF(一覧!J66="","",一覧!J66)</f>
        <v/>
      </c>
      <c r="K34" s="355" t="str">
        <f>IF(一覧!K66="","",一覧!K66)</f>
        <v>5/31分</v>
      </c>
      <c r="L34" s="355" t="str">
        <f>IF(一覧!L66="","",一覧!L66)</f>
        <v>準備</v>
      </c>
      <c r="M34" s="355" t="str">
        <f>IF(一覧!M66="","",一覧!M66)</f>
        <v>ＴＤ.SW</v>
      </c>
      <c r="N34" s="355" t="str">
        <f>IF(一覧!N66="","",一覧!N66)</f>
        <v/>
      </c>
      <c r="O34" s="356" t="str">
        <f>IF(一覧!O66="","",一覧!O66)</f>
        <v>※</v>
      </c>
      <c r="P34" s="355" t="str">
        <f>IF(一覧!P66="","",一覧!P66)</f>
        <v/>
      </c>
      <c r="Q34" s="355" t="str">
        <f>IF(一覧!Q66="","",一覧!Q66)</f>
        <v>下見</v>
      </c>
      <c r="R34" s="355" t="str">
        <f>IF(一覧!R66="","",一覧!R66)</f>
        <v/>
      </c>
      <c r="S34" s="355" t="str">
        <f>IF(一覧!S66="","",一覧!S66)</f>
        <v>ＣＡＭ</v>
      </c>
      <c r="T34" s="355" t="str">
        <f>IF(一覧!T66="","",一覧!T66)</f>
        <v>ＴＤ</v>
      </c>
      <c r="U34" s="355" t="str">
        <f>IF(一覧!U66="","",一覧!U66)</f>
        <v/>
      </c>
      <c r="V34" s="356" t="str">
        <f>IF(一覧!V66="","",一覧!V66)</f>
        <v/>
      </c>
      <c r="W34" s="355" t="str">
        <f>IF(一覧!W66="","",一覧!W66)</f>
        <v>ＣＡＭ</v>
      </c>
      <c r="X34" s="355" t="str">
        <f>IF(一覧!X66="","",一覧!X66)</f>
        <v>ＣＡＭ</v>
      </c>
      <c r="Y34" s="355" t="str">
        <f>IF(一覧!Y66="","",一覧!Y66)</f>
        <v/>
      </c>
      <c r="Z34" s="355" t="str">
        <f>IF(一覧!Z66="","",一覧!Z66)</f>
        <v/>
      </c>
      <c r="AA34" s="355" t="str">
        <f>IF(一覧!AA66="","",一覧!AA66)</f>
        <v/>
      </c>
      <c r="AB34" s="355" t="str">
        <f>IF(一覧!AB66="","",一覧!AB66)</f>
        <v>ＣＡＭ</v>
      </c>
      <c r="AC34" s="356" t="str">
        <f>IF(一覧!AC66="","",一覧!AC66)</f>
        <v>打合せ</v>
      </c>
      <c r="AD34" s="355" t="str">
        <f>IF(一覧!AD66="","",一覧!AD66)</f>
        <v/>
      </c>
      <c r="AE34" s="355" t="str">
        <f>IF(一覧!AE66="","",一覧!AE66)</f>
        <v/>
      </c>
      <c r="AF34" s="355" t="str">
        <f>IF(一覧!AF66="","",一覧!AF66)</f>
        <v/>
      </c>
      <c r="AG34" s="357" t="str">
        <f>IF(一覧!AG66="","",一覧!AG66)</f>
        <v/>
      </c>
      <c r="AH34" s="304" t="str">
        <f>IF(一覧!AH66="","",一覧!AH66)</f>
        <v/>
      </c>
      <c r="AI34" s="366"/>
      <c r="AJ34" s="366"/>
      <c r="AK34" s="366"/>
      <c r="AL34" s="366"/>
      <c r="AM34" s="366"/>
      <c r="AN34" s="366"/>
    </row>
    <row r="35" spans="1:40" ht="14.15" customHeight="1">
      <c r="A35" s="347">
        <f>COUNTIF(C35:AG35,"★★")</f>
        <v>4</v>
      </c>
      <c r="B35" s="518" t="str">
        <f>IF(一覧!B75="","",一覧!B75)</f>
        <v>出口　雅樹</v>
      </c>
      <c r="C35" s="349" t="str">
        <f>IF(一覧!C75="","",一覧!C75)</f>
        <v>NTV応援</v>
      </c>
      <c r="D35" s="349" t="str">
        <f>IF(一覧!D75="","",一覧!D75)</f>
        <v>ミヤネ屋</v>
      </c>
      <c r="E35" s="349" t="str">
        <f>IF(一覧!E75="","",一覧!E75)</f>
        <v>うさかめ</v>
      </c>
      <c r="F35" s="349" t="str">
        <f>IF(一覧!F75="","",一覧!F75)</f>
        <v/>
      </c>
      <c r="G35" s="349" t="str">
        <f>IF(一覧!G75="","",一覧!G75)</f>
        <v>吉田粗品</v>
      </c>
      <c r="H35" s="350" t="str">
        <f>IF(一覧!H75="","",一覧!H75)</f>
        <v>★★</v>
      </c>
      <c r="I35" s="349" t="str">
        <f>IF(一覧!I75="","",一覧!I75)</f>
        <v>地球便</v>
      </c>
      <c r="J35" s="349" t="str">
        <f>IF(一覧!J75="","",一覧!J75)</f>
        <v>★</v>
      </c>
      <c r="K35" s="349" t="str">
        <f>IF(一覧!K75="","",一覧!K75)</f>
        <v>ほんわか</v>
      </c>
      <c r="L35" s="349" t="str">
        <f>IF(一覧!L75="","",一覧!L75)</f>
        <v>声</v>
      </c>
      <c r="M35" s="349" t="str">
        <f>IF(一覧!M75="","",一覧!M75)</f>
        <v>音道楽</v>
      </c>
      <c r="N35" s="349" t="str">
        <f>IF(一覧!N75="","",一覧!N75)</f>
        <v>委員会</v>
      </c>
      <c r="O35" s="350" t="str">
        <f>IF(一覧!O75="","",一覧!O75)</f>
        <v>★</v>
      </c>
      <c r="P35" s="349" t="str">
        <f>IF(一覧!P75="","",一覧!P75)</f>
        <v>★★</v>
      </c>
      <c r="Q35" s="349" t="str">
        <f>IF(一覧!Q75="","",一覧!Q75)</f>
        <v>しんご芽</v>
      </c>
      <c r="R35" s="349" t="str">
        <f>IF(一覧!R75="","",一覧!R75)</f>
        <v>しんご芽</v>
      </c>
      <c r="S35" s="349" t="str">
        <f>IF(一覧!S75="","",一覧!S75)</f>
        <v>読響</v>
      </c>
      <c r="T35" s="349" t="str">
        <f>IF(一覧!T75="","",一覧!T75)</f>
        <v>吉田粗品</v>
      </c>
      <c r="U35" s="349" t="str">
        <f>IF(一覧!U75="","",一覧!U75)</f>
        <v>ｶﾒﾗG会</v>
      </c>
      <c r="V35" s="350" t="str">
        <f>IF(一覧!V75="","",一覧!V75)</f>
        <v>ジグザグ</v>
      </c>
      <c r="W35" s="349" t="str">
        <f>IF(一覧!W75="","",一覧!W75)</f>
        <v>音道楽</v>
      </c>
      <c r="X35" s="349" t="str">
        <f>IF(一覧!X75="","",一覧!X75)</f>
        <v>音道楽</v>
      </c>
      <c r="Y35" s="349" t="str">
        <f>IF(一覧!Y75="","",一覧!Y75)</f>
        <v>★★</v>
      </c>
      <c r="Z35" s="349" t="str">
        <f>IF(一覧!Z75="","",一覧!Z75)</f>
        <v>★</v>
      </c>
      <c r="AA35" s="349" t="str">
        <f>IF(一覧!AA75="","",一覧!AA75)</f>
        <v>代休</v>
      </c>
      <c r="AB35" s="349" t="str">
        <f>IF(一覧!AB75="","",一覧!AB75)</f>
        <v>代休</v>
      </c>
      <c r="AC35" s="350" t="str">
        <f>IF(一覧!AC75="","",一覧!AC75)</f>
        <v>★★</v>
      </c>
      <c r="AD35" s="349" t="str">
        <f>IF(一覧!AD75="","",一覧!AD75)</f>
        <v>地球便</v>
      </c>
      <c r="AE35" s="349" t="str">
        <f>IF(一覧!AE75="","",一覧!AE75)</f>
        <v>X準備</v>
      </c>
      <c r="AF35" s="349" t="str">
        <f>IF(一覧!AF75="","",一覧!AF75)</f>
        <v>★</v>
      </c>
      <c r="AG35" s="351" t="str">
        <f>IF(一覧!AG75="","",一覧!AG75)</f>
        <v/>
      </c>
      <c r="AH35" s="519" t="str">
        <f>IF(一覧!AH75="","",一覧!AH75)</f>
        <v>出口</v>
      </c>
      <c r="AI35" s="366"/>
      <c r="AJ35" s="366"/>
      <c r="AK35" s="366"/>
      <c r="AL35" s="366"/>
      <c r="AM35" s="366"/>
      <c r="AN35" s="366"/>
    </row>
    <row r="36" spans="1:40" ht="14.15" customHeight="1">
      <c r="A36" s="347">
        <f>COUNTIF(C35:AG35,"★")</f>
        <v>4</v>
      </c>
      <c r="B36" s="303" t="str">
        <f>IF(一覧!B76="","",一覧!B76)</f>
        <v/>
      </c>
      <c r="C36" s="355" t="str">
        <f>IF(一覧!C76="","",一覧!C76)</f>
        <v>サッカー</v>
      </c>
      <c r="D36" s="355" t="str">
        <f>IF(一覧!D76="","",一覧!D76)</f>
        <v>ＣＡＭ</v>
      </c>
      <c r="E36" s="355" t="str">
        <f>IF(一覧!E76="","",一覧!E76)</f>
        <v>ＣＡＭ</v>
      </c>
      <c r="F36" s="355" t="str">
        <f>IF(一覧!F76="","",一覧!F76)</f>
        <v/>
      </c>
      <c r="G36" s="355" t="str">
        <f>IF(一覧!G76="","",一覧!G76)</f>
        <v>ＳＷ</v>
      </c>
      <c r="H36" s="356" t="str">
        <f>IF(一覧!H76="","",一覧!H76)</f>
        <v/>
      </c>
      <c r="I36" s="355" t="str">
        <f>IF(一覧!I76="","",一覧!I76)</f>
        <v>ＣＡＭ</v>
      </c>
      <c r="J36" s="355" t="str">
        <f>IF(一覧!J76="","",一覧!J76)</f>
        <v/>
      </c>
      <c r="K36" s="355" t="str">
        <f>IF(一覧!K76="","",一覧!K76)</f>
        <v>ＳＷ</v>
      </c>
      <c r="L36" s="355" t="str">
        <f>IF(一覧!L76="","",一覧!L76)</f>
        <v>ＳＷ</v>
      </c>
      <c r="M36" s="355" t="str">
        <f>IF(一覧!M76="","",一覧!M76)</f>
        <v>ＣＡＭ</v>
      </c>
      <c r="N36" s="355" t="str">
        <f>IF(一覧!N76="","",一覧!N76)</f>
        <v>ＣＡＭ</v>
      </c>
      <c r="O36" s="356" t="str">
        <f>IF(一覧!O76="","",一覧!O76)</f>
        <v/>
      </c>
      <c r="P36" s="355" t="str">
        <f>IF(一覧!P76="","",一覧!P76)</f>
        <v/>
      </c>
      <c r="Q36" s="355" t="str">
        <f>IF(一覧!Q76="","",一覧!Q76)</f>
        <v>ＴＤ.CAM</v>
      </c>
      <c r="R36" s="355" t="str">
        <f>IF(一覧!R76="","",一覧!R76)</f>
        <v>ＴＤ.CAM</v>
      </c>
      <c r="S36" s="355" t="str">
        <f>IF(一覧!S76="","",一覧!S76)</f>
        <v>ＣＡＭ</v>
      </c>
      <c r="T36" s="355" t="str">
        <f>IF(一覧!T76="","",一覧!T76)</f>
        <v>ＣＡＭ</v>
      </c>
      <c r="U36" s="355" t="str">
        <f>IF(一覧!U76="","",一覧!U76)</f>
        <v/>
      </c>
      <c r="V36" s="356" t="str">
        <f>IF(一覧!V76="","",一覧!V76)</f>
        <v>ＣＡＭ</v>
      </c>
      <c r="W36" s="355" t="str">
        <f>IF(一覧!W76="","",一覧!W76)</f>
        <v>ＣＡＭ</v>
      </c>
      <c r="X36" s="355" t="str">
        <f>IF(一覧!X76="","",一覧!X76)</f>
        <v>ＣＡＭ</v>
      </c>
      <c r="Y36" s="355" t="str">
        <f>IF(一覧!Y76="","",一覧!Y76)</f>
        <v>※</v>
      </c>
      <c r="Z36" s="355" t="str">
        <f>IF(一覧!Z76="","",一覧!Z76)</f>
        <v>※</v>
      </c>
      <c r="AA36" s="355" t="str">
        <f>IF(一覧!AA76="","",一覧!AA76)</f>
        <v>※ 5/30</v>
      </c>
      <c r="AB36" s="355" t="str">
        <f>IF(一覧!AB76="","",一覧!AB76)</f>
        <v>※ 5/31</v>
      </c>
      <c r="AC36" s="356" t="str">
        <f>IF(一覧!AC76="","",一覧!AC76)</f>
        <v/>
      </c>
      <c r="AD36" s="355" t="str">
        <f>IF(一覧!AD76="","",一覧!AD76)</f>
        <v>ＣＡＭ</v>
      </c>
      <c r="AE36" s="355" t="str">
        <f>IF(一覧!AE76="","",一覧!AE76)</f>
        <v/>
      </c>
      <c r="AF36" s="355" t="str">
        <f>IF(一覧!AF76="","",一覧!AF76)</f>
        <v>※</v>
      </c>
      <c r="AG36" s="357" t="str">
        <f>IF(一覧!AG76="","",一覧!AG76)</f>
        <v/>
      </c>
      <c r="AH36" s="304" t="str">
        <f>IF(一覧!AH76="","",一覧!AH76)</f>
        <v/>
      </c>
      <c r="AI36" s="366"/>
      <c r="AJ36" s="366"/>
      <c r="AK36" s="366"/>
      <c r="AL36" s="366"/>
      <c r="AM36" s="366"/>
      <c r="AN36" s="366"/>
    </row>
    <row r="37" spans="1:40" ht="14.15" customHeight="1">
      <c r="A37" s="347">
        <f>COUNTIF(C37:AG37,"★★")</f>
        <v>4</v>
      </c>
      <c r="B37" s="518" t="str">
        <f>IF(一覧!B77="","",一覧!B77)</f>
        <v>橋本　樹</v>
      </c>
      <c r="C37" s="349" t="str">
        <f>IF(一覧!C77="","",一覧!C77)</f>
        <v>局会</v>
      </c>
      <c r="D37" s="349" t="str">
        <f>IF(一覧!D77="","",一覧!D77)</f>
        <v>ミヤネ屋</v>
      </c>
      <c r="E37" s="349" t="str">
        <f>IF(一覧!E77="","",一覧!E77)</f>
        <v>代休</v>
      </c>
      <c r="F37" s="349" t="str">
        <f>IF(一覧!F77="","",一覧!F77)</f>
        <v>ｔｅｎ！</v>
      </c>
      <c r="G37" s="349" t="str">
        <f>IF(一覧!G77="","",一覧!G77)</f>
        <v>番審</v>
      </c>
      <c r="H37" s="350" t="str">
        <f>IF(一覧!H77="","",一覧!H77)</f>
        <v>★★</v>
      </c>
      <c r="I37" s="349" t="str">
        <f>IF(一覧!I77="","",一覧!I77)</f>
        <v>地球便</v>
      </c>
      <c r="J37" s="349" t="str">
        <f>IF(一覧!J77="","",一覧!J77)</f>
        <v>★</v>
      </c>
      <c r="K37" s="349" t="str">
        <f>IF(一覧!K77="","",一覧!K77)</f>
        <v>ミヤネ屋</v>
      </c>
      <c r="L37" s="349" t="str">
        <f>IF(一覧!L77="","",一覧!L77)</f>
        <v>一陸特</v>
      </c>
      <c r="M37" s="349" t="str">
        <f>IF(一覧!M77="","",一覧!M77)</f>
        <v>音道楽</v>
      </c>
      <c r="N37" s="349" t="str">
        <f>IF(一覧!N77="","",一覧!N77)</f>
        <v>委員会</v>
      </c>
      <c r="O37" s="350" t="str">
        <f>IF(一覧!O77="","",一覧!O77)</f>
        <v>★</v>
      </c>
      <c r="P37" s="349" t="str">
        <f>IF(一覧!P77="","",一覧!P77)</f>
        <v>★★</v>
      </c>
      <c r="Q37" s="349" t="str">
        <f>IF(一覧!Q77="","",一覧!Q77)</f>
        <v/>
      </c>
      <c r="R37" s="349" t="str">
        <f>IF(一覧!R77="","",一覧!R77)</f>
        <v>ミヤネ屋</v>
      </c>
      <c r="S37" s="349" t="str">
        <f>IF(一覧!S77="","",一覧!S77)</f>
        <v>読響</v>
      </c>
      <c r="T37" s="349" t="str">
        <f>IF(一覧!T77="","",一覧!T77)</f>
        <v>吉田粗品</v>
      </c>
      <c r="U37" s="349" t="str">
        <f>IF(一覧!U77="","",一覧!U77)</f>
        <v>ｶﾒﾗG会</v>
      </c>
      <c r="V37" s="350" t="str">
        <f>IF(一覧!V77="","",一覧!V77)</f>
        <v>★★</v>
      </c>
      <c r="W37" s="349" t="str">
        <f>IF(一覧!W77="","",一覧!W77)</f>
        <v>鳥特機</v>
      </c>
      <c r="X37" s="349" t="str">
        <f>IF(一覧!X77="","",一覧!X77)</f>
        <v>音道楽</v>
      </c>
      <c r="Y37" s="349" t="str">
        <f>IF(一覧!Y77="","",一覧!Y77)</f>
        <v>ほんわか</v>
      </c>
      <c r="Z37" s="349" t="str">
        <f>IF(一覧!Z77="","",一覧!Z77)</f>
        <v>★</v>
      </c>
      <c r="AA37" s="349" t="str">
        <f>IF(一覧!AA77="","",一覧!AA77)</f>
        <v>人事配信</v>
      </c>
      <c r="AB37" s="349" t="str">
        <f>IF(一覧!AB77="","",一覧!AB77)</f>
        <v>委員会</v>
      </c>
      <c r="AC37" s="350" t="str">
        <f>IF(一覧!AC77="","",一覧!AC77)</f>
        <v>★★</v>
      </c>
      <c r="AD37" s="349" t="str">
        <f>IF(一覧!AD77="","",一覧!AD77)</f>
        <v>地球便</v>
      </c>
      <c r="AE37" s="349" t="str">
        <f>IF(一覧!AE77="","",一覧!AE77)</f>
        <v>★</v>
      </c>
      <c r="AF37" s="349" t="str">
        <f>IF(一覧!AF77="","",一覧!AF77)</f>
        <v/>
      </c>
      <c r="AG37" s="351" t="str">
        <f>IF(一覧!AG77="","",一覧!AG77)</f>
        <v/>
      </c>
      <c r="AH37" s="519" t="str">
        <f>IF(一覧!AH77="","",一覧!AH77)</f>
        <v>橋本</v>
      </c>
      <c r="AI37" s="366"/>
      <c r="AJ37" s="366"/>
      <c r="AK37" s="366"/>
      <c r="AL37" s="366"/>
      <c r="AM37" s="366"/>
      <c r="AN37" s="366"/>
    </row>
    <row r="38" spans="1:40" ht="14.15" customHeight="1">
      <c r="A38" s="347">
        <f>COUNTIF(C37:AG37,"★")</f>
        <v>4</v>
      </c>
      <c r="B38" s="303" t="str">
        <f>IF(一覧!B78="","",一覧!B78)</f>
        <v/>
      </c>
      <c r="C38" s="355" t="str">
        <f>IF(一覧!C78="","",一覧!C78)</f>
        <v/>
      </c>
      <c r="D38" s="355" t="str">
        <f>IF(一覧!D78="","",一覧!D78)</f>
        <v>ＣＡＭ</v>
      </c>
      <c r="E38" s="355" t="str">
        <f>IF(一覧!E78="","",一覧!E78)</f>
        <v>5/30分</v>
      </c>
      <c r="F38" s="355" t="str">
        <f>IF(一覧!F78="","",一覧!F78)</f>
        <v>ＣＡＭ</v>
      </c>
      <c r="G38" s="355" t="str">
        <f>IF(一覧!G78="","",一覧!G78)</f>
        <v>ＥＮＧ</v>
      </c>
      <c r="H38" s="356" t="str">
        <f>IF(一覧!H78="","",一覧!H78)</f>
        <v/>
      </c>
      <c r="I38" s="355" t="str">
        <f>IF(一覧!I78="","",一覧!I78)</f>
        <v>ＣＡＭ</v>
      </c>
      <c r="J38" s="355" t="str">
        <f>IF(一覧!J78="","",一覧!J78)</f>
        <v/>
      </c>
      <c r="K38" s="355" t="str">
        <f>IF(一覧!K78="","",一覧!K78)</f>
        <v>ＣＡＭ</v>
      </c>
      <c r="L38" s="355" t="str">
        <f>IF(一覧!L78="","",一覧!L78)</f>
        <v>※</v>
      </c>
      <c r="M38" s="355" t="str">
        <f>IF(一覧!M78="","",一覧!M78)</f>
        <v>ＣＡＭ</v>
      </c>
      <c r="N38" s="355" t="str">
        <f>IF(一覧!N78="","",一覧!N78)</f>
        <v>ＣＡＭ</v>
      </c>
      <c r="O38" s="356" t="str">
        <f>IF(一覧!O78="","",一覧!O78)</f>
        <v/>
      </c>
      <c r="P38" s="355" t="str">
        <f>IF(一覧!P78="","",一覧!P78)</f>
        <v/>
      </c>
      <c r="Q38" s="355" t="str">
        <f>IF(一覧!Q78="","",一覧!Q78)</f>
        <v/>
      </c>
      <c r="R38" s="355" t="str">
        <f>IF(一覧!R78="","",一覧!R78)</f>
        <v>ＣＡＭ</v>
      </c>
      <c r="S38" s="355" t="str">
        <f>IF(一覧!S78="","",一覧!S78)</f>
        <v>ＣＡＭ</v>
      </c>
      <c r="T38" s="355" t="str">
        <f>IF(一覧!T78="","",一覧!T78)</f>
        <v>ＣＡＭ</v>
      </c>
      <c r="U38" s="355" t="str">
        <f>IF(一覧!U78="","",一覧!U78)</f>
        <v/>
      </c>
      <c r="V38" s="356" t="str">
        <f>IF(一覧!V78="","",一覧!V78)</f>
        <v/>
      </c>
      <c r="W38" s="355" t="str">
        <f>IF(一覧!W78="","",一覧!W78)</f>
        <v>準備</v>
      </c>
      <c r="X38" s="355" t="str">
        <f>IF(一覧!X78="","",一覧!X78)</f>
        <v>ＣＡＭ</v>
      </c>
      <c r="Y38" s="355" t="str">
        <f>IF(一覧!Y78="","",一覧!Y78)</f>
        <v>ＣＡＭ</v>
      </c>
      <c r="Z38" s="355" t="str">
        <f>IF(一覧!Z78="","",一覧!Z78)</f>
        <v/>
      </c>
      <c r="AA38" s="355" t="str">
        <f>IF(一覧!AA78="","",一覧!AA78)</f>
        <v>ＣＡＭ</v>
      </c>
      <c r="AB38" s="355" t="str">
        <f>IF(一覧!AB78="","",一覧!AB78)</f>
        <v>ＣＡＭ</v>
      </c>
      <c r="AC38" s="356" t="str">
        <f>IF(一覧!AC78="","",一覧!AC78)</f>
        <v/>
      </c>
      <c r="AD38" s="355" t="str">
        <f>IF(一覧!AD78="","",一覧!AD78)</f>
        <v>ＣＡＭ</v>
      </c>
      <c r="AE38" s="355" t="str">
        <f>IF(一覧!AE78="","",一覧!AE78)</f>
        <v/>
      </c>
      <c r="AF38" s="355" t="str">
        <f>IF(一覧!AF78="","",一覧!AF78)</f>
        <v/>
      </c>
      <c r="AG38" s="357" t="str">
        <f>IF(一覧!AG78="","",一覧!AG78)</f>
        <v/>
      </c>
      <c r="AH38" s="304" t="str">
        <f>IF(一覧!AH78="","",一覧!AH78)</f>
        <v/>
      </c>
      <c r="AI38" s="366"/>
      <c r="AJ38" s="366"/>
      <c r="AK38" s="366"/>
      <c r="AL38" s="366"/>
      <c r="AM38" s="366"/>
      <c r="AN38" s="366"/>
    </row>
    <row r="39" spans="1:40" ht="14.15" customHeight="1">
      <c r="A39" s="347">
        <f>COUNTIF(C39:AG39,"★★")</f>
        <v>4</v>
      </c>
      <c r="B39" s="518" t="str">
        <f>IF(一覧!B79="","",一覧!B79)</f>
        <v>小曽根千穂</v>
      </c>
      <c r="C39" s="349" t="str">
        <f>IF(一覧!C79="","",一覧!C79)</f>
        <v>局会</v>
      </c>
      <c r="D39" s="349" t="str">
        <f>IF(一覧!D79="","",一覧!D79)</f>
        <v>ミヤネ屋</v>
      </c>
      <c r="E39" s="349" t="str">
        <f>IF(一覧!E79="","",一覧!E79)</f>
        <v>うさかめ</v>
      </c>
      <c r="F39" s="349" t="str">
        <f>IF(一覧!F79="","",一覧!F79)</f>
        <v>ｔｅｎ！</v>
      </c>
      <c r="G39" s="349" t="str">
        <f>IF(一覧!G79="","",一覧!G79)</f>
        <v>吉田粗品</v>
      </c>
      <c r="H39" s="350" t="str">
        <f>IF(一覧!H79="","",一覧!H79)</f>
        <v>★</v>
      </c>
      <c r="I39" s="349" t="str">
        <f>IF(一覧!I79="","",一覧!I79)</f>
        <v>★★</v>
      </c>
      <c r="J39" s="349" t="str">
        <f>IF(一覧!J79="","",一覧!J79)</f>
        <v/>
      </c>
      <c r="K39" s="349" t="str">
        <f>IF(一覧!K79="","",一覧!K79)</f>
        <v>ほんわか</v>
      </c>
      <c r="L39" s="349" t="str">
        <f>IF(一覧!L79="","",一覧!L79)</f>
        <v>声</v>
      </c>
      <c r="M39" s="349" t="str">
        <f>IF(一覧!M79="","",一覧!M79)</f>
        <v>音道楽</v>
      </c>
      <c r="N39" s="349" t="str">
        <f>IF(一覧!N79="","",一覧!N79)</f>
        <v>委員会</v>
      </c>
      <c r="O39" s="350" t="str">
        <f>IF(一覧!O79="","",一覧!O79)</f>
        <v>★</v>
      </c>
      <c r="P39" s="349" t="str">
        <f>IF(一覧!P79="","",一覧!P79)</f>
        <v>★★</v>
      </c>
      <c r="Q39" s="349" t="str">
        <f>IF(一覧!Q79="","",一覧!Q79)</f>
        <v>土ダメ</v>
      </c>
      <c r="R39" s="349" t="str">
        <f>IF(一覧!R79="","",一覧!R79)</f>
        <v>ミヤネ屋</v>
      </c>
      <c r="S39" s="349" t="str">
        <f>IF(一覧!S79="","",一覧!S79)</f>
        <v>読響</v>
      </c>
      <c r="T39" s="349" t="str">
        <f>IF(一覧!T79="","",一覧!T79)</f>
        <v>ten中継</v>
      </c>
      <c r="U39" s="349" t="str">
        <f>IF(一覧!U79="","",一覧!U79)</f>
        <v>ｶﾒﾗG会</v>
      </c>
      <c r="V39" s="350" t="str">
        <f>IF(一覧!V79="","",一覧!V79)</f>
        <v>★★</v>
      </c>
      <c r="W39" s="349" t="str">
        <f>IF(一覧!W79="","",一覧!W79)</f>
        <v>鳥特機</v>
      </c>
      <c r="X39" s="349" t="str">
        <f>IF(一覧!X79="","",一覧!X79)</f>
        <v>★</v>
      </c>
      <c r="Y39" s="349" t="str">
        <f>IF(一覧!Y79="","",一覧!Y79)</f>
        <v>ほんわか</v>
      </c>
      <c r="Z39" s="349" t="str">
        <f>IF(一覧!Z79="","",一覧!Z79)</f>
        <v/>
      </c>
      <c r="AA39" s="349" t="str">
        <f>IF(一覧!AA79="","",一覧!AA79)</f>
        <v>人事配信</v>
      </c>
      <c r="AB39" s="349" t="str">
        <f>IF(一覧!AB79="","",一覧!AB79)</f>
        <v>委員会</v>
      </c>
      <c r="AC39" s="350" t="str">
        <f>IF(一覧!AC79="","",一覧!AC79)</f>
        <v>★</v>
      </c>
      <c r="AD39" s="349" t="str">
        <f>IF(一覧!AD79="","",一覧!AD79)</f>
        <v>★★</v>
      </c>
      <c r="AE39" s="349" t="str">
        <f>IF(一覧!AE79="","",一覧!AE79)</f>
        <v>ミヤネ屋</v>
      </c>
      <c r="AF39" s="349" t="str">
        <f>IF(一覧!AF79="","",一覧!AF79)</f>
        <v>ミヤネ屋</v>
      </c>
      <c r="AG39" s="351" t="str">
        <f>IF(一覧!AG79="","",一覧!AG79)</f>
        <v/>
      </c>
      <c r="AH39" s="519" t="str">
        <f>IF(一覧!AH79="","",一覧!AH79)</f>
        <v>小曽根</v>
      </c>
      <c r="AJ39" s="366"/>
      <c r="AK39" s="366"/>
      <c r="AL39" s="366"/>
      <c r="AM39" s="366"/>
      <c r="AN39" s="366"/>
    </row>
    <row r="40" spans="1:40" ht="14.15" customHeight="1">
      <c r="A40" s="347">
        <f>COUNTIF(C39:AG39,"★")</f>
        <v>4</v>
      </c>
      <c r="B40" s="303" t="str">
        <f>IF(一覧!B80="","",一覧!B80)</f>
        <v/>
      </c>
      <c r="C40" s="355" t="str">
        <f>IF(一覧!C80="","",一覧!C80)</f>
        <v/>
      </c>
      <c r="D40" s="355" t="str">
        <f>IF(一覧!D80="","",一覧!D80)</f>
        <v>ＣＡＭ</v>
      </c>
      <c r="E40" s="355" t="str">
        <f>IF(一覧!E80="","",一覧!E80)</f>
        <v>ＣＡＭ</v>
      </c>
      <c r="F40" s="355" t="str">
        <f>IF(一覧!F80="","",一覧!F80)</f>
        <v>ＣＡＭ</v>
      </c>
      <c r="G40" s="355" t="str">
        <f>IF(一覧!G80="","",一覧!G80)</f>
        <v>ＣＡＭ</v>
      </c>
      <c r="H40" s="356" t="str">
        <f>IF(一覧!H80="","",一覧!H80)</f>
        <v>※</v>
      </c>
      <c r="I40" s="355" t="str">
        <f>IF(一覧!I80="","",一覧!I80)</f>
        <v>※</v>
      </c>
      <c r="J40" s="355" t="str">
        <f>IF(一覧!J80="","",一覧!J80)</f>
        <v/>
      </c>
      <c r="K40" s="355" t="str">
        <f>IF(一覧!K80="","",一覧!K80)</f>
        <v>ＣＡＭ</v>
      </c>
      <c r="L40" s="355" t="str">
        <f>IF(一覧!L80="","",一覧!L80)</f>
        <v>ＣＡＭ</v>
      </c>
      <c r="M40" s="355" t="str">
        <f>IF(一覧!M80="","",一覧!M80)</f>
        <v>ＣＡＭ</v>
      </c>
      <c r="N40" s="355" t="str">
        <f>IF(一覧!N80="","",一覧!N80)</f>
        <v>ＣＡＭ</v>
      </c>
      <c r="O40" s="356" t="str">
        <f>IF(一覧!O80="","",一覧!O80)</f>
        <v/>
      </c>
      <c r="P40" s="355" t="str">
        <f>IF(一覧!P80="","",一覧!P80)</f>
        <v/>
      </c>
      <c r="Q40" s="355" t="str">
        <f>IF(一覧!Q80="","",一覧!Q80)</f>
        <v>ＣＡＭ</v>
      </c>
      <c r="R40" s="355" t="str">
        <f>IF(一覧!R80="","",一覧!R80)</f>
        <v>ＣＡＭ</v>
      </c>
      <c r="S40" s="355" t="str">
        <f>IF(一覧!S80="","",一覧!S80)</f>
        <v>ＣＡＭ</v>
      </c>
      <c r="T40" s="355" t="str">
        <f>IF(一覧!T80="","",一覧!T80)</f>
        <v>ＡＵＸ</v>
      </c>
      <c r="U40" s="355" t="str">
        <f>IF(一覧!U80="","",一覧!U80)</f>
        <v/>
      </c>
      <c r="V40" s="356" t="str">
        <f>IF(一覧!V80="","",一覧!V80)</f>
        <v/>
      </c>
      <c r="W40" s="355" t="str">
        <f>IF(一覧!W80="","",一覧!W80)</f>
        <v>準備</v>
      </c>
      <c r="X40" s="355" t="str">
        <f>IF(一覧!X80="","",一覧!X80)</f>
        <v/>
      </c>
      <c r="Y40" s="355" t="str">
        <f>IF(一覧!Y80="","",一覧!Y80)</f>
        <v>ＣＡＭ</v>
      </c>
      <c r="Z40" s="355" t="str">
        <f>IF(一覧!Z80="","",一覧!Z80)</f>
        <v/>
      </c>
      <c r="AA40" s="355" t="str">
        <f>IF(一覧!AA80="","",一覧!AA80)</f>
        <v>出演者</v>
      </c>
      <c r="AB40" s="355" t="str">
        <f>IF(一覧!AB80="","",一覧!AB80)</f>
        <v>ＣＡＭ</v>
      </c>
      <c r="AC40" s="356" t="str">
        <f>IF(一覧!AC80="","",一覧!AC80)</f>
        <v/>
      </c>
      <c r="AD40" s="355" t="str">
        <f>IF(一覧!AD80="","",一覧!AD80)</f>
        <v/>
      </c>
      <c r="AE40" s="355" t="str">
        <f>IF(一覧!AE80="","",一覧!AE80)</f>
        <v>ＣＡＭ</v>
      </c>
      <c r="AF40" s="355" t="str">
        <f>IF(一覧!AF80="","",一覧!AF80)</f>
        <v>ＣＡＭ</v>
      </c>
      <c r="AG40" s="357" t="str">
        <f>IF(一覧!AG80="","",一覧!AG80)</f>
        <v/>
      </c>
      <c r="AH40" s="304" t="str">
        <f>IF(一覧!AH80="","",一覧!AH80)</f>
        <v/>
      </c>
      <c r="AJ40" s="366"/>
      <c r="AK40" s="366"/>
      <c r="AL40" s="366"/>
      <c r="AM40" s="366"/>
      <c r="AN40" s="366"/>
    </row>
    <row r="41" spans="1:40" ht="14.15" customHeight="1">
      <c r="A41" s="347">
        <f>COUNTIF(C41:AG41,"★★")</f>
        <v>4</v>
      </c>
      <c r="B41" s="518" t="str">
        <f>IF(一覧!B85="","",一覧!B85)</f>
        <v>山本　瑛悟</v>
      </c>
      <c r="C41" s="429" t="str">
        <f>IF(一覧!C85="","",一覧!C85)</f>
        <v>送信</v>
      </c>
      <c r="D41" s="429" t="str">
        <f>IF(一覧!D85="","",一覧!D85)</f>
        <v>送信</v>
      </c>
      <c r="E41" s="429" t="str">
        <f>IF(一覧!E85="","",一覧!E85)</f>
        <v>送信</v>
      </c>
      <c r="F41" s="429" t="str">
        <f>IF(一覧!F85="","",一覧!F85)</f>
        <v>ｔｅｎ！</v>
      </c>
      <c r="G41" s="429" t="str">
        <f>IF(一覧!G85="","",一覧!G85)</f>
        <v>吉田粗品</v>
      </c>
      <c r="H41" s="350" t="str">
        <f>IF(一覧!H85="","",一覧!H85)</f>
        <v>★★</v>
      </c>
      <c r="I41" s="349" t="str">
        <f>IF(一覧!I85="","",一覧!I85)</f>
        <v>送信</v>
      </c>
      <c r="J41" s="349" t="str">
        <f>IF(一覧!J85="","",一覧!J85)</f>
        <v>送信</v>
      </c>
      <c r="K41" s="349" t="str">
        <f>IF(一覧!K85="","",一覧!K85)</f>
        <v>★</v>
      </c>
      <c r="L41" s="349" t="str">
        <f>IF(一覧!L85="","",一覧!L85)</f>
        <v>声</v>
      </c>
      <c r="M41" s="349" t="str">
        <f>IF(一覧!M85="","",一覧!M85)</f>
        <v>音道楽</v>
      </c>
      <c r="N41" s="349" t="str">
        <f>IF(一覧!N85="","",一覧!N85)</f>
        <v>委員会</v>
      </c>
      <c r="O41" s="350" t="str">
        <f>IF(一覧!O85="","",一覧!O85)</f>
        <v>★</v>
      </c>
      <c r="P41" s="349" t="str">
        <f>IF(一覧!P85="","",一覧!P85)</f>
        <v>★★</v>
      </c>
      <c r="Q41" s="349" t="str">
        <f>IF(一覧!Q85="","",一覧!Q85)</f>
        <v>土ダメ</v>
      </c>
      <c r="R41" s="349" t="str">
        <f>IF(一覧!R85="","",一覧!R85)</f>
        <v>ミヤネ屋</v>
      </c>
      <c r="S41" s="349" t="str">
        <f>IF(一覧!S85="","",一覧!S85)</f>
        <v>読響</v>
      </c>
      <c r="T41" s="349" t="str">
        <f>IF(一覧!T85="","",一覧!T85)</f>
        <v>ten中継</v>
      </c>
      <c r="U41" s="349" t="str">
        <f>IF(一覧!U85="","",一覧!U85)</f>
        <v>ｶﾒﾗG会</v>
      </c>
      <c r="V41" s="350" t="str">
        <f>IF(一覧!V85="","",一覧!V85)</f>
        <v>★★</v>
      </c>
      <c r="W41" s="349" t="str">
        <f>IF(一覧!W85="","",一覧!W85)</f>
        <v>鳥特機</v>
      </c>
      <c r="X41" s="349" t="str">
        <f>IF(一覧!X85="","",一覧!X85)</f>
        <v>音道楽</v>
      </c>
      <c r="Y41" s="349" t="str">
        <f>IF(一覧!Y85="","",一覧!Y85)</f>
        <v>ほんわか</v>
      </c>
      <c r="Z41" s="349" t="str">
        <f>IF(一覧!Z85="","",一覧!Z85)</f>
        <v>★</v>
      </c>
      <c r="AA41" s="349" t="str">
        <f>IF(一覧!AA85="","",一覧!AA85)</f>
        <v>人事配信</v>
      </c>
      <c r="AB41" s="349" t="str">
        <f>IF(一覧!AB85="","",一覧!AB85)</f>
        <v>委員会</v>
      </c>
      <c r="AC41" s="350" t="str">
        <f>IF(一覧!AC85="","",一覧!AC85)</f>
        <v>★★</v>
      </c>
      <c r="AD41" s="349" t="str">
        <f>IF(一覧!AD85="","",一覧!AD85)</f>
        <v>地球便</v>
      </c>
      <c r="AE41" s="349" t="str">
        <f>IF(一覧!AE85="","",一覧!AE85)</f>
        <v>ミヤネ屋</v>
      </c>
      <c r="AF41" s="349" t="str">
        <f>IF(一覧!AF85="","",一覧!AF85)</f>
        <v>★</v>
      </c>
      <c r="AG41" s="351" t="str">
        <f>IF(一覧!AG85="","",一覧!AG85)</f>
        <v/>
      </c>
      <c r="AH41" s="519" t="str">
        <f>IF(一覧!AH85="","",一覧!AH85)</f>
        <v>山本</v>
      </c>
      <c r="AJ41" s="366"/>
      <c r="AK41" s="366"/>
      <c r="AL41" s="366"/>
      <c r="AM41" s="366"/>
      <c r="AN41" s="366"/>
    </row>
    <row r="42" spans="1:40" ht="14.15" customHeight="1" thickBot="1">
      <c r="A42" s="347">
        <f>COUNTIF(C41:AG41,"★")</f>
        <v>4</v>
      </c>
      <c r="B42" s="424" t="str">
        <f>IF(一覧!B86="","",一覧!B86)</f>
        <v/>
      </c>
      <c r="C42" s="467" t="str">
        <f>IF(一覧!C86="","",一覧!C86)</f>
        <v>前泊</v>
      </c>
      <c r="D42" s="467" t="str">
        <f>IF(一覧!D86="","",一覧!D86)</f>
        <v>和田山局</v>
      </c>
      <c r="E42" s="467" t="str">
        <f>IF(一覧!E86="","",一覧!E86)</f>
        <v>予備日</v>
      </c>
      <c r="F42" s="467" t="str">
        <f>IF(一覧!F86="","",一覧!F86)</f>
        <v>ＣＡＭ'</v>
      </c>
      <c r="G42" s="467" t="str">
        <f>IF(一覧!G86="","",一覧!G86)</f>
        <v>ＣＡＭ'</v>
      </c>
      <c r="H42" s="465" t="str">
        <f>IF(一覧!H86="","",一覧!H86)</f>
        <v/>
      </c>
      <c r="I42" s="464" t="str">
        <f>IF(一覧!I86="","",一覧!I86)</f>
        <v>本社泊</v>
      </c>
      <c r="J42" s="464" t="str">
        <f>IF(一覧!J86="","",一覧!J86)</f>
        <v>明け</v>
      </c>
      <c r="K42" s="464" t="str">
        <f>IF(一覧!K86="","",一覧!K86)</f>
        <v/>
      </c>
      <c r="L42" s="464" t="str">
        <f>IF(一覧!L86="","",一覧!L86)</f>
        <v>ＣＡＭ'</v>
      </c>
      <c r="M42" s="464" t="str">
        <f>IF(一覧!M86="","",一覧!M86)</f>
        <v>ＣＡ</v>
      </c>
      <c r="N42" s="464" t="str">
        <f>IF(一覧!N86="","",一覧!N86)</f>
        <v>ＣＡＭ'</v>
      </c>
      <c r="O42" s="465" t="str">
        <f>IF(一覧!O86="","",一覧!O86)</f>
        <v/>
      </c>
      <c r="P42" s="464" t="str">
        <f>IF(一覧!P86="","",一覧!P86)</f>
        <v/>
      </c>
      <c r="Q42" s="464" t="str">
        <f>IF(一覧!Q86="","",一覧!Q86)</f>
        <v>ＣＡＭ'</v>
      </c>
      <c r="R42" s="464" t="str">
        <f>IF(一覧!R86="","",一覧!R86)</f>
        <v>ＣＡＭ'</v>
      </c>
      <c r="S42" s="464" t="str">
        <f>IF(一覧!S86="","",一覧!S86)</f>
        <v>ＣＡＭ'</v>
      </c>
      <c r="T42" s="464" t="str">
        <f>IF(一覧!T86="","",一覧!T86)</f>
        <v>ＡＵＸ</v>
      </c>
      <c r="U42" s="464" t="str">
        <f>IF(一覧!U86="","",一覧!U86)</f>
        <v/>
      </c>
      <c r="V42" s="465" t="str">
        <f>IF(一覧!V86="","",一覧!V86)</f>
        <v/>
      </c>
      <c r="W42" s="464" t="str">
        <f>IF(一覧!W86="","",一覧!W86)</f>
        <v>準備</v>
      </c>
      <c r="X42" s="464" t="str">
        <f>IF(一覧!X86="","",一覧!X86)</f>
        <v>ＣＡ</v>
      </c>
      <c r="Y42" s="464" t="str">
        <f>IF(一覧!Y86="","",一覧!Y86)</f>
        <v>ＣＡＭ'</v>
      </c>
      <c r="Z42" s="464" t="str">
        <f>IF(一覧!Z86="","",一覧!Z86)</f>
        <v/>
      </c>
      <c r="AA42" s="464" t="str">
        <f>IF(一覧!AA86="","",一覧!AA86)</f>
        <v>ＣＡＭ</v>
      </c>
      <c r="AB42" s="464" t="str">
        <f>IF(一覧!AB86="","",一覧!AB86)</f>
        <v>ＣＡＭ'</v>
      </c>
      <c r="AC42" s="465" t="str">
        <f>IF(一覧!AC86="","",一覧!AC86)</f>
        <v/>
      </c>
      <c r="AD42" s="464" t="str">
        <f>IF(一覧!AD86="","",一覧!AD86)</f>
        <v>ＣＡＭ'</v>
      </c>
      <c r="AE42" s="464" t="str">
        <f>IF(一覧!AE86="","",一覧!AE86)</f>
        <v>ＣＡＭ’</v>
      </c>
      <c r="AF42" s="464" t="str">
        <f>IF(一覧!AF86="","",一覧!AF86)</f>
        <v>※</v>
      </c>
      <c r="AG42" s="466" t="str">
        <f>IF(一覧!AG86="","",一覧!AG86)</f>
        <v/>
      </c>
      <c r="AH42" s="425" t="str">
        <f>IF(一覧!AH86="","",一覧!AH86)</f>
        <v/>
      </c>
      <c r="AJ42" s="366"/>
      <c r="AK42" s="366"/>
      <c r="AL42" s="366"/>
      <c r="AM42" s="366"/>
      <c r="AN42" s="366"/>
    </row>
    <row r="43" spans="1:40" ht="14.15" customHeight="1">
      <c r="A43" s="347">
        <f>COUNTIF(C43:AG43,"★★")</f>
        <v>4</v>
      </c>
      <c r="B43" s="518" t="str">
        <f>IF(一覧!B95="","",一覧!B95)</f>
        <v>松本　学</v>
      </c>
      <c r="C43" s="349" t="str">
        <f>IF(一覧!C95="","",一覧!C95)</f>
        <v>ｔｅｎ！</v>
      </c>
      <c r="D43" s="349" t="str">
        <f>IF(一覧!D95="","",一覧!D95)</f>
        <v>ミヤネ屋</v>
      </c>
      <c r="E43" s="349" t="str">
        <f>IF(一覧!E95="","",一覧!E95)</f>
        <v>ミヤネ屋</v>
      </c>
      <c r="F43" s="349" t="str">
        <f>IF(一覧!F95="","",一覧!F95)</f>
        <v>年休</v>
      </c>
      <c r="G43" s="349" t="str">
        <f>IF(一覧!G95="","",一覧!G95)</f>
        <v>年休</v>
      </c>
      <c r="H43" s="350" t="str">
        <f>IF(一覧!H95="","",一覧!H95)</f>
        <v>ジグザグ</v>
      </c>
      <c r="I43" s="349" t="str">
        <f>IF(一覧!I95="","",一覧!I95)</f>
        <v>★★</v>
      </c>
      <c r="J43" s="349" t="str">
        <f>IF(一覧!J95="","",一覧!J95)</f>
        <v>ｔｅｎ！</v>
      </c>
      <c r="K43" s="349" t="str">
        <f>IF(一覧!K95="","",一覧!K95)</f>
        <v>じゅっと</v>
      </c>
      <c r="L43" s="349" t="str">
        <f>IF(一覧!L95="","",一覧!L95)</f>
        <v>年休</v>
      </c>
      <c r="M43" s="349" t="str">
        <f>IF(一覧!M95="","",一覧!M95)</f>
        <v>★</v>
      </c>
      <c r="N43" s="349" t="str">
        <f>IF(一覧!N95="","",一覧!N95)</f>
        <v>委員会</v>
      </c>
      <c r="O43" s="350" t="str">
        <f>IF(一覧!O95="","",一覧!O95)</f>
        <v>★</v>
      </c>
      <c r="P43" s="349" t="str">
        <f>IF(一覧!P95="","",一覧!P95)</f>
        <v>★★</v>
      </c>
      <c r="Q43" s="349" t="str">
        <f>IF(一覧!Q95="","",一覧!Q95)</f>
        <v>ｔｅｎ！</v>
      </c>
      <c r="R43" s="349" t="str">
        <f>IF(一覧!R95="","",一覧!R95)</f>
        <v>ミヤネ屋</v>
      </c>
      <c r="S43" s="349" t="str">
        <f>IF(一覧!S95="","",一覧!S95)</f>
        <v>じゅっと</v>
      </c>
      <c r="T43" s="349" t="str">
        <f>IF(一覧!T95="","",一覧!T95)</f>
        <v>ミヤネ屋</v>
      </c>
      <c r="U43" s="349" t="str">
        <f>IF(一覧!U95="","",一覧!U95)</f>
        <v>ｶﾒﾗG会</v>
      </c>
      <c r="V43" s="350" t="str">
        <f>IF(一覧!V95="","",一覧!V95)</f>
        <v>★</v>
      </c>
      <c r="W43" s="349" t="str">
        <f>IF(一覧!W95="","",一覧!W95)</f>
        <v>★★</v>
      </c>
      <c r="X43" s="349" t="str">
        <f>IF(一覧!X95="","",一覧!X95)</f>
        <v>ｔｅｎ！</v>
      </c>
      <c r="Y43" s="349" t="str">
        <f>IF(一覧!Y95="","",一覧!Y95)</f>
        <v>じゅっと</v>
      </c>
      <c r="Z43" s="349" t="str">
        <f>IF(一覧!Z95="","",一覧!Z95)</f>
        <v>ミヤネ屋</v>
      </c>
      <c r="AA43" s="349" t="str">
        <f>IF(一覧!AA95="","",一覧!AA95)</f>
        <v>ｔｅｎ！</v>
      </c>
      <c r="AB43" s="349" t="str">
        <f>IF(一覧!AB95="","",一覧!AB95)</f>
        <v>委員会</v>
      </c>
      <c r="AC43" s="350" t="str">
        <f>IF(一覧!AC95="","",一覧!AC95)</f>
        <v>★</v>
      </c>
      <c r="AD43" s="349" t="str">
        <f>IF(一覧!AD95="","",一覧!AD95)</f>
        <v>★★</v>
      </c>
      <c r="AE43" s="349" t="str">
        <f>IF(一覧!AE95="","",一覧!AE95)</f>
        <v>ミヤネ屋</v>
      </c>
      <c r="AF43" s="349" t="str">
        <f>IF(一覧!AF95="","",一覧!AF95)</f>
        <v>ミヤネ屋</v>
      </c>
      <c r="AG43" s="351" t="str">
        <f>IF(一覧!AG95="","",一覧!AG95)</f>
        <v/>
      </c>
      <c r="AH43" s="519" t="str">
        <f>IF(一覧!AH95="","",一覧!AH95)</f>
        <v>松本</v>
      </c>
      <c r="AI43" s="366"/>
      <c r="AJ43" s="366"/>
      <c r="AK43" s="366"/>
      <c r="AL43" s="366"/>
      <c r="AM43" s="366"/>
      <c r="AN43" s="366"/>
    </row>
    <row r="44" spans="1:40" ht="14.15" customHeight="1" thickBot="1">
      <c r="A44" s="347">
        <f>COUNTIF(C43:AG43,"★")</f>
        <v>4</v>
      </c>
      <c r="B44" s="424" t="str">
        <f>IF(一覧!B96="","",一覧!B96)</f>
        <v/>
      </c>
      <c r="C44" s="464" t="str">
        <f>IF(一覧!C96="","",一覧!C96)</f>
        <v>ＳＷ</v>
      </c>
      <c r="D44" s="464" t="str">
        <f>IF(一覧!D96="","",一覧!D96)</f>
        <v>ＣＡＭ</v>
      </c>
      <c r="E44" s="464" t="str">
        <f>IF(一覧!E96="","",一覧!E96)</f>
        <v>ＳＷ</v>
      </c>
      <c r="F44" s="464" t="str">
        <f>IF(一覧!F96="","",一覧!F96)</f>
        <v>※</v>
      </c>
      <c r="G44" s="464" t="str">
        <f>IF(一覧!G96="","",一覧!G96)</f>
        <v>※</v>
      </c>
      <c r="H44" s="465" t="str">
        <f>IF(一覧!H96="","",一覧!H96)</f>
        <v>ＳＷ</v>
      </c>
      <c r="I44" s="464" t="str">
        <f>IF(一覧!I96="","",一覧!I96)</f>
        <v/>
      </c>
      <c r="J44" s="464" t="str">
        <f>IF(一覧!J96="","",一覧!J96)</f>
        <v>ＣＡＭ</v>
      </c>
      <c r="K44" s="464" t="str">
        <f>IF(一覧!K96="","",一覧!K96)</f>
        <v>ＴＤ</v>
      </c>
      <c r="L44" s="464" t="str">
        <f>IF(一覧!L96="","",一覧!L96)</f>
        <v>※</v>
      </c>
      <c r="M44" s="464" t="str">
        <f>IF(一覧!M96="","",一覧!M96)</f>
        <v>※</v>
      </c>
      <c r="N44" s="464" t="str">
        <f>IF(一覧!N96="","",一覧!N96)</f>
        <v>ＣＡＭ</v>
      </c>
      <c r="O44" s="465" t="str">
        <f>IF(一覧!O96="","",一覧!O96)</f>
        <v/>
      </c>
      <c r="P44" s="464" t="str">
        <f>IF(一覧!P96="","",一覧!P96)</f>
        <v/>
      </c>
      <c r="Q44" s="464" t="str">
        <f>IF(一覧!Q96="","",一覧!Q96)</f>
        <v>ＳＷ</v>
      </c>
      <c r="R44" s="464" t="str">
        <f>IF(一覧!R96="","",一覧!R96)</f>
        <v>ＣＡＭ</v>
      </c>
      <c r="S44" s="464" t="str">
        <f>IF(一覧!S96="","",一覧!S96)</f>
        <v>ＴＤ</v>
      </c>
      <c r="T44" s="464" t="str">
        <f>IF(一覧!T96="","",一覧!T96)</f>
        <v>ＴＤ</v>
      </c>
      <c r="U44" s="464" t="str">
        <f>IF(一覧!U96="","",一覧!U96)</f>
        <v/>
      </c>
      <c r="V44" s="465" t="str">
        <f>IF(一覧!V96="","",一覧!V96)</f>
        <v/>
      </c>
      <c r="W44" s="464" t="str">
        <f>IF(一覧!W96="","",一覧!W96)</f>
        <v/>
      </c>
      <c r="X44" s="464" t="str">
        <f>IF(一覧!X96="","",一覧!X96)</f>
        <v>ＳＷ</v>
      </c>
      <c r="Y44" s="464" t="str">
        <f>IF(一覧!Y96="","",一覧!Y96)</f>
        <v>ＴＤ</v>
      </c>
      <c r="Z44" s="464" t="str">
        <f>IF(一覧!Z96="","",一覧!Z96)</f>
        <v>ＴＤ</v>
      </c>
      <c r="AA44" s="464" t="str">
        <f>IF(一覧!AA96="","",一覧!AA96)</f>
        <v>ＳＷ</v>
      </c>
      <c r="AB44" s="464" t="str">
        <f>IF(一覧!AB96="","",一覧!AB96)</f>
        <v>ＣＡＭ</v>
      </c>
      <c r="AC44" s="465" t="str">
        <f>IF(一覧!AC96="","",一覧!AC96)</f>
        <v/>
      </c>
      <c r="AD44" s="464" t="str">
        <f>IF(一覧!AD96="","",一覧!AD96)</f>
        <v/>
      </c>
      <c r="AE44" s="464" t="str">
        <f>IF(一覧!AE96="","",一覧!AE96)</f>
        <v>ＴＤ</v>
      </c>
      <c r="AF44" s="464" t="str">
        <f>IF(一覧!AF96="","",一覧!AF96)</f>
        <v>ＳＷ</v>
      </c>
      <c r="AG44" s="466" t="str">
        <f>IF(一覧!AG96="","",一覧!AG96)</f>
        <v/>
      </c>
      <c r="AH44" s="425" t="str">
        <f>IF(一覧!AH96="","",一覧!AH96)</f>
        <v/>
      </c>
      <c r="AI44" s="366"/>
      <c r="AJ44" s="366"/>
      <c r="AK44" s="366"/>
      <c r="AL44" s="366"/>
      <c r="AM44" s="366"/>
      <c r="AN44" s="366"/>
    </row>
    <row r="45" spans="1:40" ht="14.15" customHeight="1">
      <c r="A45" s="347">
        <f>COUNTIF(C45:AG45,"★★")</f>
        <v>4</v>
      </c>
      <c r="B45" s="518" t="str">
        <f>IF(一覧!B27="","",一覧!B27)</f>
        <v>小池　一暢</v>
      </c>
      <c r="C45" s="349" t="str">
        <f>IF(一覧!C27="","",一覧!C27)</f>
        <v>局会</v>
      </c>
      <c r="D45" s="349" t="str">
        <f>IF(一覧!D27="","",一覧!D27)</f>
        <v/>
      </c>
      <c r="E45" s="349" t="str">
        <f>IF(一覧!E27="","",一覧!E27)</f>
        <v/>
      </c>
      <c r="F45" s="349" t="str">
        <f>IF(一覧!F27="","",一覧!F27)</f>
        <v/>
      </c>
      <c r="G45" s="349" t="str">
        <f>IF(一覧!G27="","",一覧!G27)</f>
        <v>ＲＤ</v>
      </c>
      <c r="H45" s="350" t="str">
        <f>IF(一覧!H27="","",一覧!H27)</f>
        <v>★</v>
      </c>
      <c r="I45" s="349" t="str">
        <f>IF(一覧!I27="","",一覧!I27)</f>
        <v>★★</v>
      </c>
      <c r="J45" s="349" t="str">
        <f>IF(一覧!J27="","",一覧!J27)</f>
        <v/>
      </c>
      <c r="K45" s="349" t="str">
        <f>IF(一覧!K27="","",一覧!K27)</f>
        <v/>
      </c>
      <c r="L45" s="349" t="str">
        <f>IF(一覧!L27="","",一覧!L27)</f>
        <v/>
      </c>
      <c r="M45" s="349" t="str">
        <f>IF(一覧!M27="","",一覧!M27)</f>
        <v>じゅっと</v>
      </c>
      <c r="N45" s="349" t="str">
        <f>IF(一覧!N27="","",一覧!N27)</f>
        <v/>
      </c>
      <c r="O45" s="350" t="str">
        <f>IF(一覧!O27="","",一覧!O27)</f>
        <v>★</v>
      </c>
      <c r="P45" s="349" t="str">
        <f>IF(一覧!P27="","",一覧!P27)</f>
        <v>★★</v>
      </c>
      <c r="Q45" s="349" t="str">
        <f>IF(一覧!Q27="","",一覧!Q27)</f>
        <v/>
      </c>
      <c r="R45" s="349" t="str">
        <f>IF(一覧!R27="","",一覧!R27)</f>
        <v>年休</v>
      </c>
      <c r="S45" s="349" t="str">
        <f>IF(一覧!S27="","",一覧!S27)</f>
        <v>ＲＤ</v>
      </c>
      <c r="T45" s="349" t="str">
        <f>IF(一覧!T27="","",一覧!T27)</f>
        <v>じゅっと</v>
      </c>
      <c r="U45" s="349" t="str">
        <f>IF(一覧!U27="","",一覧!U27)</f>
        <v>ｶﾒﾗG会</v>
      </c>
      <c r="V45" s="350" t="str">
        <f>IF(一覧!V27="","",一覧!V27)</f>
        <v>★</v>
      </c>
      <c r="W45" s="349" t="str">
        <f>IF(一覧!W27="","",一覧!W27)</f>
        <v>★★</v>
      </c>
      <c r="X45" s="349" t="str">
        <f>IF(一覧!X27="","",一覧!X27)</f>
        <v>ＲＤ</v>
      </c>
      <c r="Y45" s="349" t="str">
        <f>IF(一覧!Y27="","",一覧!Y27)</f>
        <v/>
      </c>
      <c r="Z45" s="349" t="str">
        <f>IF(一覧!Z27="","",一覧!Z27)</f>
        <v>音G/VEG</v>
      </c>
      <c r="AA45" s="349" t="str">
        <f>IF(一覧!AA27="","",一覧!AA27)</f>
        <v/>
      </c>
      <c r="AB45" s="349" t="str">
        <f>IF(一覧!AB27="","",一覧!AB27)</f>
        <v>技術会議</v>
      </c>
      <c r="AC45" s="350" t="str">
        <f>IF(一覧!AC27="","",一覧!AC27)</f>
        <v>★</v>
      </c>
      <c r="AD45" s="349" t="str">
        <f>IF(一覧!AD27="","",一覧!AD27)</f>
        <v>★★</v>
      </c>
      <c r="AE45" s="349" t="str">
        <f>IF(一覧!AE27="","",一覧!AE27)</f>
        <v>　　　━</v>
      </c>
      <c r="AF45" s="349" t="str">
        <f>IF(一覧!AF27="","",一覧!AF27)</f>
        <v>━　　　</v>
      </c>
      <c r="AG45" s="351" t="str">
        <f>IF(一覧!AG27="","",一覧!AG27)</f>
        <v/>
      </c>
      <c r="AH45" s="519" t="str">
        <f>IF(一覧!AH27="","",一覧!AH27)</f>
        <v>小池</v>
      </c>
      <c r="AJ45" s="366"/>
      <c r="AK45" s="366"/>
      <c r="AL45" s="366"/>
      <c r="AM45" s="366"/>
      <c r="AN45" s="366"/>
    </row>
    <row r="46" spans="1:40" ht="14.15" customHeight="1">
      <c r="A46" s="347">
        <f>COUNTIF(C45:AG45,"★")</f>
        <v>4</v>
      </c>
      <c r="B46" s="303" t="str">
        <f>IF(一覧!B28="","",一覧!B28)</f>
        <v/>
      </c>
      <c r="C46" s="355" t="str">
        <f>IF(一覧!C28="","",一覧!C28)</f>
        <v>部長会</v>
      </c>
      <c r="D46" s="355" t="str">
        <f>IF(一覧!D28="","",一覧!D28)</f>
        <v>車両会議</v>
      </c>
      <c r="E46" s="355" t="str">
        <f>IF(一覧!E28="","",一覧!E28)</f>
        <v/>
      </c>
      <c r="F46" s="355" t="str">
        <f>IF(一覧!F28="","",一覧!F28)</f>
        <v/>
      </c>
      <c r="G46" s="355" t="str">
        <f>IF(一覧!G28="","",一覧!G28)</f>
        <v/>
      </c>
      <c r="H46" s="356" t="str">
        <f>IF(一覧!H28="","",一覧!H28)</f>
        <v/>
      </c>
      <c r="I46" s="355" t="str">
        <f>IF(一覧!I28="","",一覧!I28)</f>
        <v/>
      </c>
      <c r="J46" s="355" t="str">
        <f>IF(一覧!J28="","",一覧!J28)</f>
        <v>部長会</v>
      </c>
      <c r="K46" s="355" t="str">
        <f>IF(一覧!K28="","",一覧!K28)</f>
        <v/>
      </c>
      <c r="L46" s="355" t="str">
        <f>IF(一覧!L28="","",一覧!L28)</f>
        <v>照明G</v>
      </c>
      <c r="M46" s="355" t="str">
        <f>IF(一覧!M28="","",一覧!M28)</f>
        <v>ＴＤ</v>
      </c>
      <c r="N46" s="355" t="str">
        <f>IF(一覧!N28="","",一覧!N28)</f>
        <v/>
      </c>
      <c r="O46" s="356" t="str">
        <f>IF(一覧!O28="","",一覧!O28)</f>
        <v/>
      </c>
      <c r="P46" s="355" t="str">
        <f>IF(一覧!P28="","",一覧!P28)</f>
        <v/>
      </c>
      <c r="Q46" s="355" t="str">
        <f>IF(一覧!Q28="","",一覧!Q28)</f>
        <v>部長会</v>
      </c>
      <c r="R46" s="355" t="str">
        <f>IF(一覧!R28="","",一覧!R28)</f>
        <v/>
      </c>
      <c r="S46" s="355" t="str">
        <f>IF(一覧!S28="","",一覧!S28)</f>
        <v/>
      </c>
      <c r="T46" s="355" t="str">
        <f>IF(一覧!T28="","",一覧!T28)</f>
        <v>ＴＤ</v>
      </c>
      <c r="U46" s="355" t="str">
        <f>IF(一覧!U28="","",一覧!U28)</f>
        <v>回線Ｇ</v>
      </c>
      <c r="V46" s="356" t="str">
        <f>IF(一覧!V28="","",一覧!V28)</f>
        <v/>
      </c>
      <c r="W46" s="355" t="str">
        <f>IF(一覧!W28="","",一覧!W28)</f>
        <v/>
      </c>
      <c r="X46" s="355" t="str">
        <f>IF(一覧!X28="","",一覧!X28)</f>
        <v>部長会</v>
      </c>
      <c r="Y46" s="355" t="str">
        <f>IF(一覧!Y28="","",一覧!Y28)</f>
        <v/>
      </c>
      <c r="Z46" s="355" t="str">
        <f>IF(一覧!Z28="","",一覧!Z28)</f>
        <v>制作費会議</v>
      </c>
      <c r="AA46" s="355" t="str">
        <f>IF(一覧!AA28="","",一覧!AA28)</f>
        <v/>
      </c>
      <c r="AB46" s="355" t="str">
        <f>IF(一覧!AB28="","",一覧!AB28)</f>
        <v>NT会議</v>
      </c>
      <c r="AC46" s="356" t="str">
        <f>IF(一覧!AC28="","",一覧!AC28)</f>
        <v/>
      </c>
      <c r="AD46" s="355" t="str">
        <f>IF(一覧!AD28="","",一覧!AD28)</f>
        <v/>
      </c>
      <c r="AE46" s="355" t="str">
        <f>IF(一覧!AE28="","",一覧!AE28)</f>
        <v>部長会</v>
      </c>
      <c r="AF46" s="355" t="str">
        <f>IF(一覧!AF28="","",一覧!AF28)</f>
        <v/>
      </c>
      <c r="AG46" s="357" t="str">
        <f>IF(一覧!AG28="","",一覧!AG28)</f>
        <v/>
      </c>
      <c r="AH46" s="304" t="str">
        <f>IF(一覧!AH28="","",一覧!AH28)</f>
        <v/>
      </c>
      <c r="AJ46" s="366"/>
      <c r="AK46" s="366"/>
      <c r="AL46" s="366"/>
      <c r="AM46" s="366"/>
      <c r="AN46" s="366"/>
    </row>
    <row r="47" spans="1:40" ht="14.15" customHeight="1">
      <c r="A47" s="347">
        <f>COUNTIF(C47:AG47,"★★")</f>
        <v>4</v>
      </c>
      <c r="B47" s="518" t="str">
        <f>IF(一覧!B29="","",一覧!B29)</f>
        <v>鈴木　直人</v>
      </c>
      <c r="C47" s="349" t="str">
        <f>IF(一覧!C29="","",一覧!C29)</f>
        <v>局会</v>
      </c>
      <c r="D47" s="349" t="str">
        <f>IF(一覧!D29="","",一覧!D29)</f>
        <v/>
      </c>
      <c r="E47" s="349" t="str">
        <f>IF(一覧!E29="","",一覧!E29)</f>
        <v/>
      </c>
      <c r="F47" s="349" t="str">
        <f>IF(一覧!F29="","",一覧!F29)</f>
        <v/>
      </c>
      <c r="G47" s="349" t="str">
        <f>IF(一覧!G29="","",一覧!G29)</f>
        <v/>
      </c>
      <c r="H47" s="350" t="str">
        <f>IF(一覧!H29="","",一覧!H29)</f>
        <v>★</v>
      </c>
      <c r="I47" s="349" t="str">
        <f>IF(一覧!I29="","",一覧!I29)</f>
        <v>★★</v>
      </c>
      <c r="J47" s="349" t="str">
        <f>IF(一覧!J29="","",一覧!J29)</f>
        <v/>
      </c>
      <c r="K47" s="349" t="str">
        <f>IF(一覧!K29="","",一覧!K29)</f>
        <v/>
      </c>
      <c r="L47" s="349" t="str">
        <f>IF(一覧!L29="","",一覧!L29)</f>
        <v/>
      </c>
      <c r="M47" s="349" t="str">
        <f>IF(一覧!M29="","",一覧!M29)</f>
        <v>　　　━</v>
      </c>
      <c r="N47" s="349" t="str">
        <f>IF(一覧!N29="","",一覧!N29)</f>
        <v>━　　　</v>
      </c>
      <c r="O47" s="350" t="str">
        <f>IF(一覧!O29="","",一覧!O29)</f>
        <v>★</v>
      </c>
      <c r="P47" s="349" t="str">
        <f>IF(一覧!P29="","",一覧!P29)</f>
        <v>★★</v>
      </c>
      <c r="Q47" s="349" t="str">
        <f>IF(一覧!Q29="","",一覧!Q29)</f>
        <v/>
      </c>
      <c r="R47" s="349" t="str">
        <f>IF(一覧!R29="","",一覧!R29)</f>
        <v/>
      </c>
      <c r="S47" s="349" t="str">
        <f>IF(一覧!S29="","",一覧!S29)</f>
        <v/>
      </c>
      <c r="T47" s="349" t="str">
        <f>IF(一覧!T29="","",一覧!T29)</f>
        <v>ＲＤ</v>
      </c>
      <c r="U47" s="349" t="str">
        <f>IF(一覧!U29="","",一覧!U29)</f>
        <v>ｶﾒﾗG会</v>
      </c>
      <c r="V47" s="350" t="str">
        <f>IF(一覧!V29="","",一覧!V29)</f>
        <v>★</v>
      </c>
      <c r="W47" s="349" t="str">
        <f>IF(一覧!W29="","",一覧!W29)</f>
        <v>★★</v>
      </c>
      <c r="X47" s="349" t="str">
        <f>IF(一覧!X29="","",一覧!X29)</f>
        <v/>
      </c>
      <c r="Y47" s="349" t="str">
        <f>IF(一覧!Y29="","",一覧!Y29)</f>
        <v/>
      </c>
      <c r="Z47" s="349" t="str">
        <f>IF(一覧!Z29="","",一覧!Z29)</f>
        <v>音G/VEG</v>
      </c>
      <c r="AA47" s="349" t="str">
        <f>IF(一覧!AA29="","",一覧!AA29)</f>
        <v>ＲＤ</v>
      </c>
      <c r="AB47" s="349" t="str">
        <f>IF(一覧!AB29="","",一覧!AB29)</f>
        <v>技術会議</v>
      </c>
      <c r="AC47" s="350" t="str">
        <f>IF(一覧!AC29="","",一覧!AC29)</f>
        <v>★</v>
      </c>
      <c r="AD47" s="349" t="str">
        <f>IF(一覧!AD29="","",一覧!AD29)</f>
        <v>★★</v>
      </c>
      <c r="AE47" s="349" t="str">
        <f>IF(一覧!AE29="","",一覧!AE29)</f>
        <v/>
      </c>
      <c r="AF47" s="349" t="str">
        <f>IF(一覧!AF29="","",一覧!AF29)</f>
        <v/>
      </c>
      <c r="AG47" s="351" t="str">
        <f>IF(一覧!AG29="","",一覧!AG29)</f>
        <v/>
      </c>
      <c r="AH47" s="519" t="str">
        <f>IF(一覧!AH29="","",一覧!AH29)</f>
        <v>鈴木</v>
      </c>
      <c r="AI47" s="366"/>
    </row>
    <row r="48" spans="1:40" ht="14.15" customHeight="1" thickBot="1">
      <c r="A48" s="347">
        <f>COUNTIF(C47:AG47,"★")</f>
        <v>4</v>
      </c>
      <c r="B48" s="424" t="str">
        <f>IF(一覧!B30="","",一覧!B30)</f>
        <v/>
      </c>
      <c r="C48" s="464" t="str">
        <f>IF(一覧!C30="","",一覧!C30)</f>
        <v>部長会</v>
      </c>
      <c r="D48" s="464" t="str">
        <f>IF(一覧!D30="","",一覧!D30)</f>
        <v>車両会議</v>
      </c>
      <c r="E48" s="464" t="str">
        <f>IF(一覧!E30="","",一覧!E30)</f>
        <v/>
      </c>
      <c r="F48" s="464" t="str">
        <f>IF(一覧!F30="","",一覧!F30)</f>
        <v/>
      </c>
      <c r="G48" s="464" t="str">
        <f>IF(一覧!G30="","",一覧!G30)</f>
        <v>セミナー</v>
      </c>
      <c r="H48" s="465" t="str">
        <f>IF(一覧!H30="","",一覧!H30)</f>
        <v/>
      </c>
      <c r="I48" s="464" t="str">
        <f>IF(一覧!I30="","",一覧!I30)</f>
        <v/>
      </c>
      <c r="J48" s="464" t="str">
        <f>IF(一覧!J30="","",一覧!J30)</f>
        <v>部長会</v>
      </c>
      <c r="K48" s="464" t="str">
        <f>IF(一覧!K30="","",一覧!K30)</f>
        <v/>
      </c>
      <c r="L48" s="464" t="str">
        <f>IF(一覧!L30="","",一覧!L30)</f>
        <v>照明G</v>
      </c>
      <c r="M48" s="464" t="str">
        <f>IF(一覧!M30="","",一覧!M30)</f>
        <v>コンプラ</v>
      </c>
      <c r="N48" s="464" t="str">
        <f>IF(一覧!N30="","",一覧!N30)</f>
        <v>事故対</v>
      </c>
      <c r="O48" s="465" t="str">
        <f>IF(一覧!O30="","",一覧!O30)</f>
        <v>※</v>
      </c>
      <c r="P48" s="464" t="str">
        <f>IF(一覧!P30="","",一覧!P30)</f>
        <v/>
      </c>
      <c r="Q48" s="464" t="str">
        <f>IF(一覧!Q30="","",一覧!Q30)</f>
        <v>部長会</v>
      </c>
      <c r="R48" s="464" t="str">
        <f>IF(一覧!R30="","",一覧!R30)</f>
        <v/>
      </c>
      <c r="S48" s="464" t="str">
        <f>IF(一覧!S30="","",一覧!S30)</f>
        <v/>
      </c>
      <c r="T48" s="464" t="str">
        <f>IF(一覧!T30="","",一覧!T30)</f>
        <v/>
      </c>
      <c r="U48" s="464" t="str">
        <f>IF(一覧!U30="","",一覧!U30)</f>
        <v>回線Ｇ</v>
      </c>
      <c r="V48" s="465" t="str">
        <f>IF(一覧!V30="","",一覧!V30)</f>
        <v>※</v>
      </c>
      <c r="W48" s="464" t="str">
        <f>IF(一覧!W30="","",一覧!W30)</f>
        <v>※</v>
      </c>
      <c r="X48" s="464" t="str">
        <f>IF(一覧!X30="","",一覧!X30)</f>
        <v>部長会</v>
      </c>
      <c r="Y48" s="464" t="str">
        <f>IF(一覧!Y30="","",一覧!Y30)</f>
        <v/>
      </c>
      <c r="Z48" s="464" t="str">
        <f>IF(一覧!Z30="","",一覧!Z30)</f>
        <v>制作費会議</v>
      </c>
      <c r="AA48" s="464" t="str">
        <f>IF(一覧!AA30="","",一覧!AA30)</f>
        <v/>
      </c>
      <c r="AB48" s="464" t="str">
        <f>IF(一覧!AB30="","",一覧!AB30)</f>
        <v>NT会議</v>
      </c>
      <c r="AC48" s="465" t="str">
        <f>IF(一覧!AC30="","",一覧!AC30)</f>
        <v/>
      </c>
      <c r="AD48" s="464" t="str">
        <f>IF(一覧!AD30="","",一覧!AD30)</f>
        <v/>
      </c>
      <c r="AE48" s="464" t="str">
        <f>IF(一覧!AE30="","",一覧!AE30)</f>
        <v>部長会</v>
      </c>
      <c r="AF48" s="464" t="str">
        <f>IF(一覧!AF30="","",一覧!AF30)</f>
        <v/>
      </c>
      <c r="AG48" s="466" t="str">
        <f>IF(一覧!AG30="","",一覧!AG30)</f>
        <v/>
      </c>
      <c r="AH48" s="425" t="str">
        <f>IF(一覧!AH30="","",一覧!AH30)</f>
        <v/>
      </c>
      <c r="AI48" s="366"/>
    </row>
    <row r="49" spans="1:40" ht="14.15" customHeight="1">
      <c r="A49" s="347">
        <f>COUNTIF(C49:AG49,"★★")</f>
        <v>4</v>
      </c>
      <c r="B49" s="518" t="str">
        <f>IF(一覧!B111="","",一覧!B111)</f>
        <v>杉本　麻也</v>
      </c>
      <c r="C49" s="349" t="str">
        <f>IF(一覧!C111="","",一覧!C111)</f>
        <v/>
      </c>
      <c r="D49" s="349" t="str">
        <f>IF(一覧!D111="","",一覧!D111)</f>
        <v/>
      </c>
      <c r="E49" s="349" t="str">
        <f>IF(一覧!E111="","",一覧!E111)</f>
        <v/>
      </c>
      <c r="F49" s="349" t="str">
        <f>IF(一覧!F111="","",一覧!F111)</f>
        <v/>
      </c>
      <c r="G49" s="349" t="str">
        <f>IF(一覧!G111="","",一覧!G111)</f>
        <v/>
      </c>
      <c r="H49" s="350" t="str">
        <f>IF(一覧!H111="","",一覧!H111)</f>
        <v>★</v>
      </c>
      <c r="I49" s="349" t="str">
        <f>IF(一覧!I111="","",一覧!I111)</f>
        <v>★★</v>
      </c>
      <c r="J49" s="349" t="str">
        <f>IF(一覧!J111="","",一覧!J111)</f>
        <v/>
      </c>
      <c r="K49" s="349" t="str">
        <f>IF(一覧!K111="","",一覧!K111)</f>
        <v/>
      </c>
      <c r="L49" s="349" t="str">
        <f>IF(一覧!L111="","",一覧!L111)</f>
        <v>年</v>
      </c>
      <c r="M49" s="349" t="str">
        <f>IF(一覧!M111="","",一覧!M111)</f>
        <v/>
      </c>
      <c r="N49" s="349" t="str">
        <f>IF(一覧!N111="","",一覧!N111)</f>
        <v>委員会</v>
      </c>
      <c r="O49" s="350" t="str">
        <f>IF(一覧!O111="","",一覧!O111)</f>
        <v>ジグザグ</v>
      </c>
      <c r="P49" s="349" t="str">
        <f>IF(一覧!P111="","",一覧!P111)</f>
        <v>★★</v>
      </c>
      <c r="Q49" s="349" t="str">
        <f>IF(一覧!Q111="","",一覧!Q111)</f>
        <v/>
      </c>
      <c r="R49" s="349" t="str">
        <f>IF(一覧!R111="","",一覧!R111)</f>
        <v/>
      </c>
      <c r="S49" s="349" t="str">
        <f>IF(一覧!S111="","",一覧!S111)</f>
        <v/>
      </c>
      <c r="T49" s="349" t="str">
        <f>IF(一覧!T111="","",一覧!T111)</f>
        <v>年</v>
      </c>
      <c r="U49" s="349" t="str">
        <f>IF(一覧!U111="","",一覧!U111)</f>
        <v>★</v>
      </c>
      <c r="V49" s="350" t="str">
        <f>IF(一覧!V111="","",一覧!V111)</f>
        <v>★</v>
      </c>
      <c r="W49" s="349" t="str">
        <f>IF(一覧!W111="","",一覧!W111)</f>
        <v>★★</v>
      </c>
      <c r="X49" s="349" t="str">
        <f>IF(一覧!X111="","",一覧!X111)</f>
        <v/>
      </c>
      <c r="Y49" s="349" t="str">
        <f>IF(一覧!Y111="","",一覧!Y111)</f>
        <v>ほんわか</v>
      </c>
      <c r="Z49" s="349" t="str">
        <f>IF(一覧!Z111="","",一覧!Z111)</f>
        <v/>
      </c>
      <c r="AA49" s="349" t="str">
        <f>IF(一覧!AA111="","",一覧!AA111)</f>
        <v/>
      </c>
      <c r="AB49" s="349" t="str">
        <f>IF(一覧!AB111="","",一覧!AB111)</f>
        <v/>
      </c>
      <c r="AC49" s="350" t="str">
        <f>IF(一覧!AC111="","",一覧!AC111)</f>
        <v>★</v>
      </c>
      <c r="AD49" s="349" t="str">
        <f>IF(一覧!AD111="","",一覧!AD111)</f>
        <v>★★</v>
      </c>
      <c r="AE49" s="349" t="str">
        <f>IF(一覧!AE111="","",一覧!AE111)</f>
        <v/>
      </c>
      <c r="AF49" s="349" t="str">
        <f>IF(一覧!AF111="","",一覧!AF111)</f>
        <v>年</v>
      </c>
      <c r="AG49" s="351" t="str">
        <f>IF(一覧!AG111="","",一覧!AG111)</f>
        <v/>
      </c>
      <c r="AH49" s="519" t="str">
        <f>IF(一覧!AH111="","",一覧!AH111)</f>
        <v>杉本</v>
      </c>
      <c r="AI49" s="366"/>
      <c r="AJ49" s="366"/>
      <c r="AK49" s="366"/>
      <c r="AL49" s="366"/>
      <c r="AM49" s="366"/>
      <c r="AN49" s="366"/>
    </row>
    <row r="50" spans="1:40" ht="14.15" customHeight="1">
      <c r="A50" s="347">
        <f>COUNTIF(C49:AG49,"★")</f>
        <v>4</v>
      </c>
      <c r="B50" s="303" t="str">
        <f>IF(一覧!B112="","",一覧!B112)</f>
        <v/>
      </c>
      <c r="C50" s="355" t="str">
        <f>IF(一覧!C112="","",一覧!C112)</f>
        <v>局会</v>
      </c>
      <c r="D50" s="355" t="str">
        <f>IF(一覧!D112="","",一覧!D112)</f>
        <v>進行G会</v>
      </c>
      <c r="E50" s="355" t="str">
        <f>IF(一覧!E112="","",一覧!E112)</f>
        <v/>
      </c>
      <c r="F50" s="355" t="str">
        <f>IF(一覧!F112="","",一覧!F112)</f>
        <v/>
      </c>
      <c r="G50" s="355" t="str">
        <f>IF(一覧!G112="","",一覧!G112)</f>
        <v/>
      </c>
      <c r="H50" s="356" t="str">
        <f>IF(一覧!H112="","",一覧!H112)</f>
        <v/>
      </c>
      <c r="I50" s="355" t="str">
        <f>IF(一覧!I112="","",一覧!I112)</f>
        <v/>
      </c>
      <c r="J50" s="355" t="str">
        <f>IF(一覧!J112="","",一覧!J112)</f>
        <v/>
      </c>
      <c r="K50" s="355" t="str">
        <f>IF(一覧!K112="","",一覧!K112)</f>
        <v/>
      </c>
      <c r="L50" s="355" t="str">
        <f>IF(一覧!L112="","",一覧!L112)</f>
        <v>※</v>
      </c>
      <c r="M50" s="355" t="str">
        <f>IF(一覧!M112="","",一覧!M112)</f>
        <v/>
      </c>
      <c r="N50" s="355" t="str">
        <f>IF(一覧!N112="","",一覧!N112)</f>
        <v>ＣＡＭ</v>
      </c>
      <c r="O50" s="356" t="str">
        <f>IF(一覧!O112="","",一覧!O112)</f>
        <v>ＳＷ</v>
      </c>
      <c r="P50" s="355" t="str">
        <f>IF(一覧!P112="","",一覧!P112)</f>
        <v>※</v>
      </c>
      <c r="Q50" s="355" t="str">
        <f>IF(一覧!Q112="","",一覧!Q112)</f>
        <v/>
      </c>
      <c r="R50" s="355" t="str">
        <f>IF(一覧!R112="","",一覧!R112)</f>
        <v>進行G会</v>
      </c>
      <c r="S50" s="355" t="str">
        <f>IF(一覧!S112="","",一覧!S112)</f>
        <v>ﾏｽﾀｰG会</v>
      </c>
      <c r="T50" s="355" t="str">
        <f>IF(一覧!T112="","",一覧!T112)</f>
        <v>※</v>
      </c>
      <c r="U50" s="355" t="str">
        <f>IF(一覧!U112="","",一覧!U112)</f>
        <v>※</v>
      </c>
      <c r="V50" s="356" t="str">
        <f>IF(一覧!V112="","",一覧!V112)</f>
        <v>※</v>
      </c>
      <c r="W50" s="355" t="str">
        <f>IF(一覧!W112="","",一覧!W112)</f>
        <v>※</v>
      </c>
      <c r="X50" s="355" t="str">
        <f>IF(一覧!X112="","",一覧!X112)</f>
        <v/>
      </c>
      <c r="Y50" s="355" t="str">
        <f>IF(一覧!Y112="","",一覧!Y112)</f>
        <v>ＣＡＭ</v>
      </c>
      <c r="Z50" s="355" t="str">
        <f>IF(一覧!Z112="","",一覧!Z112)</f>
        <v/>
      </c>
      <c r="AA50" s="355" t="str">
        <f>IF(一覧!AA112="","",一覧!AA112)</f>
        <v/>
      </c>
      <c r="AB50" s="355" t="str">
        <f>IF(一覧!AB112="","",一覧!AB112)</f>
        <v/>
      </c>
      <c r="AC50" s="356" t="str">
        <f>IF(一覧!AC112="","",一覧!AC112)</f>
        <v/>
      </c>
      <c r="AD50" s="355" t="str">
        <f>IF(一覧!AD112="","",一覧!AD112)</f>
        <v/>
      </c>
      <c r="AE50" s="355" t="str">
        <f>IF(一覧!AE112="","",一覧!AE112)</f>
        <v/>
      </c>
      <c r="AF50" s="355" t="str">
        <f>IF(一覧!AF112="","",一覧!AF112)</f>
        <v>※</v>
      </c>
      <c r="AG50" s="357" t="str">
        <f>IF(一覧!AG112="","",一覧!AG112)</f>
        <v/>
      </c>
      <c r="AH50" s="304" t="str">
        <f>IF(一覧!AH112="","",一覧!AH112)</f>
        <v/>
      </c>
      <c r="AI50" s="366"/>
      <c r="AJ50" s="366"/>
      <c r="AK50" s="366"/>
      <c r="AL50" s="366"/>
      <c r="AM50" s="366"/>
      <c r="AN50" s="366"/>
    </row>
    <row r="51" spans="1:40" ht="14.15" customHeight="1">
      <c r="A51" s="347">
        <f>COUNTIF(C51:AG51,"★★")</f>
        <v>4</v>
      </c>
      <c r="B51" s="518" t="str">
        <f>IF(一覧!B105="","",一覧!B105)</f>
        <v>井ノ口鉱三</v>
      </c>
      <c r="C51" s="349" t="str">
        <f>IF(一覧!C105="","",一覧!C105)</f>
        <v xml:space="preserve"> </v>
      </c>
      <c r="D51" s="349" t="str">
        <f>IF(一覧!D105="","",一覧!D105)</f>
        <v>地球便</v>
      </c>
      <c r="E51" s="349" t="str">
        <f>IF(一覧!E105="","",一覧!E105)</f>
        <v>委員会１</v>
      </c>
      <c r="F51" s="349" t="str">
        <f>IF(一覧!F105="","",一覧!F105)</f>
        <v>ｺﾝﾃﾝﾂ</v>
      </c>
      <c r="G51" s="349" t="str">
        <f>IF(一覧!G105="","",一覧!G105)</f>
        <v>委員会１</v>
      </c>
      <c r="H51" s="350" t="str">
        <f>IF(一覧!H105="","",一覧!H105)</f>
        <v>★</v>
      </c>
      <c r="I51" s="349" t="str">
        <f>IF(一覧!I105="","",一覧!I105)</f>
        <v>★★</v>
      </c>
      <c r="J51" s="349" t="str">
        <f>IF(一覧!J105="","",一覧!J105)</f>
        <v>声</v>
      </c>
      <c r="K51" s="349" t="str">
        <f>IF(一覧!K105="","",一覧!K105)</f>
        <v>地球便</v>
      </c>
      <c r="L51" s="349" t="str">
        <f>IF(一覧!L105="","",一覧!L105)</f>
        <v>室内楽’</v>
      </c>
      <c r="M51" s="349" t="str">
        <f>IF(一覧!M105="","",一覧!M105)</f>
        <v>ｺﾝﾃﾝﾂ</v>
      </c>
      <c r="N51" s="349" t="str">
        <f>IF(一覧!N105="","",一覧!N105)</f>
        <v>イベント</v>
      </c>
      <c r="O51" s="350" t="str">
        <f>IF(一覧!O105="","",一覧!O105)</f>
        <v>委員会１</v>
      </c>
      <c r="P51" s="349" t="str">
        <f>IF(一覧!P105="","",一覧!P105)</f>
        <v>★★</v>
      </c>
      <c r="Q51" s="349" t="str">
        <f>IF(一覧!Q105="","",一覧!Q105)</f>
        <v>★</v>
      </c>
      <c r="R51" s="349" t="str">
        <f>IF(一覧!R105="","",一覧!R105)</f>
        <v xml:space="preserve"> </v>
      </c>
      <c r="S51" s="349" t="str">
        <f>IF(一覧!S105="","",一覧!S105)</f>
        <v>室内楽</v>
      </c>
      <c r="T51" s="349" t="str">
        <f>IF(一覧!T105="","",一覧!T105)</f>
        <v>室内楽</v>
      </c>
      <c r="U51" s="349" t="str">
        <f>IF(一覧!U105="","",一覧!U105)</f>
        <v xml:space="preserve"> </v>
      </c>
      <c r="V51" s="350" t="str">
        <f>IF(一覧!V105="","",一覧!V105)</f>
        <v>★</v>
      </c>
      <c r="W51" s="349" t="str">
        <f>IF(一覧!W105="","",一覧!W105)</f>
        <v>★★</v>
      </c>
      <c r="X51" s="349" t="str">
        <f>IF(一覧!X105="","",一覧!X105)</f>
        <v>ほんわか１'</v>
      </c>
      <c r="Y51" s="349" t="str">
        <f>IF(一覧!Y105="","",一覧!Y105)</f>
        <v>地球便</v>
      </c>
      <c r="Z51" s="349" t="str">
        <f>IF(一覧!Z105="","",一覧!Z105)</f>
        <v>代休</v>
      </c>
      <c r="AA51" s="349" t="str">
        <f>IF(一覧!AA105="","",一覧!AA105)</f>
        <v>ｺﾝﾃﾝﾂ</v>
      </c>
      <c r="AB51" s="349" t="str">
        <f>IF(一覧!AB105="","",一覧!AB105)</f>
        <v>編集G会議</v>
      </c>
      <c r="AC51" s="350" t="str">
        <f>IF(一覧!AC105="","",一覧!AC105)</f>
        <v>委員会１</v>
      </c>
      <c r="AD51" s="349" t="str">
        <f>IF(一覧!AD105="","",一覧!AD105)</f>
        <v>★★</v>
      </c>
      <c r="AE51" s="349" t="str">
        <f>IF(一覧!AE105="","",一覧!AE105)</f>
        <v>ほんわか１</v>
      </c>
      <c r="AF51" s="349" t="str">
        <f>IF(一覧!AF105="","",一覧!AF105)</f>
        <v>★</v>
      </c>
      <c r="AG51" s="351" t="str">
        <f>IF(一覧!AG105="","",一覧!AG105)</f>
        <v xml:space="preserve"> </v>
      </c>
      <c r="AH51" s="519" t="str">
        <f>IF(一覧!AH105="","",一覧!AH105)</f>
        <v>井ノ口</v>
      </c>
      <c r="AI51" s="366"/>
      <c r="AJ51" s="366"/>
      <c r="AK51" s="366"/>
      <c r="AL51" s="366"/>
      <c r="AM51" s="366"/>
      <c r="AN51" s="366"/>
    </row>
    <row r="52" spans="1:40" ht="14.15" customHeight="1">
      <c r="A52" s="347">
        <f>COUNTIF(C51:AG51,"★")</f>
        <v>4</v>
      </c>
      <c r="B52" s="303" t="str">
        <f>IF(一覧!B106="","",一覧!B106)</f>
        <v/>
      </c>
      <c r="C52" s="355" t="str">
        <f>IF(一覧!C106="","",一覧!C106)</f>
        <v xml:space="preserve"> </v>
      </c>
      <c r="D52" s="355" t="str">
        <f>IF(一覧!D106="","",一覧!D106)</f>
        <v xml:space="preserve"> </v>
      </c>
      <c r="E52" s="355" t="str">
        <f>IF(一覧!E106="","",一覧!E106)</f>
        <v>SP編集1</v>
      </c>
      <c r="F52" s="355" t="str">
        <f>IF(一覧!F106="","",一覧!F106)</f>
        <v>音道楽√</v>
      </c>
      <c r="G52" s="355" t="str">
        <f>IF(一覧!G106="","",一覧!G106)</f>
        <v>編集1</v>
      </c>
      <c r="H52" s="356" t="str">
        <f>IF(一覧!H106="","",一覧!H106)</f>
        <v xml:space="preserve"> </v>
      </c>
      <c r="I52" s="355" t="str">
        <f>IF(一覧!I106="","",一覧!I106)</f>
        <v xml:space="preserve"> </v>
      </c>
      <c r="J52" s="355" t="str">
        <f>IF(一覧!J106="","",一覧!J106)</f>
        <v xml:space="preserve"> </v>
      </c>
      <c r="K52" s="355" t="str">
        <f>IF(一覧!K106="","",一覧!K106)</f>
        <v xml:space="preserve"> </v>
      </c>
      <c r="L52" s="355" t="str">
        <f>IF(一覧!L106="","",一覧!L106)</f>
        <v xml:space="preserve"> </v>
      </c>
      <c r="M52" s="355" t="str">
        <f>IF(一覧!M106="","",一覧!M106)</f>
        <v>音道楽√</v>
      </c>
      <c r="N52" s="355" t="str">
        <f>IF(一覧!N106="","",一覧!N106)</f>
        <v xml:space="preserve"> </v>
      </c>
      <c r="O52" s="356" t="str">
        <f>IF(一覧!O106="","",一覧!O106)</f>
        <v>編集1</v>
      </c>
      <c r="P52" s="355" t="str">
        <f>IF(一覧!P106="","",一覧!P106)</f>
        <v xml:space="preserve"> </v>
      </c>
      <c r="Q52" s="355" t="str">
        <f>IF(一覧!Q106="","",一覧!Q106)</f>
        <v xml:space="preserve"> </v>
      </c>
      <c r="R52" s="355" t="str">
        <f>IF(一覧!R106="","",一覧!R106)</f>
        <v xml:space="preserve"> </v>
      </c>
      <c r="S52" s="355" t="str">
        <f>IF(一覧!S106="","",一覧!S106)</f>
        <v>フェスタ</v>
      </c>
      <c r="T52" s="355" t="str">
        <f>IF(一覧!T106="","",一覧!T106)</f>
        <v>フェスタ</v>
      </c>
      <c r="U52" s="355" t="str">
        <f>IF(一覧!U106="","",一覧!U106)</f>
        <v xml:space="preserve"> </v>
      </c>
      <c r="V52" s="356" t="str">
        <f>IF(一覧!V106="","",一覧!V106)</f>
        <v xml:space="preserve"> </v>
      </c>
      <c r="W52" s="355" t="str">
        <f>IF(一覧!W106="","",一覧!W106)</f>
        <v xml:space="preserve"> </v>
      </c>
      <c r="X52" s="355" t="str">
        <f>IF(一覧!X106="","",一覧!X106)</f>
        <v xml:space="preserve"> </v>
      </c>
      <c r="Y52" s="355" t="str">
        <f>IF(一覧!Y106="","",一覧!Y106)</f>
        <v xml:space="preserve"> </v>
      </c>
      <c r="Z52" s="355" t="str">
        <f>IF(一覧!Z106="","",一覧!Z106)</f>
        <v>5/30</v>
      </c>
      <c r="AA52" s="355" t="str">
        <f>IF(一覧!AA106="","",一覧!AA106)</f>
        <v>音道楽√</v>
      </c>
      <c r="AB52" s="355" t="str">
        <f>IF(一覧!AB106="","",一覧!AB106)</f>
        <v>イベント</v>
      </c>
      <c r="AC52" s="356" t="str">
        <f>IF(一覧!AC106="","",一覧!AC106)</f>
        <v>編集1</v>
      </c>
      <c r="AD52" s="355" t="str">
        <f>IF(一覧!AD106="","",一覧!AD106)</f>
        <v xml:space="preserve"> </v>
      </c>
      <c r="AE52" s="355" t="str">
        <f>IF(一覧!AE106="","",一覧!AE106)</f>
        <v>編集1</v>
      </c>
      <c r="AF52" s="355" t="str">
        <f>IF(一覧!AF106="","",一覧!AF106)</f>
        <v xml:space="preserve"> </v>
      </c>
      <c r="AG52" s="357" t="str">
        <f>IF(一覧!AG106="","",一覧!AG106)</f>
        <v xml:space="preserve"> </v>
      </c>
      <c r="AH52" s="304" t="str">
        <f>IF(一覧!AH106="","",一覧!AH106)</f>
        <v/>
      </c>
      <c r="AI52" s="366"/>
      <c r="AJ52" s="366"/>
      <c r="AK52" s="366"/>
      <c r="AL52" s="366"/>
      <c r="AM52" s="366"/>
      <c r="AN52" s="366"/>
    </row>
    <row r="53" spans="1:40" ht="14.15" customHeight="1">
      <c r="A53" s="347">
        <f>COUNTIF(C53:AG53,"★★")</f>
        <v>4</v>
      </c>
      <c r="B53" s="518" t="str">
        <f>IF(一覧!B57="","",一覧!B57)</f>
        <v>加藤　裕視</v>
      </c>
      <c r="C53" s="349" t="str">
        <f>IF(一覧!C57="","",一覧!C57)</f>
        <v>NsubTD</v>
      </c>
      <c r="D53" s="349" t="str">
        <f>IF(一覧!D57="","",一覧!D57)</f>
        <v>TVU内覧</v>
      </c>
      <c r="E53" s="349" t="str">
        <f>IF(一覧!E57="","",一覧!E57)</f>
        <v>ミヤネ屋</v>
      </c>
      <c r="F53" s="349" t="str">
        <f>IF(一覧!F57="","",一覧!F57)</f>
        <v>　　　━</v>
      </c>
      <c r="G53" s="349" t="str">
        <f>IF(一覧!G57="","",一覧!G57)</f>
        <v>━　　　</v>
      </c>
      <c r="H53" s="350" t="str">
        <f>IF(一覧!H57="","",一覧!H57)</f>
        <v>★</v>
      </c>
      <c r="I53" s="349" t="str">
        <f>IF(一覧!I57="","",一覧!I57)</f>
        <v>★★</v>
      </c>
      <c r="J53" s="349" t="str">
        <f>IF(一覧!J57="","",一覧!J57)</f>
        <v>ten下見</v>
      </c>
      <c r="K53" s="349" t="str">
        <f>IF(一覧!K57="","",一覧!K57)</f>
        <v>ミヤネ屋</v>
      </c>
      <c r="L53" s="349" t="str">
        <f>IF(一覧!L57="","",一覧!L57)</f>
        <v>ＲＤ</v>
      </c>
      <c r="M53" s="349" t="str">
        <f>IF(一覧!M57="","",一覧!M57)</f>
        <v>ten中継</v>
      </c>
      <c r="N53" s="349" t="str">
        <f>IF(一覧!N57="","",一覧!N57)</f>
        <v>ｔｅｎ！</v>
      </c>
      <c r="O53" s="350" t="str">
        <f>IF(一覧!O57="","",一覧!O57)</f>
        <v>★</v>
      </c>
      <c r="P53" s="349" t="str">
        <f>IF(一覧!P57="","",一覧!P57)</f>
        <v>★★</v>
      </c>
      <c r="Q53" s="349" t="str">
        <f>IF(一覧!Q57="","",一覧!Q57)</f>
        <v>ｔｅｎ！</v>
      </c>
      <c r="R53" s="349" t="str">
        <f>IF(一覧!R57="","",一覧!R57)</f>
        <v>　　　━</v>
      </c>
      <c r="S53" s="349" t="str">
        <f>IF(一覧!S57="","",一覧!S57)</f>
        <v>━　　　</v>
      </c>
      <c r="T53" s="349" t="str">
        <f>IF(一覧!T57="","",一覧!T57)</f>
        <v>NsubTD</v>
      </c>
      <c r="U53" s="349" t="str">
        <f>IF(一覧!U57="","",一覧!U57)</f>
        <v>回線Ｇ</v>
      </c>
      <c r="V53" s="350" t="str">
        <f>IF(一覧!V57="","",一覧!V57)</f>
        <v>★</v>
      </c>
      <c r="W53" s="349" t="str">
        <f>IF(一覧!W57="","",一覧!W57)</f>
        <v>★★</v>
      </c>
      <c r="X53" s="349" t="str">
        <f>IF(一覧!X57="","",一覧!X57)</f>
        <v>ｔｅｎ！</v>
      </c>
      <c r="Y53" s="349" t="str">
        <f>IF(一覧!Y57="","",一覧!Y57)</f>
        <v>NsubTD</v>
      </c>
      <c r="Z53" s="349" t="str">
        <f>IF(一覧!Z57="","",一覧!Z57)</f>
        <v>　　　━</v>
      </c>
      <c r="AA53" s="349" t="str">
        <f>IF(一覧!AA57="","",一覧!AA57)</f>
        <v>━　　　</v>
      </c>
      <c r="AB53" s="349" t="str">
        <f>IF(一覧!AB57="","",一覧!AB57)</f>
        <v>委員会</v>
      </c>
      <c r="AC53" s="350" t="str">
        <f>IF(一覧!AC57="","",一覧!AC57)</f>
        <v>★★</v>
      </c>
      <c r="AD53" s="349" t="str">
        <f>IF(一覧!AD57="","",一覧!AD57)</f>
        <v>NsubTD</v>
      </c>
      <c r="AE53" s="349" t="str">
        <f>IF(一覧!AE57="","",一覧!AE57)</f>
        <v>じゅっと</v>
      </c>
      <c r="AF53" s="349" t="str">
        <f>IF(一覧!AF57="","",一覧!AF57)</f>
        <v>★</v>
      </c>
      <c r="AG53" s="351" t="str">
        <f>IF(一覧!AG57="","",一覧!AG57)</f>
        <v/>
      </c>
      <c r="AH53" s="519" t="str">
        <f>IF(一覧!AH57="","",一覧!AH57)</f>
        <v>加藤</v>
      </c>
      <c r="AI53" s="366"/>
      <c r="AJ53" s="366"/>
      <c r="AK53" s="366"/>
      <c r="AL53" s="366"/>
      <c r="AM53" s="366"/>
      <c r="AN53" s="366"/>
    </row>
    <row r="54" spans="1:40" ht="14.15" customHeight="1" thickBot="1">
      <c r="A54" s="347">
        <f>COUNTIF(C53:AG53,"★")</f>
        <v>4</v>
      </c>
      <c r="B54" s="424" t="str">
        <f>IF(一覧!B58="","",一覧!B58)</f>
        <v/>
      </c>
      <c r="C54" s="464" t="str">
        <f>IF(一覧!C58="","",一覧!C58)</f>
        <v>局会</v>
      </c>
      <c r="D54" s="464" t="str">
        <f>IF(一覧!D58="","",一覧!D58)</f>
        <v/>
      </c>
      <c r="E54" s="464" t="str">
        <f>IF(一覧!E58="","",一覧!E58)</f>
        <v>ＴＤ</v>
      </c>
      <c r="F54" s="464" t="str">
        <f>IF(一覧!F58="","",一覧!F58)</f>
        <v/>
      </c>
      <c r="G54" s="464" t="str">
        <f>IF(一覧!G58="","",一覧!G58)</f>
        <v/>
      </c>
      <c r="H54" s="465" t="str">
        <f>IF(一覧!H58="","",一覧!H58)</f>
        <v>※</v>
      </c>
      <c r="I54" s="464" t="str">
        <f>IF(一覧!I58="","",一覧!I58)</f>
        <v/>
      </c>
      <c r="J54" s="464" t="str">
        <f>IF(一覧!J58="","",一覧!J58)</f>
        <v/>
      </c>
      <c r="K54" s="464" t="str">
        <f>IF(一覧!K58="","",一覧!K58)</f>
        <v>ＳＷ</v>
      </c>
      <c r="L54" s="464" t="str">
        <f>IF(一覧!L58="","",一覧!L58)</f>
        <v/>
      </c>
      <c r="M54" s="464" t="str">
        <f>IF(一覧!M58="","",一覧!M58)</f>
        <v>ＴＤ</v>
      </c>
      <c r="N54" s="464" t="str">
        <f>IF(一覧!N58="","",一覧!N58)</f>
        <v>ＴＤ</v>
      </c>
      <c r="O54" s="465" t="str">
        <f>IF(一覧!O58="","",一覧!O58)</f>
        <v/>
      </c>
      <c r="P54" s="464" t="str">
        <f>IF(一覧!P58="","",一覧!P58)</f>
        <v/>
      </c>
      <c r="Q54" s="464" t="str">
        <f>IF(一覧!Q58="","",一覧!Q58)</f>
        <v>ＴＤ</v>
      </c>
      <c r="R54" s="464" t="str">
        <f>IF(一覧!R58="","",一覧!R58)</f>
        <v/>
      </c>
      <c r="S54" s="464" t="str">
        <f>IF(一覧!S58="","",一覧!S58)</f>
        <v/>
      </c>
      <c r="T54" s="464" t="str">
        <f>IF(一覧!T58="","",一覧!T58)</f>
        <v/>
      </c>
      <c r="U54" s="464" t="str">
        <f>IF(一覧!U58="","",一覧!U58)</f>
        <v/>
      </c>
      <c r="V54" s="465" t="str">
        <f>IF(一覧!V58="","",一覧!V58)</f>
        <v/>
      </c>
      <c r="W54" s="464" t="str">
        <f>IF(一覧!W58="","",一覧!W58)</f>
        <v>※</v>
      </c>
      <c r="X54" s="464" t="str">
        <f>IF(一覧!X58="","",一覧!X58)</f>
        <v>NsubTD</v>
      </c>
      <c r="Y54" s="464" t="str">
        <f>IF(一覧!Y58="","",一覧!Y58)</f>
        <v/>
      </c>
      <c r="Z54" s="464" t="str">
        <f>IF(一覧!Z58="","",一覧!Z58)</f>
        <v/>
      </c>
      <c r="AA54" s="464" t="str">
        <f>IF(一覧!AA58="","",一覧!AA58)</f>
        <v/>
      </c>
      <c r="AB54" s="464" t="str">
        <f>IF(一覧!AB58="","",一覧!AB58)</f>
        <v>ＣＡＭ</v>
      </c>
      <c r="AC54" s="465" t="str">
        <f>IF(一覧!AC58="","",一覧!AC58)</f>
        <v>※</v>
      </c>
      <c r="AD54" s="464" t="str">
        <f>IF(一覧!AD58="","",一覧!AD58)</f>
        <v/>
      </c>
      <c r="AE54" s="464" t="str">
        <f>IF(一覧!AE58="","",一覧!AE58)</f>
        <v>ＴＤ</v>
      </c>
      <c r="AF54" s="464" t="str">
        <f>IF(一覧!AF58="","",一覧!AF58)</f>
        <v/>
      </c>
      <c r="AG54" s="466" t="str">
        <f>IF(一覧!AG58="","",一覧!AG58)</f>
        <v/>
      </c>
      <c r="AH54" s="425" t="str">
        <f>IF(一覧!AH58="","",一覧!AH58)</f>
        <v/>
      </c>
      <c r="AI54" s="366"/>
      <c r="AJ54" s="366"/>
      <c r="AK54" s="366"/>
      <c r="AL54" s="366"/>
      <c r="AM54" s="366"/>
      <c r="AN54" s="366"/>
    </row>
    <row r="55" spans="1:40" ht="14.15" customHeight="1">
      <c r="B55" s="518"/>
      <c r="C55" s="373"/>
      <c r="D55" s="373"/>
      <c r="E55" s="373" t="s">
        <v>25</v>
      </c>
      <c r="F55" s="373"/>
      <c r="G55" s="373" t="s">
        <v>152</v>
      </c>
      <c r="H55" s="374" t="s">
        <v>26</v>
      </c>
      <c r="I55" s="373"/>
      <c r="J55" s="373"/>
      <c r="K55" s="373" t="s">
        <v>27</v>
      </c>
      <c r="L55" s="373"/>
      <c r="M55" s="373" t="s">
        <v>167</v>
      </c>
      <c r="N55" s="373"/>
      <c r="O55" s="374" t="s">
        <v>26</v>
      </c>
      <c r="P55" s="373"/>
      <c r="Q55" s="373" t="s">
        <v>384</v>
      </c>
      <c r="R55" s="373" t="s">
        <v>384</v>
      </c>
      <c r="S55" s="373" t="s">
        <v>25</v>
      </c>
      <c r="T55" s="373" t="s">
        <v>152</v>
      </c>
      <c r="U55" s="373"/>
      <c r="V55" s="374" t="s">
        <v>26</v>
      </c>
      <c r="W55" s="373"/>
      <c r="X55" s="373" t="s">
        <v>167</v>
      </c>
      <c r="Y55" s="373" t="s">
        <v>27</v>
      </c>
      <c r="Z55" s="373"/>
      <c r="AA55" s="373"/>
      <c r="AB55" s="373"/>
      <c r="AC55" s="374"/>
      <c r="AD55" s="373"/>
      <c r="AE55" s="373"/>
      <c r="AF55" s="373"/>
      <c r="AG55" s="375"/>
      <c r="AH55" s="519"/>
      <c r="AI55" s="366"/>
      <c r="AJ55" s="366"/>
      <c r="AK55" s="366"/>
      <c r="AL55" s="366"/>
      <c r="AM55" s="366"/>
      <c r="AN55" s="366"/>
    </row>
    <row r="56" spans="1:40" ht="14.15" customHeight="1">
      <c r="B56" s="518" t="s">
        <v>385</v>
      </c>
      <c r="C56" s="376"/>
      <c r="D56" s="376"/>
      <c r="E56" s="376">
        <v>2</v>
      </c>
      <c r="F56" s="376"/>
      <c r="G56" s="376">
        <v>3</v>
      </c>
      <c r="H56" s="377">
        <v>5</v>
      </c>
      <c r="I56" s="376"/>
      <c r="J56" s="376"/>
      <c r="K56" s="376">
        <v>3</v>
      </c>
      <c r="L56" s="376"/>
      <c r="M56" s="376" t="s">
        <v>386</v>
      </c>
      <c r="N56" s="376"/>
      <c r="O56" s="377">
        <v>5</v>
      </c>
      <c r="P56" s="376"/>
      <c r="Q56" s="376">
        <v>1</v>
      </c>
      <c r="R56" s="376">
        <v>1</v>
      </c>
      <c r="S56" s="376" t="s">
        <v>387</v>
      </c>
      <c r="T56" s="376">
        <v>3</v>
      </c>
      <c r="U56" s="376"/>
      <c r="V56" s="377">
        <v>4</v>
      </c>
      <c r="W56" s="376"/>
      <c r="X56" s="376">
        <v>3</v>
      </c>
      <c r="Y56" s="376">
        <v>2</v>
      </c>
      <c r="Z56" s="376"/>
      <c r="AA56" s="376"/>
      <c r="AB56" s="376"/>
      <c r="AC56" s="377"/>
      <c r="AD56" s="376"/>
      <c r="AE56" s="376"/>
      <c r="AF56" s="376"/>
      <c r="AG56" s="378"/>
      <c r="AH56" s="519" t="s">
        <v>385</v>
      </c>
      <c r="AI56" s="366"/>
      <c r="AJ56" s="366"/>
      <c r="AK56" s="366"/>
      <c r="AL56" s="366"/>
      <c r="AM56" s="366"/>
      <c r="AN56" s="366"/>
    </row>
    <row r="57" spans="1:40" ht="14.15" customHeight="1">
      <c r="B57" s="518"/>
      <c r="C57" s="142" t="s">
        <v>4</v>
      </c>
      <c r="D57" s="142"/>
      <c r="E57" s="142"/>
      <c r="F57" s="142" t="s">
        <v>4</v>
      </c>
      <c r="G57" s="142" t="s">
        <v>4</v>
      </c>
      <c r="H57" s="164"/>
      <c r="I57" s="142"/>
      <c r="J57" s="142" t="s">
        <v>4</v>
      </c>
      <c r="K57" s="142"/>
      <c r="L57" s="142"/>
      <c r="M57" s="142" t="s">
        <v>4</v>
      </c>
      <c r="N57" s="142" t="s">
        <v>4</v>
      </c>
      <c r="O57" s="164"/>
      <c r="P57" s="142"/>
      <c r="Q57" s="142" t="s">
        <v>4</v>
      </c>
      <c r="R57" s="142"/>
      <c r="S57" s="142" t="s">
        <v>177</v>
      </c>
      <c r="T57" s="142" t="s">
        <v>4</v>
      </c>
      <c r="U57" s="142" t="s">
        <v>4</v>
      </c>
      <c r="V57" s="164"/>
      <c r="W57" s="142"/>
      <c r="X57" s="142" t="s">
        <v>4</v>
      </c>
      <c r="Y57" s="142"/>
      <c r="Z57" s="142"/>
      <c r="AA57" s="142" t="s">
        <v>4</v>
      </c>
      <c r="AB57" s="142" t="s">
        <v>4</v>
      </c>
      <c r="AC57" s="164"/>
      <c r="AD57" s="142"/>
      <c r="AE57" s="142" t="s">
        <v>4</v>
      </c>
      <c r="AF57" s="142"/>
      <c r="AG57" s="256"/>
      <c r="AH57" s="519"/>
      <c r="AI57" s="366"/>
      <c r="AJ57" s="366"/>
      <c r="AK57" s="366"/>
      <c r="AL57" s="366"/>
      <c r="AM57" s="366"/>
      <c r="AN57" s="366"/>
    </row>
    <row r="58" spans="1:40" ht="14.15" customHeight="1">
      <c r="B58" s="518"/>
      <c r="C58" s="143" t="s">
        <v>388</v>
      </c>
      <c r="D58" s="143"/>
      <c r="E58" s="143"/>
      <c r="F58" s="143" t="s">
        <v>388</v>
      </c>
      <c r="G58" s="143" t="s">
        <v>388</v>
      </c>
      <c r="H58" s="165"/>
      <c r="I58" s="143"/>
      <c r="J58" s="143" t="s">
        <v>388</v>
      </c>
      <c r="K58" s="143"/>
      <c r="L58" s="143"/>
      <c r="M58" s="143" t="s">
        <v>388</v>
      </c>
      <c r="N58" s="143" t="s">
        <v>388</v>
      </c>
      <c r="O58" s="165"/>
      <c r="P58" s="143"/>
      <c r="Q58" s="143" t="s">
        <v>388</v>
      </c>
      <c r="R58" s="143"/>
      <c r="S58" s="143" t="s">
        <v>386</v>
      </c>
      <c r="T58" s="143" t="s">
        <v>388</v>
      </c>
      <c r="U58" s="143" t="s">
        <v>388</v>
      </c>
      <c r="V58" s="165"/>
      <c r="W58" s="143"/>
      <c r="X58" s="143" t="s">
        <v>388</v>
      </c>
      <c r="Y58" s="143"/>
      <c r="Z58" s="143"/>
      <c r="AA58" s="143" t="s">
        <v>388</v>
      </c>
      <c r="AB58" s="143" t="s">
        <v>388</v>
      </c>
      <c r="AC58" s="165"/>
      <c r="AD58" s="143"/>
      <c r="AE58" s="143" t="s">
        <v>388</v>
      </c>
      <c r="AF58" s="143"/>
      <c r="AG58" s="257"/>
      <c r="AH58" s="519"/>
      <c r="AI58" s="366"/>
      <c r="AJ58" s="366"/>
      <c r="AK58" s="366"/>
      <c r="AL58" s="366"/>
      <c r="AM58" s="366"/>
      <c r="AN58" s="366"/>
    </row>
    <row r="59" spans="1:40" ht="14.15" customHeight="1">
      <c r="B59" s="518"/>
      <c r="C59" s="142"/>
      <c r="D59" s="142"/>
      <c r="E59" s="142" t="s">
        <v>20</v>
      </c>
      <c r="F59" s="142" t="s">
        <v>251</v>
      </c>
      <c r="G59" s="142"/>
      <c r="H59" s="164"/>
      <c r="I59" s="142"/>
      <c r="J59" s="142"/>
      <c r="K59" s="142" t="s">
        <v>20</v>
      </c>
      <c r="L59" s="142" t="s">
        <v>20</v>
      </c>
      <c r="M59" s="142"/>
      <c r="N59" s="142"/>
      <c r="O59" s="164"/>
      <c r="P59" s="142"/>
      <c r="Q59" s="142"/>
      <c r="R59" s="142" t="s">
        <v>20</v>
      </c>
      <c r="S59" s="142" t="s">
        <v>20</v>
      </c>
      <c r="T59" s="142"/>
      <c r="U59" s="142"/>
      <c r="V59" s="164"/>
      <c r="W59" s="142"/>
      <c r="X59" s="142" t="s">
        <v>203</v>
      </c>
      <c r="Y59" s="142" t="s">
        <v>20</v>
      </c>
      <c r="Z59" s="142" t="s">
        <v>20</v>
      </c>
      <c r="AA59" s="142" t="s">
        <v>251</v>
      </c>
      <c r="AB59" s="142"/>
      <c r="AC59" s="164"/>
      <c r="AD59" s="142"/>
      <c r="AE59" s="142"/>
      <c r="AF59" s="142" t="s">
        <v>352</v>
      </c>
      <c r="AG59" s="256"/>
      <c r="AH59" s="519"/>
      <c r="AI59" s="366"/>
      <c r="AJ59" s="366"/>
      <c r="AK59" s="366"/>
      <c r="AL59" s="366"/>
      <c r="AM59" s="366"/>
      <c r="AN59" s="366"/>
    </row>
    <row r="60" spans="1:40" ht="14.15" customHeight="1">
      <c r="B60" s="518"/>
      <c r="C60" s="143"/>
      <c r="D60" s="143"/>
      <c r="E60" s="143">
        <v>4</v>
      </c>
      <c r="F60" s="143">
        <v>2</v>
      </c>
      <c r="G60" s="143"/>
      <c r="H60" s="165"/>
      <c r="I60" s="143"/>
      <c r="J60" s="143"/>
      <c r="K60" s="143">
        <v>3</v>
      </c>
      <c r="L60" s="143" t="s">
        <v>387</v>
      </c>
      <c r="M60" s="143"/>
      <c r="N60" s="143"/>
      <c r="O60" s="165"/>
      <c r="P60" s="143"/>
      <c r="Q60" s="143"/>
      <c r="R60" s="143">
        <v>1</v>
      </c>
      <c r="S60" s="143" t="s">
        <v>387</v>
      </c>
      <c r="T60" s="143"/>
      <c r="U60" s="143"/>
      <c r="V60" s="165"/>
      <c r="W60" s="143"/>
      <c r="X60" s="143" t="s">
        <v>389</v>
      </c>
      <c r="Y60" s="143" t="s">
        <v>387</v>
      </c>
      <c r="Z60" s="143" t="s">
        <v>387</v>
      </c>
      <c r="AA60" s="143">
        <v>2</v>
      </c>
      <c r="AB60" s="143"/>
      <c r="AC60" s="165"/>
      <c r="AD60" s="143"/>
      <c r="AE60" s="143"/>
      <c r="AF60" s="143">
        <v>3</v>
      </c>
      <c r="AG60" s="257"/>
      <c r="AH60" s="519"/>
      <c r="AI60" s="366"/>
      <c r="AJ60" s="366"/>
      <c r="AK60" s="366"/>
      <c r="AL60" s="366"/>
      <c r="AM60" s="366"/>
      <c r="AN60" s="366"/>
    </row>
    <row r="61" spans="1:40" ht="14.15" customHeight="1">
      <c r="B61" s="518"/>
      <c r="C61" s="142" t="s">
        <v>16</v>
      </c>
      <c r="D61" s="142"/>
      <c r="E61" s="142"/>
      <c r="F61" s="142" t="s">
        <v>16</v>
      </c>
      <c r="G61" s="142" t="s">
        <v>16</v>
      </c>
      <c r="H61" s="164"/>
      <c r="I61" s="142"/>
      <c r="J61" s="142" t="s">
        <v>16</v>
      </c>
      <c r="K61" s="142"/>
      <c r="L61" s="142"/>
      <c r="M61" s="142" t="s">
        <v>16</v>
      </c>
      <c r="N61" s="142" t="s">
        <v>16</v>
      </c>
      <c r="O61" s="164"/>
      <c r="P61" s="142"/>
      <c r="Q61" s="142" t="s">
        <v>16</v>
      </c>
      <c r="R61" s="142"/>
      <c r="S61" s="142"/>
      <c r="T61" s="142" t="s">
        <v>16</v>
      </c>
      <c r="U61" s="142" t="s">
        <v>16</v>
      </c>
      <c r="V61" s="164"/>
      <c r="W61" s="142"/>
      <c r="X61" s="142" t="s">
        <v>16</v>
      </c>
      <c r="Y61" s="142"/>
      <c r="Z61" s="142"/>
      <c r="AA61" s="142" t="s">
        <v>16</v>
      </c>
      <c r="AB61" s="142" t="s">
        <v>16</v>
      </c>
      <c r="AC61" s="164"/>
      <c r="AD61" s="142"/>
      <c r="AE61" s="142" t="s">
        <v>16</v>
      </c>
      <c r="AF61" s="142"/>
      <c r="AG61" s="256"/>
      <c r="AH61" s="519"/>
      <c r="AI61" s="366"/>
      <c r="AJ61" s="366"/>
      <c r="AK61" s="366"/>
      <c r="AL61" s="366"/>
      <c r="AM61" s="366"/>
      <c r="AN61" s="366"/>
    </row>
    <row r="62" spans="1:40" ht="14.15" customHeight="1" thickBot="1">
      <c r="B62" s="424"/>
      <c r="C62" s="426">
        <v>4</v>
      </c>
      <c r="D62" s="426"/>
      <c r="E62" s="426"/>
      <c r="F62" s="426">
        <v>2</v>
      </c>
      <c r="G62" s="426" t="s">
        <v>387</v>
      </c>
      <c r="H62" s="427"/>
      <c r="I62" s="426"/>
      <c r="J62" s="426" t="s">
        <v>390</v>
      </c>
      <c r="K62" s="426"/>
      <c r="L62" s="426"/>
      <c r="M62" s="426" t="s">
        <v>387</v>
      </c>
      <c r="N62" s="426" t="s">
        <v>387</v>
      </c>
      <c r="O62" s="427"/>
      <c r="P62" s="426"/>
      <c r="Q62" s="426">
        <v>4</v>
      </c>
      <c r="R62" s="426"/>
      <c r="S62" s="426"/>
      <c r="T62" s="426" t="s">
        <v>387</v>
      </c>
      <c r="U62" s="426" t="s">
        <v>387</v>
      </c>
      <c r="V62" s="427"/>
      <c r="W62" s="426"/>
      <c r="X62" s="426">
        <v>4</v>
      </c>
      <c r="Y62" s="426"/>
      <c r="Z62" s="426"/>
      <c r="AA62" s="426">
        <v>4</v>
      </c>
      <c r="AB62" s="426" t="s">
        <v>387</v>
      </c>
      <c r="AC62" s="427"/>
      <c r="AD62" s="426"/>
      <c r="AE62" s="426" t="s">
        <v>387</v>
      </c>
      <c r="AF62" s="426"/>
      <c r="AG62" s="428"/>
      <c r="AH62" s="425"/>
      <c r="AI62" s="366"/>
      <c r="AJ62" s="366"/>
      <c r="AK62" s="366"/>
      <c r="AL62" s="366"/>
      <c r="AM62" s="366"/>
      <c r="AN62" s="366"/>
    </row>
    <row r="63" spans="1:40" ht="14.15" customHeight="1">
      <c r="B63" s="518"/>
      <c r="C63" s="142" t="s">
        <v>20</v>
      </c>
      <c r="D63" s="142" t="s">
        <v>4</v>
      </c>
      <c r="E63" s="142"/>
      <c r="F63" s="142"/>
      <c r="G63" s="142" t="s">
        <v>20</v>
      </c>
      <c r="H63" s="164"/>
      <c r="I63" s="142"/>
      <c r="J63" s="142" t="s">
        <v>20</v>
      </c>
      <c r="K63" s="142" t="s">
        <v>4</v>
      </c>
      <c r="L63" s="142"/>
      <c r="M63" s="142"/>
      <c r="N63" s="142" t="s">
        <v>20</v>
      </c>
      <c r="O63" s="164"/>
      <c r="P63" s="142"/>
      <c r="Q63" s="142" t="s">
        <v>20</v>
      </c>
      <c r="R63" s="142" t="s">
        <v>4</v>
      </c>
      <c r="S63" s="142"/>
      <c r="T63" s="142"/>
      <c r="U63" s="142" t="s">
        <v>20</v>
      </c>
      <c r="V63" s="164"/>
      <c r="W63" s="142"/>
      <c r="X63" s="142" t="s">
        <v>20</v>
      </c>
      <c r="Y63" s="142" t="s">
        <v>4</v>
      </c>
      <c r="Z63" s="142"/>
      <c r="AA63" s="142"/>
      <c r="AB63" s="142" t="s">
        <v>20</v>
      </c>
      <c r="AC63" s="164"/>
      <c r="AD63" s="142"/>
      <c r="AE63" s="142" t="s">
        <v>20</v>
      </c>
      <c r="AF63" s="142" t="s">
        <v>4</v>
      </c>
      <c r="AG63" s="256"/>
      <c r="AH63" s="519"/>
      <c r="AI63" s="366"/>
      <c r="AJ63" s="366"/>
      <c r="AK63" s="366"/>
      <c r="AL63" s="366"/>
      <c r="AM63" s="366"/>
      <c r="AN63" s="366"/>
    </row>
    <row r="64" spans="1:40" ht="14.15" customHeight="1">
      <c r="B64" s="518" t="s">
        <v>391</v>
      </c>
      <c r="C64" s="143" t="s">
        <v>387</v>
      </c>
      <c r="D64" s="143" t="s">
        <v>388</v>
      </c>
      <c r="E64" s="143"/>
      <c r="F64" s="143"/>
      <c r="G64" s="143" t="s">
        <v>387</v>
      </c>
      <c r="H64" s="165"/>
      <c r="I64" s="143"/>
      <c r="J64" s="143" t="s">
        <v>387</v>
      </c>
      <c r="K64" s="143" t="s">
        <v>388</v>
      </c>
      <c r="L64" s="143"/>
      <c r="M64" s="143"/>
      <c r="N64" s="143" t="s">
        <v>387</v>
      </c>
      <c r="O64" s="165"/>
      <c r="P64" s="143"/>
      <c r="Q64" s="143" t="s">
        <v>387</v>
      </c>
      <c r="R64" s="143" t="s">
        <v>388</v>
      </c>
      <c r="S64" s="143"/>
      <c r="T64" s="143"/>
      <c r="U64" s="143" t="s">
        <v>387</v>
      </c>
      <c r="V64" s="165"/>
      <c r="W64" s="143"/>
      <c r="X64" s="143" t="s">
        <v>387</v>
      </c>
      <c r="Y64" s="143" t="s">
        <v>388</v>
      </c>
      <c r="Z64" s="143"/>
      <c r="AA64" s="143"/>
      <c r="AB64" s="143" t="s">
        <v>387</v>
      </c>
      <c r="AC64" s="165"/>
      <c r="AD64" s="143"/>
      <c r="AE64" s="143">
        <v>3</v>
      </c>
      <c r="AF64" s="143" t="s">
        <v>388</v>
      </c>
      <c r="AG64" s="257"/>
      <c r="AH64" s="519" t="s">
        <v>391</v>
      </c>
      <c r="AI64" s="366"/>
      <c r="AJ64" s="366"/>
      <c r="AK64" s="366"/>
      <c r="AL64" s="366"/>
      <c r="AM64" s="366"/>
      <c r="AN64" s="366"/>
    </row>
    <row r="65" spans="2:40" ht="14.15" customHeight="1">
      <c r="B65" s="518"/>
      <c r="C65" s="142"/>
      <c r="D65" s="142" t="s">
        <v>16</v>
      </c>
      <c r="E65" s="142"/>
      <c r="F65" s="142"/>
      <c r="G65" s="142"/>
      <c r="H65" s="164"/>
      <c r="I65" s="142"/>
      <c r="J65" s="142"/>
      <c r="K65" s="142" t="s">
        <v>16</v>
      </c>
      <c r="L65" s="142"/>
      <c r="M65" s="142" t="s">
        <v>251</v>
      </c>
      <c r="N65" s="142"/>
      <c r="O65" s="164"/>
      <c r="P65" s="142"/>
      <c r="Q65" s="142" t="s">
        <v>30</v>
      </c>
      <c r="R65" s="142" t="s">
        <v>16</v>
      </c>
      <c r="S65" s="142"/>
      <c r="T65" s="142"/>
      <c r="U65" s="142"/>
      <c r="V65" s="164"/>
      <c r="W65" s="142"/>
      <c r="X65" s="142"/>
      <c r="Y65" s="142" t="s">
        <v>16</v>
      </c>
      <c r="Z65" s="142"/>
      <c r="AA65" s="142"/>
      <c r="AB65" s="142"/>
      <c r="AC65" s="164"/>
      <c r="AD65" s="142"/>
      <c r="AE65" s="142"/>
      <c r="AF65" s="142" t="s">
        <v>16</v>
      </c>
      <c r="AG65" s="256"/>
      <c r="AH65" s="519"/>
      <c r="AI65" s="366"/>
      <c r="AJ65" s="366"/>
      <c r="AK65" s="366"/>
      <c r="AL65" s="366"/>
      <c r="AM65" s="366"/>
      <c r="AN65" s="366"/>
    </row>
    <row r="66" spans="2:40" ht="14.15" customHeight="1">
      <c r="B66" s="518"/>
      <c r="C66" s="143"/>
      <c r="D66" s="143" t="s">
        <v>387</v>
      </c>
      <c r="E66" s="143"/>
      <c r="F66" s="143"/>
      <c r="G66" s="143"/>
      <c r="H66" s="165"/>
      <c r="I66" s="143"/>
      <c r="J66" s="143"/>
      <c r="K66" s="143" t="s">
        <v>387</v>
      </c>
      <c r="L66" s="143"/>
      <c r="M66" s="143">
        <v>2</v>
      </c>
      <c r="N66" s="143"/>
      <c r="O66" s="165"/>
      <c r="P66" s="143"/>
      <c r="Q66" s="143">
        <v>4</v>
      </c>
      <c r="R66" s="143" t="s">
        <v>387</v>
      </c>
      <c r="S66" s="143"/>
      <c r="T66" s="143"/>
      <c r="U66" s="143"/>
      <c r="V66" s="165"/>
      <c r="W66" s="143"/>
      <c r="X66" s="143"/>
      <c r="Y66" s="143" t="s">
        <v>387</v>
      </c>
      <c r="Z66" s="143"/>
      <c r="AA66" s="143"/>
      <c r="AB66" s="143"/>
      <c r="AC66" s="165"/>
      <c r="AD66" s="143"/>
      <c r="AE66" s="143"/>
      <c r="AF66" s="143" t="s">
        <v>387</v>
      </c>
      <c r="AG66" s="257"/>
      <c r="AH66" s="519"/>
      <c r="AI66" s="366"/>
      <c r="AJ66" s="366"/>
      <c r="AK66" s="366"/>
      <c r="AL66" s="366"/>
      <c r="AM66" s="366"/>
      <c r="AN66" s="366"/>
    </row>
    <row r="67" spans="2:40" ht="14.15" customHeight="1">
      <c r="B67" s="518"/>
      <c r="C67" s="142"/>
      <c r="D67" s="142"/>
      <c r="E67" s="142"/>
      <c r="F67" s="142"/>
      <c r="G67" s="142"/>
      <c r="H67" s="164"/>
      <c r="I67" s="142"/>
      <c r="J67" s="142"/>
      <c r="K67" s="142"/>
      <c r="L67" s="142"/>
      <c r="M67" s="142"/>
      <c r="N67" s="142"/>
      <c r="O67" s="164"/>
      <c r="P67" s="142"/>
      <c r="Q67" s="142"/>
      <c r="R67" s="142"/>
      <c r="S67" s="142"/>
      <c r="T67" s="142"/>
      <c r="U67" s="142"/>
      <c r="V67" s="164"/>
      <c r="W67" s="142"/>
      <c r="X67" s="142"/>
      <c r="Y67" s="142"/>
      <c r="Z67" s="142"/>
      <c r="AA67" s="142"/>
      <c r="AB67" s="142"/>
      <c r="AC67" s="164"/>
      <c r="AD67" s="142"/>
      <c r="AE67" s="142"/>
      <c r="AF67" s="142" t="s">
        <v>30</v>
      </c>
      <c r="AG67" s="256"/>
      <c r="AH67" s="519"/>
      <c r="AI67" s="366"/>
      <c r="AJ67" s="366"/>
      <c r="AK67" s="366"/>
      <c r="AL67" s="366"/>
      <c r="AM67" s="366"/>
      <c r="AN67" s="366"/>
    </row>
    <row r="68" spans="2:40" ht="14.15" customHeight="1" thickBot="1">
      <c r="B68" s="424"/>
      <c r="C68" s="426"/>
      <c r="D68" s="426"/>
      <c r="E68" s="426"/>
      <c r="F68" s="426"/>
      <c r="G68" s="426"/>
      <c r="H68" s="427"/>
      <c r="I68" s="426"/>
      <c r="J68" s="426"/>
      <c r="K68" s="426"/>
      <c r="L68" s="426"/>
      <c r="M68" s="426"/>
      <c r="N68" s="426"/>
      <c r="O68" s="427"/>
      <c r="P68" s="426"/>
      <c r="Q68" s="426"/>
      <c r="R68" s="426"/>
      <c r="S68" s="426"/>
      <c r="T68" s="426"/>
      <c r="U68" s="426"/>
      <c r="V68" s="427"/>
      <c r="W68" s="426"/>
      <c r="X68" s="426"/>
      <c r="Y68" s="426"/>
      <c r="Z68" s="426"/>
      <c r="AA68" s="426"/>
      <c r="AB68" s="426"/>
      <c r="AC68" s="427"/>
      <c r="AD68" s="426"/>
      <c r="AE68" s="426"/>
      <c r="AF68" s="426">
        <v>5</v>
      </c>
      <c r="AG68" s="428"/>
      <c r="AH68" s="425"/>
      <c r="AI68" s="366"/>
      <c r="AJ68" s="366"/>
      <c r="AK68" s="366"/>
      <c r="AL68" s="366"/>
      <c r="AM68" s="366"/>
      <c r="AN68" s="366"/>
    </row>
    <row r="69" spans="2:40" ht="14.15" customHeight="1">
      <c r="B69" s="518"/>
      <c r="C69" s="142"/>
      <c r="D69" s="142"/>
      <c r="E69" s="142" t="s">
        <v>4</v>
      </c>
      <c r="F69" s="142" t="s">
        <v>20</v>
      </c>
      <c r="G69" s="142"/>
      <c r="H69" s="164"/>
      <c r="I69" s="142"/>
      <c r="J69" s="142"/>
      <c r="K69" s="142"/>
      <c r="L69" s="142" t="s">
        <v>4</v>
      </c>
      <c r="M69" s="142" t="s">
        <v>20</v>
      </c>
      <c r="N69" s="142"/>
      <c r="O69" s="164" t="s">
        <v>19</v>
      </c>
      <c r="P69" s="142"/>
      <c r="Q69" s="142"/>
      <c r="R69" s="142"/>
      <c r="S69" s="142" t="s">
        <v>4</v>
      </c>
      <c r="T69" s="142" t="s">
        <v>20</v>
      </c>
      <c r="U69" s="142"/>
      <c r="V69" s="164"/>
      <c r="W69" s="142"/>
      <c r="X69" s="142"/>
      <c r="Y69" s="142"/>
      <c r="Z69" s="142" t="s">
        <v>4</v>
      </c>
      <c r="AA69" s="142" t="s">
        <v>20</v>
      </c>
      <c r="AB69" s="142"/>
      <c r="AC69" s="164" t="s">
        <v>19</v>
      </c>
      <c r="AD69" s="142"/>
      <c r="AE69" s="142"/>
      <c r="AF69" s="142"/>
      <c r="AG69" s="256"/>
      <c r="AH69" s="519"/>
      <c r="AI69" s="366"/>
      <c r="AJ69" s="366"/>
      <c r="AK69" s="366"/>
      <c r="AL69" s="366"/>
      <c r="AM69" s="366"/>
      <c r="AN69" s="366"/>
    </row>
    <row r="70" spans="2:40" ht="14.15" customHeight="1">
      <c r="B70" s="518" t="s">
        <v>392</v>
      </c>
      <c r="C70" s="143"/>
      <c r="D70" s="143"/>
      <c r="E70" s="143" t="s">
        <v>388</v>
      </c>
      <c r="F70" s="143" t="s">
        <v>387</v>
      </c>
      <c r="G70" s="143"/>
      <c r="H70" s="165"/>
      <c r="I70" s="143"/>
      <c r="J70" s="143"/>
      <c r="K70" s="143"/>
      <c r="L70" s="143" t="s">
        <v>388</v>
      </c>
      <c r="M70" s="271" t="s">
        <v>387</v>
      </c>
      <c r="N70" s="143"/>
      <c r="O70" s="165" t="s">
        <v>388</v>
      </c>
      <c r="P70" s="143"/>
      <c r="Q70" s="143"/>
      <c r="R70" s="143"/>
      <c r="S70" s="143" t="s">
        <v>388</v>
      </c>
      <c r="T70" s="143" t="s">
        <v>387</v>
      </c>
      <c r="U70" s="143"/>
      <c r="V70" s="165"/>
      <c r="W70" s="143"/>
      <c r="X70" s="143"/>
      <c r="Y70" s="143"/>
      <c r="Z70" s="143" t="s">
        <v>388</v>
      </c>
      <c r="AA70" s="143" t="s">
        <v>387</v>
      </c>
      <c r="AB70" s="143"/>
      <c r="AC70" s="165" t="s">
        <v>388</v>
      </c>
      <c r="AD70" s="143"/>
      <c r="AE70" s="143"/>
      <c r="AF70" s="143"/>
      <c r="AG70" s="257"/>
      <c r="AH70" s="519" t="s">
        <v>392</v>
      </c>
      <c r="AI70" s="366"/>
      <c r="AJ70" s="366"/>
      <c r="AK70" s="366"/>
      <c r="AL70" s="366"/>
      <c r="AM70" s="366"/>
      <c r="AN70" s="366"/>
    </row>
    <row r="71" spans="2:40" ht="14.15" customHeight="1">
      <c r="B71" s="518"/>
      <c r="C71" s="142"/>
      <c r="D71" s="142"/>
      <c r="E71" s="142" t="s">
        <v>16</v>
      </c>
      <c r="F71" s="142"/>
      <c r="G71" s="142"/>
      <c r="H71" s="164"/>
      <c r="I71" s="142"/>
      <c r="J71" s="142"/>
      <c r="K71" s="142"/>
      <c r="L71" s="142" t="s">
        <v>16</v>
      </c>
      <c r="M71" s="142"/>
      <c r="N71" s="142"/>
      <c r="O71" s="164"/>
      <c r="P71" s="142"/>
      <c r="Q71" s="142"/>
      <c r="R71" s="142"/>
      <c r="S71" s="142" t="s">
        <v>16</v>
      </c>
      <c r="T71" s="142" t="s">
        <v>251</v>
      </c>
      <c r="U71" s="142"/>
      <c r="V71" s="164"/>
      <c r="W71" s="142"/>
      <c r="X71" s="142"/>
      <c r="Y71" s="142"/>
      <c r="Z71" s="142" t="s">
        <v>16</v>
      </c>
      <c r="AA71" s="142"/>
      <c r="AB71" s="142"/>
      <c r="AC71" s="164"/>
      <c r="AD71" s="142"/>
      <c r="AE71" s="142"/>
      <c r="AF71" s="142"/>
      <c r="AG71" s="256"/>
      <c r="AH71" s="519"/>
      <c r="AI71" s="366"/>
      <c r="AJ71" s="366"/>
      <c r="AK71" s="366"/>
      <c r="AL71" s="366"/>
      <c r="AM71" s="366"/>
      <c r="AN71" s="366"/>
    </row>
    <row r="72" spans="2:40" ht="14.15" customHeight="1">
      <c r="B72" s="518"/>
      <c r="C72" s="143"/>
      <c r="D72" s="143"/>
      <c r="E72" s="143" t="s">
        <v>387</v>
      </c>
      <c r="F72" s="143"/>
      <c r="G72" s="143"/>
      <c r="H72" s="165"/>
      <c r="I72" s="143"/>
      <c r="J72" s="143"/>
      <c r="K72" s="143"/>
      <c r="L72" s="143" t="s">
        <v>387</v>
      </c>
      <c r="M72" s="143"/>
      <c r="N72" s="143"/>
      <c r="O72" s="165"/>
      <c r="P72" s="143"/>
      <c r="Q72" s="143"/>
      <c r="R72" s="143"/>
      <c r="S72" s="143" t="s">
        <v>387</v>
      </c>
      <c r="T72" s="143">
        <v>2</v>
      </c>
      <c r="U72" s="143"/>
      <c r="V72" s="165"/>
      <c r="W72" s="143"/>
      <c r="X72" s="143"/>
      <c r="Y72" s="143"/>
      <c r="Z72" s="143" t="s">
        <v>387</v>
      </c>
      <c r="AA72" s="143"/>
      <c r="AB72" s="143"/>
      <c r="AC72" s="165"/>
      <c r="AD72" s="143"/>
      <c r="AE72" s="143"/>
      <c r="AF72" s="143"/>
      <c r="AG72" s="257"/>
      <c r="AH72" s="519"/>
      <c r="AI72" s="366"/>
      <c r="AJ72" s="366"/>
      <c r="AK72" s="366"/>
      <c r="AL72" s="366"/>
      <c r="AM72" s="366"/>
      <c r="AN72" s="366"/>
    </row>
    <row r="73" spans="2:40" ht="14.15" customHeight="1">
      <c r="B73" s="518"/>
      <c r="C73" s="142"/>
      <c r="D73" s="142"/>
      <c r="E73" s="142"/>
      <c r="F73" s="142"/>
      <c r="G73" s="142"/>
      <c r="H73" s="164"/>
      <c r="I73" s="142"/>
      <c r="J73" s="142"/>
      <c r="K73" s="142"/>
      <c r="L73" s="142"/>
      <c r="M73" s="142"/>
      <c r="N73" s="142"/>
      <c r="O73" s="164"/>
      <c r="P73" s="142"/>
      <c r="Q73" s="142"/>
      <c r="R73" s="142"/>
      <c r="S73" s="142"/>
      <c r="T73" s="142"/>
      <c r="U73" s="142"/>
      <c r="V73" s="164"/>
      <c r="W73" s="142"/>
      <c r="X73" s="142"/>
      <c r="Y73" s="142"/>
      <c r="Z73" s="142"/>
      <c r="AA73" s="142"/>
      <c r="AB73" s="142"/>
      <c r="AC73" s="164"/>
      <c r="AD73" s="142"/>
      <c r="AE73" s="142"/>
      <c r="AF73" s="142"/>
      <c r="AG73" s="256"/>
      <c r="AH73" s="519"/>
      <c r="AI73" s="366"/>
      <c r="AJ73" s="366"/>
      <c r="AK73" s="366"/>
      <c r="AL73" s="366"/>
      <c r="AM73" s="366"/>
      <c r="AN73" s="366"/>
    </row>
    <row r="74" spans="2:40" ht="14.15" customHeight="1" thickBot="1">
      <c r="B74" s="424"/>
      <c r="C74" s="426"/>
      <c r="D74" s="426"/>
      <c r="E74" s="426"/>
      <c r="F74" s="426"/>
      <c r="G74" s="426"/>
      <c r="H74" s="427"/>
      <c r="I74" s="426"/>
      <c r="J74" s="426"/>
      <c r="K74" s="426"/>
      <c r="L74" s="426"/>
      <c r="M74" s="426"/>
      <c r="N74" s="426"/>
      <c r="O74" s="427"/>
      <c r="P74" s="426"/>
      <c r="Q74" s="426"/>
      <c r="R74" s="426"/>
      <c r="S74" s="426"/>
      <c r="T74" s="426"/>
      <c r="U74" s="426"/>
      <c r="V74" s="427"/>
      <c r="W74" s="426"/>
      <c r="X74" s="426"/>
      <c r="Y74" s="426"/>
      <c r="Z74" s="426"/>
      <c r="AA74" s="426"/>
      <c r="AB74" s="426"/>
      <c r="AC74" s="427"/>
      <c r="AD74" s="426"/>
      <c r="AE74" s="426"/>
      <c r="AF74" s="426"/>
      <c r="AG74" s="428"/>
      <c r="AH74" s="425"/>
      <c r="AI74" s="366"/>
      <c r="AJ74" s="366"/>
      <c r="AK74" s="366"/>
      <c r="AL74" s="366"/>
      <c r="AM74" s="366"/>
      <c r="AN74" s="366"/>
    </row>
    <row r="75" spans="2:40" ht="14.15" customHeight="1">
      <c r="B75" s="518"/>
      <c r="C75" s="144"/>
      <c r="D75" s="144"/>
      <c r="E75" s="144"/>
      <c r="F75" s="144"/>
      <c r="G75" s="144"/>
      <c r="H75" s="166"/>
      <c r="I75" s="144"/>
      <c r="J75" s="144"/>
      <c r="K75" s="144"/>
      <c r="L75" s="144"/>
      <c r="M75" s="144"/>
      <c r="N75" s="144"/>
      <c r="O75" s="166"/>
      <c r="P75" s="144"/>
      <c r="Q75" s="144"/>
      <c r="R75" s="144"/>
      <c r="S75" s="144"/>
      <c r="T75" s="144"/>
      <c r="U75" s="144"/>
      <c r="V75" s="166"/>
      <c r="W75" s="144"/>
      <c r="X75" s="144"/>
      <c r="Y75" s="144"/>
      <c r="Z75" s="144"/>
      <c r="AA75" s="144"/>
      <c r="AB75" s="144"/>
      <c r="AC75" s="166"/>
      <c r="AD75" s="144"/>
      <c r="AE75" s="144"/>
      <c r="AF75" s="144"/>
      <c r="AG75" s="258"/>
      <c r="AH75" s="519"/>
      <c r="AI75" s="366"/>
      <c r="AJ75" s="366"/>
      <c r="AK75" s="366"/>
      <c r="AL75" s="366"/>
      <c r="AM75" s="366"/>
      <c r="AN75" s="366"/>
    </row>
    <row r="76" spans="2:40" ht="14.15" customHeight="1">
      <c r="B76" s="518" t="s">
        <v>58</v>
      </c>
      <c r="C76" s="142"/>
      <c r="D76" s="142"/>
      <c r="E76" s="142"/>
      <c r="F76" s="142"/>
      <c r="G76" s="142"/>
      <c r="H76" s="164"/>
      <c r="I76" s="142"/>
      <c r="J76" s="142"/>
      <c r="K76" s="142"/>
      <c r="L76" s="142"/>
      <c r="M76" s="142"/>
      <c r="N76" s="142"/>
      <c r="O76" s="164"/>
      <c r="P76" s="142"/>
      <c r="Q76" s="142"/>
      <c r="R76" s="142"/>
      <c r="S76" s="142"/>
      <c r="T76" s="142"/>
      <c r="U76" s="142"/>
      <c r="V76" s="164"/>
      <c r="W76" s="142"/>
      <c r="X76" s="142"/>
      <c r="Y76" s="142"/>
      <c r="Z76" s="142"/>
      <c r="AA76" s="142"/>
      <c r="AB76" s="142"/>
      <c r="AC76" s="164"/>
      <c r="AD76" s="142"/>
      <c r="AE76" s="142"/>
      <c r="AF76" s="142"/>
      <c r="AG76" s="256"/>
      <c r="AH76" s="519" t="s">
        <v>58</v>
      </c>
      <c r="AI76" s="366"/>
      <c r="AJ76" s="366"/>
      <c r="AK76" s="366"/>
      <c r="AL76" s="366"/>
      <c r="AM76" s="366"/>
      <c r="AN76" s="366"/>
    </row>
    <row r="77" spans="2:40" ht="14.15" customHeight="1" thickBot="1">
      <c r="B77" s="372"/>
      <c r="C77" s="146"/>
      <c r="D77" s="146"/>
      <c r="E77" s="146"/>
      <c r="F77" s="146"/>
      <c r="G77" s="146"/>
      <c r="H77" s="167"/>
      <c r="I77" s="379"/>
      <c r="J77" s="379"/>
      <c r="K77" s="146"/>
      <c r="L77" s="146"/>
      <c r="M77" s="146"/>
      <c r="N77" s="146"/>
      <c r="O77" s="380"/>
      <c r="P77" s="146"/>
      <c r="Q77" s="146"/>
      <c r="R77" s="146"/>
      <c r="S77" s="146"/>
      <c r="T77" s="146"/>
      <c r="U77" s="146"/>
      <c r="V77" s="167"/>
      <c r="W77" s="379"/>
      <c r="X77" s="146"/>
      <c r="Y77" s="146"/>
      <c r="Z77" s="146"/>
      <c r="AA77" s="146"/>
      <c r="AB77" s="146"/>
      <c r="AC77" s="167"/>
      <c r="AD77" s="146"/>
      <c r="AE77" s="146"/>
      <c r="AF77" s="146"/>
      <c r="AG77" s="259"/>
      <c r="AH77" s="371"/>
      <c r="AI77" s="366"/>
      <c r="AJ77" s="366"/>
      <c r="AK77" s="366"/>
      <c r="AL77" s="366"/>
      <c r="AM77" s="366"/>
      <c r="AN77" s="366"/>
    </row>
    <row r="78" spans="2:40" ht="14.15" customHeight="1" thickTop="1">
      <c r="C78" s="368"/>
      <c r="D78" s="368"/>
      <c r="E78" s="368"/>
      <c r="F78" s="368"/>
      <c r="G78" s="368"/>
      <c r="H78" s="368"/>
      <c r="I78" s="368"/>
      <c r="J78" s="368"/>
      <c r="K78" s="368"/>
      <c r="L78" s="368"/>
      <c r="M78" s="368"/>
      <c r="N78" s="368"/>
      <c r="O78" s="368"/>
      <c r="P78" s="368"/>
      <c r="Q78" s="368"/>
      <c r="R78" s="368"/>
      <c r="S78" s="368"/>
      <c r="T78" s="368"/>
      <c r="U78" s="368"/>
      <c r="V78" s="368"/>
      <c r="W78" s="368"/>
      <c r="X78" s="368"/>
      <c r="Y78" s="368"/>
      <c r="Z78" s="368"/>
      <c r="AA78" s="368"/>
      <c r="AB78" s="369"/>
      <c r="AC78" s="369"/>
      <c r="AD78" s="369"/>
      <c r="AE78" s="368"/>
      <c r="AF78" s="368"/>
      <c r="AG78" s="368"/>
      <c r="AI78" s="366"/>
      <c r="AJ78" s="366"/>
      <c r="AK78" s="366"/>
      <c r="AL78" s="366"/>
      <c r="AM78" s="366"/>
      <c r="AN78" s="366"/>
    </row>
    <row r="79" spans="2:40" ht="14.15" customHeight="1">
      <c r="C79" s="368"/>
      <c r="D79" s="368"/>
      <c r="E79" s="368"/>
      <c r="F79" s="368"/>
      <c r="G79" s="368"/>
      <c r="H79" s="368"/>
      <c r="I79" s="368"/>
      <c r="J79" s="368"/>
      <c r="K79" s="368"/>
      <c r="L79" s="368"/>
      <c r="M79" s="368"/>
      <c r="N79" s="368"/>
      <c r="O79" s="368"/>
      <c r="P79" s="368"/>
      <c r="Q79" s="368"/>
      <c r="R79" s="368"/>
      <c r="S79" s="368"/>
      <c r="T79" s="368"/>
      <c r="U79" s="368"/>
      <c r="V79" s="368"/>
      <c r="W79" s="368"/>
      <c r="X79" s="368"/>
      <c r="Y79" s="368"/>
      <c r="Z79" s="368"/>
      <c r="AA79" s="368"/>
      <c r="AB79" s="368"/>
      <c r="AC79" s="368"/>
      <c r="AD79" s="368"/>
      <c r="AE79" s="368"/>
      <c r="AF79" s="368"/>
      <c r="AG79" s="368"/>
      <c r="AI79" s="366"/>
      <c r="AJ79" s="366"/>
      <c r="AK79" s="366"/>
      <c r="AL79" s="366"/>
      <c r="AM79" s="366"/>
      <c r="AN79" s="366"/>
    </row>
    <row r="80" spans="2:40" ht="14.15" customHeight="1">
      <c r="C80" s="367"/>
      <c r="D80" s="367"/>
      <c r="E80" s="367"/>
      <c r="F80" s="367"/>
      <c r="G80" s="367"/>
      <c r="H80" s="367"/>
      <c r="I80" s="367"/>
      <c r="J80" s="367"/>
      <c r="K80" s="26"/>
      <c r="L80" s="367"/>
      <c r="M80" s="367"/>
      <c r="N80" s="367"/>
      <c r="O80" s="367"/>
      <c r="P80" s="367"/>
      <c r="Q80" s="367"/>
      <c r="R80" s="367"/>
      <c r="S80" s="367"/>
      <c r="T80" s="367"/>
      <c r="U80" s="367"/>
      <c r="V80" s="367"/>
      <c r="W80" s="367"/>
      <c r="X80" s="367"/>
      <c r="Y80" s="26"/>
      <c r="Z80" s="26"/>
      <c r="AA80" s="367"/>
      <c r="AB80" s="367"/>
      <c r="AC80" s="367"/>
      <c r="AD80" s="367"/>
      <c r="AE80" s="367"/>
      <c r="AF80" s="367"/>
      <c r="AG80" s="367"/>
    </row>
    <row r="81" spans="3:33" ht="14.15" customHeight="1">
      <c r="C81" s="367"/>
      <c r="D81" s="367"/>
      <c r="E81" s="367"/>
      <c r="F81" s="367"/>
      <c r="G81" s="367"/>
      <c r="H81" s="367"/>
      <c r="I81" s="367"/>
      <c r="J81" s="367"/>
      <c r="K81" s="367"/>
      <c r="L81" s="367"/>
      <c r="M81" s="367"/>
      <c r="N81" s="367"/>
      <c r="O81" s="367"/>
      <c r="P81" s="367"/>
      <c r="Q81" s="367"/>
      <c r="R81" s="367"/>
      <c r="S81" s="367"/>
      <c r="T81" s="367"/>
      <c r="U81" s="367"/>
      <c r="V81" s="367"/>
      <c r="W81" s="367"/>
      <c r="X81" s="367"/>
      <c r="Y81" s="367"/>
      <c r="Z81" s="367"/>
      <c r="AA81" s="367"/>
      <c r="AB81" s="367"/>
      <c r="AC81" s="367"/>
      <c r="AD81" s="367"/>
      <c r="AE81" s="367"/>
      <c r="AF81" s="367"/>
      <c r="AG81" s="367"/>
    </row>
    <row r="82" spans="3:33" ht="14.15" customHeight="1">
      <c r="C82" s="367"/>
      <c r="D82" s="367"/>
      <c r="E82" s="367"/>
      <c r="F82" s="367"/>
      <c r="G82" s="367"/>
      <c r="H82" s="367"/>
      <c r="I82" s="367"/>
      <c r="J82" s="367"/>
      <c r="K82" s="367"/>
      <c r="L82" s="367"/>
      <c r="M82" s="367"/>
      <c r="N82" s="367"/>
      <c r="O82" s="367"/>
      <c r="P82" s="367"/>
      <c r="Q82" s="367"/>
      <c r="R82" s="367"/>
      <c r="S82" s="367"/>
      <c r="T82" s="367"/>
      <c r="U82" s="367"/>
      <c r="V82" s="367"/>
      <c r="W82" s="367"/>
      <c r="X82" s="367"/>
      <c r="Y82" s="367"/>
      <c r="Z82" s="367"/>
      <c r="AA82" s="367"/>
      <c r="AB82" s="367"/>
      <c r="AC82" s="367"/>
      <c r="AD82" s="367"/>
      <c r="AE82" s="367"/>
      <c r="AF82" s="367"/>
      <c r="AG82" s="367"/>
    </row>
  </sheetData>
  <sheetProtection sheet="1" objects="1" scenarios="1"/>
  <mergeCells count="10">
    <mergeCell ref="B22:B23"/>
    <mergeCell ref="AH14:AH15"/>
    <mergeCell ref="AH16:AH17"/>
    <mergeCell ref="AH18:AH19"/>
    <mergeCell ref="AH20:AH21"/>
    <mergeCell ref="AH22:AH23"/>
    <mergeCell ref="B14:B15"/>
    <mergeCell ref="B16:B17"/>
    <mergeCell ref="B18:B19"/>
    <mergeCell ref="B20:B21"/>
  </mergeCells>
  <phoneticPr fontId="7"/>
  <printOptions horizontalCentered="1"/>
  <pageMargins left="0.39370078740157483" right="0.19685039370078741" top="0.22" bottom="0.18" header="0.33" footer="0.39370078740157483"/>
  <pageSetup paperSize="8" scale="81" orientation="landscape" blackAndWhite="1" horizontalDpi="300" verticalDpi="300" r:id="rId1"/>
  <headerFooter alignWithMargins="0">
    <oddHeader>&amp;R&amp;"Osaka,標準"&amp;D　&amp;T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Line="0" autoPict="0" macro="[0]!映像罫線2">
                <anchor moveWithCells="1" sizeWithCells="1">
                  <from>
                    <xdr:col>1</xdr:col>
                    <xdr:colOff>76200</xdr:colOff>
                    <xdr:row>0</xdr:row>
                    <xdr:rowOff>38100</xdr:rowOff>
                  </from>
                  <to>
                    <xdr:col>1</xdr:col>
                    <xdr:colOff>533400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A2:AN72"/>
  <sheetViews>
    <sheetView zoomScale="90" zoomScaleNormal="70" workbookViewId="0">
      <pane xSplit="2" ySplit="4" topLeftCell="F18" activePane="bottomRight" state="frozen"/>
      <selection pane="topRight"/>
      <selection pane="bottomLeft"/>
      <selection pane="bottomRight" activeCell="AA35" sqref="AA35"/>
    </sheetView>
  </sheetViews>
  <sheetFormatPr defaultColWidth="9" defaultRowHeight="15" customHeight="1"/>
  <cols>
    <col min="1" max="1" width="2.453125" style="347" customWidth="1"/>
    <col min="2" max="2" width="11.453125" style="347" bestFit="1" customWidth="1"/>
    <col min="3" max="33" width="6.453125" style="347" customWidth="1"/>
    <col min="34" max="34" width="8.453125" style="347" bestFit="1" customWidth="1"/>
    <col min="35" max="35" width="2.453125" style="347" customWidth="1"/>
    <col min="36" max="38" width="5.453125" style="347" customWidth="1"/>
    <col min="39" max="39" width="7.453125" style="347" customWidth="1"/>
    <col min="40" max="40" width="2.453125" style="347" customWidth="1"/>
    <col min="41" max="16384" width="9" style="347"/>
  </cols>
  <sheetData>
    <row r="2" spans="2:40" ht="15" customHeight="1" thickBot="1"/>
    <row r="3" spans="2:40" ht="15" customHeight="1" thickTop="1">
      <c r="B3" s="348" t="str">
        <f>月間設定!C1&amp;"年"</f>
        <v>2026年</v>
      </c>
      <c r="C3" s="352">
        <v>1</v>
      </c>
      <c r="D3" s="352">
        <v>2</v>
      </c>
      <c r="E3" s="352">
        <v>3</v>
      </c>
      <c r="F3" s="352">
        <v>4</v>
      </c>
      <c r="G3" s="352">
        <v>5</v>
      </c>
      <c r="H3" s="353">
        <v>6</v>
      </c>
      <c r="I3" s="352">
        <v>7</v>
      </c>
      <c r="J3" s="352">
        <v>8</v>
      </c>
      <c r="K3" s="352">
        <v>9</v>
      </c>
      <c r="L3" s="352">
        <v>10</v>
      </c>
      <c r="M3" s="352">
        <v>11</v>
      </c>
      <c r="N3" s="352">
        <v>12</v>
      </c>
      <c r="O3" s="353">
        <v>13</v>
      </c>
      <c r="P3" s="352">
        <v>14</v>
      </c>
      <c r="Q3" s="352">
        <v>15</v>
      </c>
      <c r="R3" s="352">
        <v>16</v>
      </c>
      <c r="S3" s="352">
        <v>17</v>
      </c>
      <c r="T3" s="352">
        <v>18</v>
      </c>
      <c r="U3" s="352">
        <v>19</v>
      </c>
      <c r="V3" s="353">
        <v>20</v>
      </c>
      <c r="W3" s="352">
        <v>21</v>
      </c>
      <c r="X3" s="352">
        <v>22</v>
      </c>
      <c r="Y3" s="352">
        <v>23</v>
      </c>
      <c r="Z3" s="352">
        <v>24</v>
      </c>
      <c r="AA3" s="352">
        <v>25</v>
      </c>
      <c r="AB3" s="352">
        <v>26</v>
      </c>
      <c r="AC3" s="353">
        <v>27</v>
      </c>
      <c r="AD3" s="352">
        <v>28</v>
      </c>
      <c r="AE3" s="352">
        <f>月間設定!AE3</f>
        <v>29</v>
      </c>
      <c r="AF3" s="352">
        <f>月間設定!AF3</f>
        <v>30</v>
      </c>
      <c r="AG3" s="354" t="str">
        <f>月間設定!AG3</f>
        <v/>
      </c>
      <c r="AH3" s="370" t="s">
        <v>17</v>
      </c>
      <c r="AI3" s="366"/>
      <c r="AJ3" s="366"/>
      <c r="AK3" s="366"/>
      <c r="AL3" s="366"/>
      <c r="AM3" s="366"/>
      <c r="AN3" s="366"/>
    </row>
    <row r="4" spans="2:40" ht="15" customHeight="1" thickBot="1">
      <c r="B4" s="459" t="str">
        <f>月間設定!E1&amp;"月"</f>
        <v>6月</v>
      </c>
      <c r="C4" s="460">
        <f>月間設定!C4</f>
        <v>2</v>
      </c>
      <c r="D4" s="460">
        <f>月間設定!D4</f>
        <v>3</v>
      </c>
      <c r="E4" s="460">
        <f>月間設定!E4</f>
        <v>4</v>
      </c>
      <c r="F4" s="460">
        <f>月間設定!F4</f>
        <v>5</v>
      </c>
      <c r="G4" s="460">
        <f>月間設定!G4</f>
        <v>6</v>
      </c>
      <c r="H4" s="461">
        <f>月間設定!H4</f>
        <v>7</v>
      </c>
      <c r="I4" s="460">
        <f>月間設定!I4</f>
        <v>1</v>
      </c>
      <c r="J4" s="460">
        <f>月間設定!J4</f>
        <v>2</v>
      </c>
      <c r="K4" s="460">
        <f>月間設定!K4</f>
        <v>3</v>
      </c>
      <c r="L4" s="460">
        <f>月間設定!L4</f>
        <v>4</v>
      </c>
      <c r="M4" s="460">
        <f>月間設定!M4</f>
        <v>5</v>
      </c>
      <c r="N4" s="460">
        <f>月間設定!N4</f>
        <v>6</v>
      </c>
      <c r="O4" s="461">
        <f>月間設定!O4</f>
        <v>7</v>
      </c>
      <c r="P4" s="460">
        <f>月間設定!P4</f>
        <v>1</v>
      </c>
      <c r="Q4" s="460">
        <f>月間設定!Q4</f>
        <v>2</v>
      </c>
      <c r="R4" s="460">
        <f>月間設定!R4</f>
        <v>3</v>
      </c>
      <c r="S4" s="460">
        <f>月間設定!S4</f>
        <v>4</v>
      </c>
      <c r="T4" s="460">
        <f>月間設定!T4</f>
        <v>5</v>
      </c>
      <c r="U4" s="460">
        <f>月間設定!U4</f>
        <v>6</v>
      </c>
      <c r="V4" s="461">
        <f>月間設定!V4</f>
        <v>7</v>
      </c>
      <c r="W4" s="460">
        <f>月間設定!W4</f>
        <v>1</v>
      </c>
      <c r="X4" s="460">
        <f>月間設定!X4</f>
        <v>2</v>
      </c>
      <c r="Y4" s="460">
        <f>月間設定!Y4</f>
        <v>3</v>
      </c>
      <c r="Z4" s="460">
        <f>月間設定!Z4</f>
        <v>4</v>
      </c>
      <c r="AA4" s="460">
        <f>月間設定!AA4</f>
        <v>5</v>
      </c>
      <c r="AB4" s="460">
        <f>月間設定!AB4</f>
        <v>6</v>
      </c>
      <c r="AC4" s="461">
        <f>月間設定!AC4</f>
        <v>7</v>
      </c>
      <c r="AD4" s="460">
        <f>月間設定!AD4</f>
        <v>1</v>
      </c>
      <c r="AE4" s="460">
        <f>月間設定!AE4</f>
        <v>2</v>
      </c>
      <c r="AF4" s="460">
        <f>月間設定!AF4</f>
        <v>3</v>
      </c>
      <c r="AG4" s="462" t="str">
        <f>月間設定!AG4</f>
        <v/>
      </c>
      <c r="AH4" s="463" t="str">
        <f>月間設定!I1&amp;"日"</f>
        <v>8日</v>
      </c>
      <c r="AI4" s="366"/>
      <c r="AJ4" s="366"/>
      <c r="AK4" s="366"/>
      <c r="AL4" s="366"/>
      <c r="AM4" s="366"/>
      <c r="AN4" s="366"/>
    </row>
    <row r="5" spans="2:40" ht="14.15" customHeight="1">
      <c r="B5" s="23"/>
      <c r="C5" s="349" t="s">
        <v>350</v>
      </c>
      <c r="D5" s="349" t="s">
        <v>350</v>
      </c>
      <c r="E5" s="349" t="s">
        <v>350</v>
      </c>
      <c r="F5" s="349" t="s">
        <v>350</v>
      </c>
      <c r="G5" s="349" t="s">
        <v>350</v>
      </c>
      <c r="H5" s="350"/>
      <c r="I5" s="349"/>
      <c r="J5" s="349" t="s">
        <v>350</v>
      </c>
      <c r="K5" s="349" t="s">
        <v>350</v>
      </c>
      <c r="L5" s="349" t="s">
        <v>350</v>
      </c>
      <c r="M5" s="349" t="s">
        <v>350</v>
      </c>
      <c r="N5" s="349" t="s">
        <v>350</v>
      </c>
      <c r="O5" s="350" t="s">
        <v>351</v>
      </c>
      <c r="P5" s="349"/>
      <c r="Q5" s="349" t="s">
        <v>350</v>
      </c>
      <c r="R5" s="349" t="s">
        <v>350</v>
      </c>
      <c r="S5" s="349" t="s">
        <v>350</v>
      </c>
      <c r="T5" s="349" t="s">
        <v>350</v>
      </c>
      <c r="U5" s="349" t="s">
        <v>350</v>
      </c>
      <c r="V5" s="350"/>
      <c r="W5" s="349"/>
      <c r="X5" s="349" t="s">
        <v>350</v>
      </c>
      <c r="Y5" s="349" t="s">
        <v>350</v>
      </c>
      <c r="Z5" s="349" t="s">
        <v>350</v>
      </c>
      <c r="AA5" s="349" t="s">
        <v>350</v>
      </c>
      <c r="AB5" s="349" t="s">
        <v>350</v>
      </c>
      <c r="AC5" s="350" t="s">
        <v>351</v>
      </c>
      <c r="AD5" s="349"/>
      <c r="AE5" s="349" t="s">
        <v>350</v>
      </c>
      <c r="AF5" s="349" t="s">
        <v>350</v>
      </c>
      <c r="AG5" s="351"/>
      <c r="AH5" s="293"/>
      <c r="AI5" s="366"/>
      <c r="AJ5" s="366"/>
      <c r="AK5" s="366"/>
      <c r="AL5" s="366"/>
      <c r="AM5" s="366"/>
      <c r="AN5" s="366"/>
    </row>
    <row r="6" spans="2:40" ht="14.15" customHeight="1">
      <c r="B6" s="23" t="s">
        <v>6</v>
      </c>
      <c r="C6" s="349" t="s">
        <v>352</v>
      </c>
      <c r="D6" s="349" t="s">
        <v>352</v>
      </c>
      <c r="E6" s="349" t="s">
        <v>352</v>
      </c>
      <c r="F6" s="349" t="s">
        <v>352</v>
      </c>
      <c r="G6" s="349" t="s">
        <v>352</v>
      </c>
      <c r="H6" s="350"/>
      <c r="I6" s="349"/>
      <c r="J6" s="349" t="s">
        <v>352</v>
      </c>
      <c r="K6" s="349" t="s">
        <v>352</v>
      </c>
      <c r="L6" s="349" t="s">
        <v>352</v>
      </c>
      <c r="M6" s="349" t="s">
        <v>352</v>
      </c>
      <c r="N6" s="349" t="s">
        <v>352</v>
      </c>
      <c r="O6" s="350"/>
      <c r="P6" s="349"/>
      <c r="Q6" s="349" t="s">
        <v>352</v>
      </c>
      <c r="R6" s="349" t="s">
        <v>352</v>
      </c>
      <c r="S6" s="349" t="s">
        <v>352</v>
      </c>
      <c r="T6" s="349" t="s">
        <v>352</v>
      </c>
      <c r="U6" s="349" t="s">
        <v>352</v>
      </c>
      <c r="V6" s="350"/>
      <c r="W6" s="349"/>
      <c r="X6" s="349" t="s">
        <v>352</v>
      </c>
      <c r="Y6" s="349" t="s">
        <v>352</v>
      </c>
      <c r="Z6" s="349" t="s">
        <v>352</v>
      </c>
      <c r="AA6" s="349" t="s">
        <v>352</v>
      </c>
      <c r="AB6" s="349" t="s">
        <v>352</v>
      </c>
      <c r="AC6" s="350"/>
      <c r="AD6" s="349"/>
      <c r="AE6" s="349" t="s">
        <v>352</v>
      </c>
      <c r="AF6" s="349" t="s">
        <v>352</v>
      </c>
      <c r="AG6" s="351"/>
      <c r="AH6" s="293" t="s">
        <v>6</v>
      </c>
      <c r="AI6" s="366"/>
      <c r="AJ6" s="366"/>
      <c r="AK6" s="366"/>
      <c r="AL6" s="366"/>
      <c r="AM6" s="366"/>
      <c r="AN6" s="366"/>
    </row>
    <row r="7" spans="2:40" ht="14.15" customHeight="1">
      <c r="B7" s="24"/>
      <c r="C7" s="355"/>
      <c r="D7" s="355"/>
      <c r="E7" s="355"/>
      <c r="F7" s="355"/>
      <c r="G7" s="355"/>
      <c r="H7" s="356"/>
      <c r="I7" s="355"/>
      <c r="J7" s="355"/>
      <c r="K7" s="355"/>
      <c r="L7" s="355"/>
      <c r="M7" s="355"/>
      <c r="N7" s="355"/>
      <c r="O7" s="356"/>
      <c r="P7" s="355"/>
      <c r="Q7" s="355"/>
      <c r="R7" s="355"/>
      <c r="S7" s="355"/>
      <c r="T7" s="355"/>
      <c r="U7" s="355"/>
      <c r="V7" s="356"/>
      <c r="W7" s="355"/>
      <c r="X7" s="355"/>
      <c r="Y7" s="355"/>
      <c r="Z7" s="355"/>
      <c r="AA7" s="355"/>
      <c r="AB7" s="355"/>
      <c r="AC7" s="356"/>
      <c r="AD7" s="355"/>
      <c r="AE7" s="355"/>
      <c r="AF7" s="355"/>
      <c r="AG7" s="357"/>
      <c r="AH7" s="296"/>
      <c r="AI7" s="366"/>
      <c r="AJ7" s="366"/>
      <c r="AK7" s="366"/>
      <c r="AL7" s="366"/>
      <c r="AM7" s="366"/>
      <c r="AN7" s="366"/>
    </row>
    <row r="8" spans="2:40" ht="14.15" customHeight="1">
      <c r="B8" s="23"/>
      <c r="C8" s="349"/>
      <c r="D8" s="349"/>
      <c r="E8" s="349"/>
      <c r="F8" s="349"/>
      <c r="G8" s="349" t="s">
        <v>353</v>
      </c>
      <c r="H8" s="350"/>
      <c r="I8" s="349"/>
      <c r="J8" s="349"/>
      <c r="K8" s="349"/>
      <c r="L8" s="349" t="s">
        <v>354</v>
      </c>
      <c r="M8" s="349"/>
      <c r="N8" s="349"/>
      <c r="O8" s="350"/>
      <c r="P8" s="349"/>
      <c r="Q8" s="349"/>
      <c r="R8" s="349"/>
      <c r="S8" s="349"/>
      <c r="T8" s="349" t="s">
        <v>353</v>
      </c>
      <c r="U8" s="349"/>
      <c r="V8" s="350"/>
      <c r="W8" s="349"/>
      <c r="X8" s="349" t="s">
        <v>355</v>
      </c>
      <c r="Y8" s="349"/>
      <c r="Z8" s="349"/>
      <c r="AA8" s="349"/>
      <c r="AB8" s="349"/>
      <c r="AC8" s="350"/>
      <c r="AD8" s="349"/>
      <c r="AE8" s="349"/>
      <c r="AF8" s="349"/>
      <c r="AG8" s="351"/>
      <c r="AH8" s="293"/>
      <c r="AI8" s="366"/>
      <c r="AJ8" s="366"/>
      <c r="AK8" s="366"/>
      <c r="AL8" s="366"/>
      <c r="AM8" s="366"/>
      <c r="AN8" s="366"/>
    </row>
    <row r="9" spans="2:40" ht="14.15" customHeight="1">
      <c r="B9" s="23" t="s">
        <v>8</v>
      </c>
      <c r="C9" s="349"/>
      <c r="D9" s="349"/>
      <c r="E9" s="349"/>
      <c r="F9" s="349"/>
      <c r="G9" s="349"/>
      <c r="H9" s="350"/>
      <c r="I9" s="349"/>
      <c r="J9" s="349"/>
      <c r="K9" s="349"/>
      <c r="L9" s="349"/>
      <c r="M9" s="349"/>
      <c r="N9" s="349"/>
      <c r="O9" s="350"/>
      <c r="P9" s="349"/>
      <c r="Q9" s="349"/>
      <c r="R9" s="349"/>
      <c r="S9" s="349"/>
      <c r="T9" s="349" t="s">
        <v>356</v>
      </c>
      <c r="U9" s="349"/>
      <c r="V9" s="350"/>
      <c r="W9" s="349"/>
      <c r="X9" s="349"/>
      <c r="Y9" s="349"/>
      <c r="Z9" s="349"/>
      <c r="AA9" s="349"/>
      <c r="AB9" s="349"/>
      <c r="AC9" s="350"/>
      <c r="AD9" s="349"/>
      <c r="AE9" s="349"/>
      <c r="AF9" s="349"/>
      <c r="AG9" s="351"/>
      <c r="AH9" s="293" t="s">
        <v>8</v>
      </c>
      <c r="AI9" s="366"/>
      <c r="AJ9" s="366"/>
      <c r="AK9" s="366"/>
      <c r="AL9" s="366"/>
      <c r="AM9" s="366"/>
      <c r="AN9" s="366"/>
    </row>
    <row r="10" spans="2:40" ht="14.15" customHeight="1">
      <c r="B10" s="24"/>
      <c r="C10" s="355"/>
      <c r="D10" s="355"/>
      <c r="E10" s="355"/>
      <c r="F10" s="355"/>
      <c r="G10" s="355"/>
      <c r="H10" s="356"/>
      <c r="I10" s="355"/>
      <c r="J10" s="355"/>
      <c r="K10" s="355"/>
      <c r="L10" s="355"/>
      <c r="M10" s="355"/>
      <c r="N10" s="355"/>
      <c r="O10" s="356"/>
      <c r="P10" s="355"/>
      <c r="Q10" s="355"/>
      <c r="R10" s="355"/>
      <c r="S10" s="355"/>
      <c r="T10" s="355"/>
      <c r="U10" s="355"/>
      <c r="V10" s="356"/>
      <c r="W10" s="355"/>
      <c r="X10" s="355"/>
      <c r="Y10" s="355"/>
      <c r="Z10" s="355"/>
      <c r="AA10" s="355"/>
      <c r="AB10" s="355"/>
      <c r="AC10" s="356"/>
      <c r="AD10" s="355"/>
      <c r="AE10" s="355"/>
      <c r="AF10" s="355"/>
      <c r="AG10" s="357"/>
      <c r="AH10" s="296"/>
      <c r="AI10" s="366"/>
      <c r="AJ10" s="366"/>
      <c r="AK10" s="366"/>
      <c r="AL10" s="366"/>
      <c r="AM10" s="366"/>
      <c r="AN10" s="366"/>
    </row>
    <row r="11" spans="2:40" ht="14.15" customHeight="1">
      <c r="B11" s="23"/>
      <c r="C11" s="349"/>
      <c r="D11" s="349"/>
      <c r="E11" s="349" t="s">
        <v>357</v>
      </c>
      <c r="F11" s="349"/>
      <c r="G11" s="349"/>
      <c r="H11" s="350" t="s">
        <v>358</v>
      </c>
      <c r="I11" s="349"/>
      <c r="J11" s="349"/>
      <c r="K11" s="349" t="s">
        <v>359</v>
      </c>
      <c r="L11" s="349"/>
      <c r="M11" s="349" t="s">
        <v>360</v>
      </c>
      <c r="N11" s="349" t="s">
        <v>361</v>
      </c>
      <c r="O11" s="350" t="s">
        <v>358</v>
      </c>
      <c r="P11" s="349"/>
      <c r="Q11" s="349" t="s">
        <v>362</v>
      </c>
      <c r="R11" s="349"/>
      <c r="S11" s="349" t="s">
        <v>357</v>
      </c>
      <c r="T11" s="349"/>
      <c r="U11" s="349"/>
      <c r="V11" s="350" t="s">
        <v>358</v>
      </c>
      <c r="W11" s="349"/>
      <c r="X11" s="349" t="s">
        <v>360</v>
      </c>
      <c r="Y11" s="349" t="s">
        <v>359</v>
      </c>
      <c r="Z11" s="349"/>
      <c r="AA11" s="349"/>
      <c r="AB11" s="349" t="s">
        <v>361</v>
      </c>
      <c r="AC11" s="350"/>
      <c r="AD11" s="349"/>
      <c r="AE11" s="349" t="s">
        <v>362</v>
      </c>
      <c r="AF11" s="349"/>
      <c r="AG11" s="351"/>
      <c r="AH11" s="293"/>
      <c r="AI11" s="366"/>
      <c r="AJ11" s="366"/>
      <c r="AK11" s="366"/>
      <c r="AL11" s="366"/>
      <c r="AM11" s="366"/>
      <c r="AN11" s="366"/>
    </row>
    <row r="12" spans="2:40" ht="14.15" customHeight="1">
      <c r="B12" s="23" t="s">
        <v>14</v>
      </c>
      <c r="C12" s="349"/>
      <c r="D12" s="349"/>
      <c r="E12" s="349"/>
      <c r="F12" s="349"/>
      <c r="G12" s="349"/>
      <c r="H12" s="350"/>
      <c r="I12" s="349"/>
      <c r="J12" s="349"/>
      <c r="K12" s="349"/>
      <c r="L12" s="349"/>
      <c r="M12" s="349"/>
      <c r="N12" s="349"/>
      <c r="O12" s="350"/>
      <c r="P12" s="349"/>
      <c r="Q12" s="349"/>
      <c r="R12" s="349"/>
      <c r="S12" s="349" t="s">
        <v>363</v>
      </c>
      <c r="T12" s="349"/>
      <c r="U12" s="349"/>
      <c r="V12" s="350"/>
      <c r="W12" s="349"/>
      <c r="X12" s="349"/>
      <c r="Y12" s="349"/>
      <c r="Z12" s="349"/>
      <c r="AA12" s="349"/>
      <c r="AB12" s="349"/>
      <c r="AC12" s="350"/>
      <c r="AD12" s="349"/>
      <c r="AE12" s="349"/>
      <c r="AF12" s="349"/>
      <c r="AG12" s="351"/>
      <c r="AH12" s="293" t="s">
        <v>14</v>
      </c>
      <c r="AI12" s="366"/>
      <c r="AJ12" s="366"/>
      <c r="AK12" s="366"/>
      <c r="AL12" s="366"/>
      <c r="AM12" s="366"/>
      <c r="AN12" s="366"/>
    </row>
    <row r="13" spans="2:40" ht="14.15" customHeight="1">
      <c r="B13" s="24"/>
      <c r="C13" s="355"/>
      <c r="D13" s="355"/>
      <c r="E13" s="355"/>
      <c r="F13" s="355"/>
      <c r="G13" s="355"/>
      <c r="H13" s="356"/>
      <c r="I13" s="355"/>
      <c r="J13" s="355"/>
      <c r="K13" s="355"/>
      <c r="L13" s="355"/>
      <c r="M13" s="355"/>
      <c r="N13" s="355"/>
      <c r="O13" s="356"/>
      <c r="P13" s="355"/>
      <c r="Q13" s="355"/>
      <c r="R13" s="355"/>
      <c r="S13" s="355"/>
      <c r="T13" s="355"/>
      <c r="U13" s="355"/>
      <c r="V13" s="356"/>
      <c r="W13" s="355"/>
      <c r="X13" s="355"/>
      <c r="Y13" s="355"/>
      <c r="Z13" s="355"/>
      <c r="AA13" s="355"/>
      <c r="AB13" s="355"/>
      <c r="AC13" s="356"/>
      <c r="AD13" s="355"/>
      <c r="AE13" s="355"/>
      <c r="AF13" s="355"/>
      <c r="AG13" s="357"/>
      <c r="AH13" s="296"/>
      <c r="AI13" s="366"/>
      <c r="AJ13" s="366"/>
      <c r="AK13" s="366"/>
      <c r="AL13" s="366"/>
      <c r="AM13" s="366"/>
      <c r="AN13" s="366"/>
    </row>
    <row r="14" spans="2:40" ht="14.15" customHeight="1">
      <c r="B14" s="23" t="s">
        <v>74</v>
      </c>
      <c r="C14" s="349" t="s">
        <v>364</v>
      </c>
      <c r="D14" s="349" t="s">
        <v>364</v>
      </c>
      <c r="E14" s="349" t="s">
        <v>364</v>
      </c>
      <c r="F14" s="349" t="s">
        <v>364</v>
      </c>
      <c r="G14" s="349" t="s">
        <v>364</v>
      </c>
      <c r="H14" s="350"/>
      <c r="I14" s="349"/>
      <c r="J14" s="349" t="s">
        <v>364</v>
      </c>
      <c r="K14" s="349" t="s">
        <v>364</v>
      </c>
      <c r="L14" s="349" t="s">
        <v>364</v>
      </c>
      <c r="M14" s="349" t="s">
        <v>364</v>
      </c>
      <c r="N14" s="349" t="s">
        <v>364</v>
      </c>
      <c r="O14" s="350" t="s">
        <v>365</v>
      </c>
      <c r="P14" s="349"/>
      <c r="Q14" s="349" t="s">
        <v>364</v>
      </c>
      <c r="R14" s="349" t="s">
        <v>364</v>
      </c>
      <c r="S14" s="349" t="s">
        <v>364</v>
      </c>
      <c r="T14" s="349" t="s">
        <v>364</v>
      </c>
      <c r="U14" s="349" t="s">
        <v>364</v>
      </c>
      <c r="V14" s="350"/>
      <c r="W14" s="349"/>
      <c r="X14" s="349" t="s">
        <v>364</v>
      </c>
      <c r="Y14" s="349" t="s">
        <v>364</v>
      </c>
      <c r="Z14" s="349" t="s">
        <v>364</v>
      </c>
      <c r="AA14" s="349" t="s">
        <v>364</v>
      </c>
      <c r="AB14" s="349" t="s">
        <v>364</v>
      </c>
      <c r="AC14" s="350"/>
      <c r="AD14" s="349"/>
      <c r="AE14" s="349" t="s">
        <v>364</v>
      </c>
      <c r="AF14" s="349" t="s">
        <v>364</v>
      </c>
      <c r="AG14" s="351"/>
      <c r="AH14" s="293" t="s">
        <v>74</v>
      </c>
      <c r="AI14" s="366"/>
      <c r="AJ14" s="366"/>
      <c r="AK14" s="366"/>
      <c r="AL14" s="366"/>
      <c r="AM14" s="366"/>
      <c r="AN14" s="366"/>
    </row>
    <row r="15" spans="2:40" ht="14.15" customHeight="1">
      <c r="B15" s="24"/>
      <c r="C15" s="355"/>
      <c r="D15" s="355"/>
      <c r="E15" s="355"/>
      <c r="F15" s="355"/>
      <c r="G15" s="355"/>
      <c r="H15" s="356"/>
      <c r="I15" s="355"/>
      <c r="J15" s="355"/>
      <c r="K15" s="355"/>
      <c r="L15" s="355"/>
      <c r="M15" s="355"/>
      <c r="N15" s="355"/>
      <c r="O15" s="356" t="s">
        <v>366</v>
      </c>
      <c r="P15" s="355"/>
      <c r="Q15" s="355"/>
      <c r="R15" s="355"/>
      <c r="S15" s="355"/>
      <c r="T15" s="355"/>
      <c r="U15" s="355"/>
      <c r="V15" s="356"/>
      <c r="W15" s="355"/>
      <c r="X15" s="355"/>
      <c r="Y15" s="355"/>
      <c r="Z15" s="355"/>
      <c r="AA15" s="355"/>
      <c r="AB15" s="355"/>
      <c r="AC15" s="356"/>
      <c r="AD15" s="355"/>
      <c r="AE15" s="355"/>
      <c r="AF15" s="355"/>
      <c r="AG15" s="357"/>
      <c r="AH15" s="296"/>
      <c r="AI15" s="366"/>
      <c r="AJ15" s="366"/>
      <c r="AK15" s="366"/>
      <c r="AL15" s="366"/>
      <c r="AM15" s="366"/>
      <c r="AN15" s="366"/>
    </row>
    <row r="16" spans="2:40" ht="14.15" customHeight="1">
      <c r="B16" s="23" t="s">
        <v>78</v>
      </c>
      <c r="C16" s="349"/>
      <c r="D16" s="349"/>
      <c r="E16" s="349"/>
      <c r="F16" s="349"/>
      <c r="G16" s="349"/>
      <c r="H16" s="350"/>
      <c r="I16" s="349"/>
      <c r="J16" s="349"/>
      <c r="K16" s="349"/>
      <c r="L16" s="349"/>
      <c r="M16" s="349"/>
      <c r="N16" s="349"/>
      <c r="O16" s="350"/>
      <c r="P16" s="349"/>
      <c r="Q16" s="349"/>
      <c r="R16" s="349"/>
      <c r="S16" s="349"/>
      <c r="T16" s="349"/>
      <c r="U16" s="349"/>
      <c r="V16" s="350"/>
      <c r="W16" s="349"/>
      <c r="X16" s="349"/>
      <c r="Y16" s="349"/>
      <c r="Z16" s="349"/>
      <c r="AA16" s="349"/>
      <c r="AB16" s="349"/>
      <c r="AC16" s="350"/>
      <c r="AD16" s="349"/>
      <c r="AE16" s="349"/>
      <c r="AF16" s="349"/>
      <c r="AG16" s="351"/>
      <c r="AH16" s="293" t="s">
        <v>78</v>
      </c>
      <c r="AI16" s="366"/>
      <c r="AJ16" s="366"/>
      <c r="AK16" s="366"/>
      <c r="AL16" s="366"/>
      <c r="AM16" s="366"/>
      <c r="AN16" s="366"/>
    </row>
    <row r="17" spans="1:40" ht="14.15" customHeight="1">
      <c r="B17" s="24"/>
      <c r="C17" s="355"/>
      <c r="D17" s="355"/>
      <c r="E17" s="355"/>
      <c r="F17" s="355"/>
      <c r="G17" s="355"/>
      <c r="H17" s="356"/>
      <c r="I17" s="355"/>
      <c r="J17" s="355"/>
      <c r="K17" s="355"/>
      <c r="L17" s="355"/>
      <c r="M17" s="355"/>
      <c r="N17" s="355"/>
      <c r="O17" s="356"/>
      <c r="P17" s="355"/>
      <c r="Q17" s="355"/>
      <c r="R17" s="355"/>
      <c r="S17" s="355"/>
      <c r="T17" s="355"/>
      <c r="U17" s="355"/>
      <c r="V17" s="356"/>
      <c r="W17" s="355"/>
      <c r="X17" s="355"/>
      <c r="Y17" s="355"/>
      <c r="Z17" s="355"/>
      <c r="AA17" s="355"/>
      <c r="AB17" s="355"/>
      <c r="AC17" s="356"/>
      <c r="AD17" s="355"/>
      <c r="AE17" s="355"/>
      <c r="AF17" s="355"/>
      <c r="AG17" s="357"/>
      <c r="AH17" s="296"/>
      <c r="AI17" s="366"/>
      <c r="AJ17" s="366"/>
      <c r="AK17" s="366"/>
      <c r="AL17" s="366"/>
      <c r="AM17" s="366"/>
      <c r="AN17" s="366"/>
    </row>
    <row r="18" spans="1:40" ht="14.15" customHeight="1">
      <c r="B18" s="23" t="s">
        <v>79</v>
      </c>
      <c r="C18" s="349"/>
      <c r="D18" s="349"/>
      <c r="E18" s="349"/>
      <c r="F18" s="349"/>
      <c r="G18" s="349"/>
      <c r="H18" s="350"/>
      <c r="I18" s="349"/>
      <c r="J18" s="349"/>
      <c r="K18" s="349"/>
      <c r="L18" s="349"/>
      <c r="M18" s="349"/>
      <c r="N18" s="349"/>
      <c r="O18" s="350"/>
      <c r="P18" s="349"/>
      <c r="Q18" s="349"/>
      <c r="R18" s="349"/>
      <c r="S18" s="349" t="s">
        <v>367</v>
      </c>
      <c r="T18" s="349"/>
      <c r="U18" s="349"/>
      <c r="V18" s="350"/>
      <c r="W18" s="349"/>
      <c r="X18" s="349"/>
      <c r="Y18" s="349"/>
      <c r="Z18" s="349"/>
      <c r="AA18" s="349"/>
      <c r="AB18" s="349"/>
      <c r="AC18" s="350"/>
      <c r="AD18" s="349"/>
      <c r="AE18" s="349"/>
      <c r="AF18" s="349" t="s">
        <v>368</v>
      </c>
      <c r="AG18" s="351"/>
      <c r="AH18" s="293" t="s">
        <v>79</v>
      </c>
      <c r="AI18" s="366"/>
      <c r="AJ18" s="366"/>
      <c r="AK18" s="366"/>
      <c r="AL18" s="366"/>
      <c r="AM18" s="366"/>
      <c r="AN18" s="366"/>
    </row>
    <row r="19" spans="1:40" ht="14.15" customHeight="1">
      <c r="B19" s="24"/>
      <c r="C19" s="355"/>
      <c r="D19" s="355"/>
      <c r="E19" s="355"/>
      <c r="F19" s="355"/>
      <c r="G19" s="355"/>
      <c r="H19" s="356"/>
      <c r="I19" s="355"/>
      <c r="J19" s="355"/>
      <c r="K19" s="355"/>
      <c r="L19" s="355"/>
      <c r="M19" s="355"/>
      <c r="N19" s="355"/>
      <c r="O19" s="356"/>
      <c r="P19" s="355"/>
      <c r="Q19" s="355"/>
      <c r="R19" s="355"/>
      <c r="S19" s="355"/>
      <c r="T19" s="355"/>
      <c r="U19" s="355"/>
      <c r="V19" s="356"/>
      <c r="W19" s="355"/>
      <c r="X19" s="355"/>
      <c r="Y19" s="355"/>
      <c r="Z19" s="355"/>
      <c r="AA19" s="355"/>
      <c r="AB19" s="355"/>
      <c r="AC19" s="356"/>
      <c r="AD19" s="355"/>
      <c r="AE19" s="355"/>
      <c r="AF19" s="355" t="s">
        <v>369</v>
      </c>
      <c r="AG19" s="357"/>
      <c r="AH19" s="296"/>
      <c r="AI19" s="366"/>
      <c r="AJ19" s="366"/>
      <c r="AK19" s="366"/>
      <c r="AL19" s="366"/>
      <c r="AM19" s="366"/>
      <c r="AN19" s="366"/>
    </row>
    <row r="20" spans="1:40" ht="14.15" customHeight="1">
      <c r="B20" s="23" t="s">
        <v>83</v>
      </c>
      <c r="C20" s="349"/>
      <c r="D20" s="349"/>
      <c r="E20" s="349"/>
      <c r="F20" s="349"/>
      <c r="G20" s="349"/>
      <c r="H20" s="350"/>
      <c r="I20" s="349"/>
      <c r="J20" s="349"/>
      <c r="K20" s="349"/>
      <c r="L20" s="349"/>
      <c r="M20" s="349"/>
      <c r="N20" s="349"/>
      <c r="O20" s="350"/>
      <c r="P20" s="349"/>
      <c r="Q20" s="349"/>
      <c r="R20" s="349"/>
      <c r="S20" s="349"/>
      <c r="T20" s="349"/>
      <c r="U20" s="349"/>
      <c r="V20" s="350"/>
      <c r="W20" s="349"/>
      <c r="X20" s="349"/>
      <c r="Y20" s="349"/>
      <c r="Z20" s="349"/>
      <c r="AA20" s="349"/>
      <c r="AB20" s="349"/>
      <c r="AC20" s="350"/>
      <c r="AD20" s="349"/>
      <c r="AE20" s="349"/>
      <c r="AF20" s="349"/>
      <c r="AG20" s="351"/>
      <c r="AH20" s="293" t="s">
        <v>83</v>
      </c>
      <c r="AI20" s="366"/>
      <c r="AJ20" s="366"/>
      <c r="AK20" s="366"/>
      <c r="AL20" s="366"/>
      <c r="AM20" s="366"/>
      <c r="AN20" s="366"/>
    </row>
    <row r="21" spans="1:40" ht="14.15" customHeight="1">
      <c r="B21" s="24"/>
      <c r="C21" s="355"/>
      <c r="D21" s="355"/>
      <c r="E21" s="355"/>
      <c r="F21" s="355"/>
      <c r="G21" s="355"/>
      <c r="H21" s="356"/>
      <c r="I21" s="355"/>
      <c r="J21" s="355"/>
      <c r="K21" s="355"/>
      <c r="L21" s="355"/>
      <c r="M21" s="355"/>
      <c r="N21" s="355"/>
      <c r="O21" s="356"/>
      <c r="P21" s="355"/>
      <c r="Q21" s="355"/>
      <c r="R21" s="355"/>
      <c r="S21" s="355"/>
      <c r="T21" s="355"/>
      <c r="U21" s="355"/>
      <c r="V21" s="356"/>
      <c r="W21" s="355"/>
      <c r="X21" s="355"/>
      <c r="Y21" s="355"/>
      <c r="Z21" s="355"/>
      <c r="AA21" s="355"/>
      <c r="AB21" s="355"/>
      <c r="AC21" s="356"/>
      <c r="AD21" s="355"/>
      <c r="AE21" s="355"/>
      <c r="AF21" s="355"/>
      <c r="AG21" s="357"/>
      <c r="AH21" s="296"/>
      <c r="AI21" s="366"/>
      <c r="AJ21" s="366"/>
      <c r="AK21" s="366"/>
      <c r="AL21" s="366"/>
      <c r="AM21" s="366"/>
      <c r="AN21" s="366"/>
    </row>
    <row r="22" spans="1:40" ht="14.15" customHeight="1">
      <c r="B22" s="23" t="s">
        <v>37</v>
      </c>
      <c r="C22" s="349"/>
      <c r="D22" s="349"/>
      <c r="E22" s="349"/>
      <c r="F22" s="349"/>
      <c r="G22" s="349"/>
      <c r="H22" s="350"/>
      <c r="I22" s="349" t="s">
        <v>370</v>
      </c>
      <c r="J22" s="349"/>
      <c r="K22" s="349"/>
      <c r="L22" s="349"/>
      <c r="M22" s="349"/>
      <c r="N22" s="349"/>
      <c r="O22" s="350"/>
      <c r="P22" s="349"/>
      <c r="Q22" s="349" t="s">
        <v>384</v>
      </c>
      <c r="R22" s="349" t="s">
        <v>371</v>
      </c>
      <c r="S22" s="349"/>
      <c r="T22" s="349"/>
      <c r="U22" s="349"/>
      <c r="V22" s="350"/>
      <c r="W22" s="349"/>
      <c r="X22" s="349"/>
      <c r="Y22" s="349"/>
      <c r="Z22" s="349"/>
      <c r="AA22" s="349"/>
      <c r="AB22" s="349"/>
      <c r="AC22" s="350"/>
      <c r="AD22" s="349" t="s">
        <v>370</v>
      </c>
      <c r="AE22" s="349"/>
      <c r="AF22" s="349"/>
      <c r="AG22" s="351"/>
      <c r="AH22" s="293" t="s">
        <v>37</v>
      </c>
      <c r="AI22" s="366"/>
      <c r="AJ22" s="366"/>
      <c r="AK22" s="366"/>
      <c r="AL22" s="366"/>
      <c r="AM22" s="366"/>
      <c r="AN22" s="366"/>
    </row>
    <row r="23" spans="1:40" ht="14.15" customHeight="1">
      <c r="B23" s="24"/>
      <c r="C23" s="355"/>
      <c r="D23" s="355"/>
      <c r="E23" s="355"/>
      <c r="F23" s="355"/>
      <c r="G23" s="355"/>
      <c r="H23" s="356"/>
      <c r="I23" s="355" t="s">
        <v>372</v>
      </c>
      <c r="J23" s="355"/>
      <c r="K23" s="355"/>
      <c r="L23" s="355"/>
      <c r="M23" s="355"/>
      <c r="N23" s="355"/>
      <c r="O23" s="356"/>
      <c r="P23" s="355"/>
      <c r="Q23" s="355"/>
      <c r="R23" s="355"/>
      <c r="S23" s="355"/>
      <c r="T23" s="355"/>
      <c r="U23" s="355"/>
      <c r="V23" s="356"/>
      <c r="W23" s="355"/>
      <c r="X23" s="355"/>
      <c r="Y23" s="355"/>
      <c r="Z23" s="355"/>
      <c r="AA23" s="355"/>
      <c r="AB23" s="355"/>
      <c r="AC23" s="356"/>
      <c r="AD23" s="355" t="s">
        <v>372</v>
      </c>
      <c r="AE23" s="355"/>
      <c r="AF23" s="355"/>
      <c r="AG23" s="357"/>
      <c r="AH23" s="296"/>
      <c r="AI23" s="366"/>
      <c r="AJ23" s="366"/>
      <c r="AK23" s="366"/>
      <c r="AL23" s="366"/>
      <c r="AM23" s="366"/>
      <c r="AN23" s="366"/>
    </row>
    <row r="24" spans="1:40" ht="14.15" customHeight="1">
      <c r="B24" s="23"/>
      <c r="C24" s="349"/>
      <c r="D24" s="349"/>
      <c r="E24" s="349"/>
      <c r="F24" s="349" t="s">
        <v>373</v>
      </c>
      <c r="G24" s="349"/>
      <c r="H24" s="350"/>
      <c r="I24" s="349"/>
      <c r="J24" s="349"/>
      <c r="K24" s="349"/>
      <c r="L24" s="349"/>
      <c r="M24" s="349" t="s">
        <v>373</v>
      </c>
      <c r="N24" s="349"/>
      <c r="O24" s="350"/>
      <c r="P24" s="349"/>
      <c r="Q24" s="349"/>
      <c r="R24" s="349"/>
      <c r="S24" s="349"/>
      <c r="T24" s="349" t="s">
        <v>373</v>
      </c>
      <c r="U24" s="349"/>
      <c r="V24" s="350"/>
      <c r="W24" s="349"/>
      <c r="X24" s="349"/>
      <c r="Y24" s="349"/>
      <c r="Z24" s="349"/>
      <c r="AA24" s="349" t="s">
        <v>373</v>
      </c>
      <c r="AB24" s="349"/>
      <c r="AC24" s="350"/>
      <c r="AD24" s="349"/>
      <c r="AE24" s="349"/>
      <c r="AF24" s="349"/>
      <c r="AG24" s="351"/>
      <c r="AH24" s="293"/>
      <c r="AI24" s="366"/>
      <c r="AJ24" s="366"/>
      <c r="AK24" s="366"/>
      <c r="AL24" s="366"/>
      <c r="AM24" s="366"/>
      <c r="AN24" s="366"/>
    </row>
    <row r="25" spans="1:40" ht="14.15" customHeight="1">
      <c r="B25" s="23" t="s">
        <v>42</v>
      </c>
      <c r="C25" s="349"/>
      <c r="D25" s="349"/>
      <c r="E25" s="349" t="s">
        <v>374</v>
      </c>
      <c r="F25" s="349" t="s">
        <v>363</v>
      </c>
      <c r="G25" s="349"/>
      <c r="H25" s="350"/>
      <c r="I25" s="349"/>
      <c r="J25" s="349"/>
      <c r="K25" s="349"/>
      <c r="L25" s="349"/>
      <c r="M25" s="349" t="s">
        <v>375</v>
      </c>
      <c r="N25" s="349"/>
      <c r="O25" s="350" t="s">
        <v>365</v>
      </c>
      <c r="P25" s="349"/>
      <c r="Q25" s="349"/>
      <c r="R25" s="349"/>
      <c r="S25" s="349"/>
      <c r="T25" s="349" t="s">
        <v>376</v>
      </c>
      <c r="U25" s="349"/>
      <c r="V25" s="350"/>
      <c r="W25" s="349"/>
      <c r="X25" s="349" t="s">
        <v>377</v>
      </c>
      <c r="Y25" s="349"/>
      <c r="Z25" s="349"/>
      <c r="AA25" s="349" t="s">
        <v>363</v>
      </c>
      <c r="AB25" s="349"/>
      <c r="AC25" s="350"/>
      <c r="AD25" s="349"/>
      <c r="AE25" s="349"/>
      <c r="AF25" s="349" t="s">
        <v>378</v>
      </c>
      <c r="AG25" s="351"/>
      <c r="AH25" s="293" t="s">
        <v>42</v>
      </c>
      <c r="AI25" s="366"/>
      <c r="AJ25" s="366"/>
      <c r="AK25" s="366"/>
      <c r="AL25" s="366"/>
      <c r="AM25" s="366"/>
      <c r="AN25" s="366"/>
    </row>
    <row r="26" spans="1:40" ht="14.15" customHeight="1" thickBot="1">
      <c r="B26" s="430"/>
      <c r="C26" s="464"/>
      <c r="D26" s="464"/>
      <c r="E26" s="464" t="s">
        <v>379</v>
      </c>
      <c r="F26" s="464"/>
      <c r="G26" s="464"/>
      <c r="H26" s="465"/>
      <c r="I26" s="464"/>
      <c r="J26" s="464"/>
      <c r="K26" s="464"/>
      <c r="L26" s="464"/>
      <c r="M26" s="464"/>
      <c r="N26" s="464"/>
      <c r="O26" s="465" t="s">
        <v>366</v>
      </c>
      <c r="P26" s="464"/>
      <c r="Q26" s="464"/>
      <c r="R26" s="464"/>
      <c r="S26" s="464"/>
      <c r="T26" s="464" t="s">
        <v>380</v>
      </c>
      <c r="U26" s="464"/>
      <c r="V26" s="465"/>
      <c r="W26" s="464"/>
      <c r="X26" s="464" t="s">
        <v>381</v>
      </c>
      <c r="Y26" s="464"/>
      <c r="Z26" s="464"/>
      <c r="AA26" s="464" t="s">
        <v>382</v>
      </c>
      <c r="AB26" s="464"/>
      <c r="AC26" s="465"/>
      <c r="AD26" s="464"/>
      <c r="AE26" s="464" t="s">
        <v>383</v>
      </c>
      <c r="AF26" s="464" t="s">
        <v>369</v>
      </c>
      <c r="AG26" s="466"/>
      <c r="AH26" s="437"/>
      <c r="AI26" s="366"/>
      <c r="AJ26" s="366"/>
      <c r="AK26" s="366"/>
      <c r="AL26" s="366"/>
      <c r="AM26" s="366"/>
      <c r="AN26" s="366"/>
    </row>
    <row r="27" spans="1:40" ht="15" customHeight="1">
      <c r="A27" s="347">
        <f>COUNTIF(C27:AG27,"★★")</f>
        <v>4</v>
      </c>
      <c r="B27" s="518" t="str">
        <f>IF(一覧!B31="","",一覧!B31)</f>
        <v>三村　将之</v>
      </c>
      <c r="C27" s="349" t="str">
        <f>IF(一覧!C31="","",一覧!C31)</f>
        <v/>
      </c>
      <c r="D27" s="349" t="str">
        <f>IF(一覧!D31="","",一覧!D31)</f>
        <v>PT研修</v>
      </c>
      <c r="E27" s="349" t="str">
        <f>IF(一覧!E31="","",一覧!E31)</f>
        <v/>
      </c>
      <c r="F27" s="349" t="str">
        <f>IF(一覧!F31="","",一覧!F31)</f>
        <v>じゅっと</v>
      </c>
      <c r="G27" s="349" t="str">
        <f>IF(一覧!G31="","",一覧!G31)</f>
        <v/>
      </c>
      <c r="H27" s="350" t="str">
        <f>IF(一覧!H31="","",一覧!H31)</f>
        <v>★★</v>
      </c>
      <c r="I27" s="349" t="str">
        <f>IF(一覧!I31="","",一覧!I31)</f>
        <v>NsubTD</v>
      </c>
      <c r="J27" s="349" t="str">
        <f>IF(一覧!J31="","",一覧!J31)</f>
        <v>じゅっと</v>
      </c>
      <c r="K27" s="349" t="str">
        <f>IF(一覧!K31="","",一覧!K31)</f>
        <v>中継車WG</v>
      </c>
      <c r="L27" s="349" t="str">
        <f>IF(一覧!L31="","",一覧!L31)</f>
        <v/>
      </c>
      <c r="M27" s="349" t="str">
        <f>IF(一覧!M31="","",一覧!M31)</f>
        <v/>
      </c>
      <c r="N27" s="349" t="str">
        <f>IF(一覧!N31="","",一覧!N31)</f>
        <v>★</v>
      </c>
      <c r="O27" s="350" t="str">
        <f>IF(一覧!O31="","",一覧!O31)</f>
        <v>★</v>
      </c>
      <c r="P27" s="349" t="str">
        <f>IF(一覧!P31="","",一覧!P31)</f>
        <v>★★</v>
      </c>
      <c r="Q27" s="349" t="str">
        <f>IF(一覧!Q31="","",一覧!Q31)</f>
        <v>特休</v>
      </c>
      <c r="R27" s="349" t="str">
        <f>IF(一覧!R31="","",一覧!R31)</f>
        <v>特休</v>
      </c>
      <c r="S27" s="349" t="str">
        <f>IF(一覧!S31="","",一覧!S31)</f>
        <v>特休</v>
      </c>
      <c r="T27" s="349" t="str">
        <f>IF(一覧!T31="","",一覧!T31)</f>
        <v>設備WG</v>
      </c>
      <c r="U27" s="349" t="str">
        <f>IF(一覧!U31="","",一覧!U31)</f>
        <v>　　　━</v>
      </c>
      <c r="V27" s="350" t="str">
        <f>IF(一覧!V31="","",一覧!V31)</f>
        <v>━　　　</v>
      </c>
      <c r="W27" s="349" t="str">
        <f>IF(一覧!W31="","",一覧!W31)</f>
        <v>★★</v>
      </c>
      <c r="X27" s="349" t="str">
        <f>IF(一覧!X31="","",一覧!X31)</f>
        <v>★</v>
      </c>
      <c r="Y27" s="349" t="str">
        <f>IF(一覧!Y31="","",一覧!Y31)</f>
        <v/>
      </c>
      <c r="Z27" s="349" t="str">
        <f>IF(一覧!Z31="","",一覧!Z31)</f>
        <v>音声G会</v>
      </c>
      <c r="AA27" s="349" t="str">
        <f>IF(一覧!AA31="","",一覧!AA31)</f>
        <v>ミヤネ屋</v>
      </c>
      <c r="AB27" s="349" t="str">
        <f>IF(一覧!AB31="","",一覧!AB31)</f>
        <v>技術会議</v>
      </c>
      <c r="AC27" s="350" t="str">
        <f>IF(一覧!AC31="","",一覧!AC31)</f>
        <v>★</v>
      </c>
      <c r="AD27" s="349" t="str">
        <f>IF(一覧!AD31="","",一覧!AD31)</f>
        <v>★★</v>
      </c>
      <c r="AE27" s="349" t="str">
        <f>IF(一覧!AE31="","",一覧!AE31)</f>
        <v/>
      </c>
      <c r="AF27" s="349" t="str">
        <f>IF(一覧!AF31="","",一覧!AF31)</f>
        <v/>
      </c>
      <c r="AG27" s="351" t="str">
        <f>IF(一覧!AG31="","",一覧!AG31)</f>
        <v/>
      </c>
      <c r="AH27" s="519" t="str">
        <f>IF(一覧!AH31="","",一覧!AH31)</f>
        <v>三村</v>
      </c>
      <c r="AI27" s="366"/>
      <c r="AJ27" s="366"/>
      <c r="AK27" s="366"/>
      <c r="AL27" s="366"/>
      <c r="AM27" s="366"/>
      <c r="AN27" s="366"/>
    </row>
    <row r="28" spans="1:40" ht="15" customHeight="1">
      <c r="A28" s="347">
        <f>COUNTIF(C27:AG27,"★")</f>
        <v>4</v>
      </c>
      <c r="B28" s="303" t="str">
        <f>IF(一覧!B32="","",一覧!B32)</f>
        <v/>
      </c>
      <c r="C28" s="355" t="str">
        <f>IF(一覧!C32="","",一覧!C32)</f>
        <v>局会</v>
      </c>
      <c r="D28" s="355" t="str">
        <f>IF(一覧!D32="","",一覧!D32)</f>
        <v/>
      </c>
      <c r="E28" s="355" t="str">
        <f>IF(一覧!E32="","",一覧!E32)</f>
        <v/>
      </c>
      <c r="F28" s="355" t="str">
        <f>IF(一覧!F32="","",一覧!F32)</f>
        <v>ＴＤ</v>
      </c>
      <c r="G28" s="355" t="str">
        <f>IF(一覧!G32="","",一覧!G32)</f>
        <v/>
      </c>
      <c r="H28" s="356" t="str">
        <f>IF(一覧!H32="","",一覧!H32)</f>
        <v>※</v>
      </c>
      <c r="I28" s="355" t="str">
        <f>IF(一覧!I32="","",一覧!I32)</f>
        <v/>
      </c>
      <c r="J28" s="355" t="str">
        <f>IF(一覧!J32="","",一覧!J32)</f>
        <v>ＴＤ</v>
      </c>
      <c r="K28" s="355" t="str">
        <f>IF(一覧!K32="","",一覧!K32)</f>
        <v/>
      </c>
      <c r="L28" s="355" t="str">
        <f>IF(一覧!L32="","",一覧!L32)</f>
        <v>照明G</v>
      </c>
      <c r="M28" s="355" t="str">
        <f>IF(一覧!M32="","",一覧!M32)</f>
        <v/>
      </c>
      <c r="N28" s="355" t="str">
        <f>IF(一覧!N32="","",一覧!N32)</f>
        <v/>
      </c>
      <c r="O28" s="356" t="str">
        <f>IF(一覧!O32="","",一覧!O32)</f>
        <v/>
      </c>
      <c r="P28" s="355" t="str">
        <f>IF(一覧!P32="","",一覧!P32)</f>
        <v>※</v>
      </c>
      <c r="Q28" s="355" t="str">
        <f>IF(一覧!Q32="","",一覧!Q32)</f>
        <v>※</v>
      </c>
      <c r="R28" s="355" t="str">
        <f>IF(一覧!R32="","",一覧!R32)</f>
        <v>※</v>
      </c>
      <c r="S28" s="355" t="str">
        <f>IF(一覧!S32="","",一覧!S32)</f>
        <v>※</v>
      </c>
      <c r="T28" s="355" t="str">
        <f>IF(一覧!T32="","",一覧!T32)</f>
        <v/>
      </c>
      <c r="U28" s="355" t="str">
        <f>IF(一覧!U32="","",一覧!U32)</f>
        <v/>
      </c>
      <c r="V28" s="356" t="str">
        <f>IF(一覧!V32="","",一覧!V32)</f>
        <v/>
      </c>
      <c r="W28" s="355" t="str">
        <f>IF(一覧!W32="","",一覧!W32)</f>
        <v/>
      </c>
      <c r="X28" s="355" t="str">
        <f>IF(一覧!X32="","",一覧!X32)</f>
        <v/>
      </c>
      <c r="Y28" s="355" t="str">
        <f>IF(一覧!Y32="","",一覧!Y32)</f>
        <v/>
      </c>
      <c r="Z28" s="355" t="str">
        <f>IF(一覧!Z32="","",一覧!Z32)</f>
        <v>MA更新会</v>
      </c>
      <c r="AA28" s="355" t="str">
        <f>IF(一覧!AA32="","",一覧!AA32)</f>
        <v>ＴＤ</v>
      </c>
      <c r="AB28" s="355" t="str">
        <f>IF(一覧!AB32="","",一覧!AB32)</f>
        <v>NT会議</v>
      </c>
      <c r="AC28" s="356" t="str">
        <f>IF(一覧!AC32="","",一覧!AC32)</f>
        <v/>
      </c>
      <c r="AD28" s="355" t="str">
        <f>IF(一覧!AD32="","",一覧!AD32)</f>
        <v/>
      </c>
      <c r="AE28" s="355" t="str">
        <f>IF(一覧!AE32="","",一覧!AE32)</f>
        <v/>
      </c>
      <c r="AF28" s="355" t="str">
        <f>IF(一覧!AF32="","",一覧!AF32)</f>
        <v/>
      </c>
      <c r="AG28" s="357" t="str">
        <f>IF(一覧!AG32="","",一覧!AG32)</f>
        <v/>
      </c>
      <c r="AH28" s="304" t="str">
        <f>IF(一覧!AH32="","",一覧!AH32)</f>
        <v/>
      </c>
      <c r="AI28" s="366"/>
      <c r="AJ28" s="366"/>
      <c r="AK28" s="366"/>
      <c r="AL28" s="366"/>
      <c r="AM28" s="366"/>
      <c r="AN28" s="366"/>
    </row>
    <row r="29" spans="1:40" ht="15" customHeight="1">
      <c r="A29" s="347">
        <f>COUNTIF(C29:AG29,"★★")</f>
        <v>4</v>
      </c>
      <c r="B29" s="518" t="str">
        <f>IF(一覧!B43="","",一覧!B43)</f>
        <v>沖田　一剛</v>
      </c>
      <c r="C29" s="349" t="str">
        <f>IF(一覧!C43="","",一覧!C43)</f>
        <v/>
      </c>
      <c r="D29" s="349" t="str">
        <f>IF(一覧!D43="","",一覧!D43)</f>
        <v>じゅっと</v>
      </c>
      <c r="E29" s="349" t="str">
        <f>IF(一覧!E43="","",一覧!E43)</f>
        <v/>
      </c>
      <c r="F29" s="349" t="str">
        <f>IF(一覧!F43="","",一覧!F43)</f>
        <v>ミヤネ屋</v>
      </c>
      <c r="G29" s="349" t="str">
        <f>IF(一覧!G43="","",一覧!G43)</f>
        <v>代休</v>
      </c>
      <c r="H29" s="350" t="str">
        <f>IF(一覧!H43="","",一覧!H43)</f>
        <v>★</v>
      </c>
      <c r="I29" s="349" t="str">
        <f>IF(一覧!I43="","",一覧!I43)</f>
        <v>★★</v>
      </c>
      <c r="J29" s="349" t="str">
        <f>IF(一覧!J43="","",一覧!J43)</f>
        <v>打合せ</v>
      </c>
      <c r="K29" s="349" t="str">
        <f>IF(一覧!K43="","",一覧!K43)</f>
        <v>　　　━</v>
      </c>
      <c r="L29" s="349" t="str">
        <f>IF(一覧!L43="","",一覧!L43)</f>
        <v>━　　　</v>
      </c>
      <c r="M29" s="349" t="str">
        <f>IF(一覧!M43="","",一覧!M43)</f>
        <v>年休</v>
      </c>
      <c r="N29" s="349" t="str">
        <f>IF(一覧!N43="","",一覧!N43)</f>
        <v>年休</v>
      </c>
      <c r="O29" s="350" t="str">
        <f>IF(一覧!O43="","",一覧!O43)</f>
        <v>★</v>
      </c>
      <c r="P29" s="349" t="str">
        <f>IF(一覧!P43="","",一覧!P43)</f>
        <v>★★</v>
      </c>
      <c r="Q29" s="349" t="str">
        <f>IF(一覧!Q43="","",一覧!Q43)</f>
        <v/>
      </c>
      <c r="R29" s="349" t="str">
        <f>IF(一覧!R43="","",一覧!R43)</f>
        <v>準備</v>
      </c>
      <c r="S29" s="349" t="str">
        <f>IF(一覧!S43="","",一覧!S43)</f>
        <v>読響</v>
      </c>
      <c r="T29" s="349" t="str">
        <f>IF(一覧!T43="","",一覧!T43)</f>
        <v>吉田粗品</v>
      </c>
      <c r="U29" s="349" t="str">
        <f>IF(一覧!U43="","",一覧!U43)</f>
        <v>代休</v>
      </c>
      <c r="V29" s="350" t="str">
        <f>IF(一覧!V43="","",一覧!V43)</f>
        <v>★★</v>
      </c>
      <c r="W29" s="349" t="str">
        <f>IF(一覧!W43="","",一覧!W43)</f>
        <v>準備</v>
      </c>
      <c r="X29" s="349" t="str">
        <f>IF(一覧!X43="","",一覧!X43)</f>
        <v>音道楽</v>
      </c>
      <c r="Y29" s="349" t="str">
        <f>IF(一覧!Y43="","",一覧!Y43)</f>
        <v>★</v>
      </c>
      <c r="Z29" s="349" t="str">
        <f>IF(一覧!Z43="","",一覧!Z43)</f>
        <v>音G/制作</v>
      </c>
      <c r="AA29" s="349" t="str">
        <f>IF(一覧!AA43="","",一覧!AA43)</f>
        <v>機材整備</v>
      </c>
      <c r="AB29" s="349" t="str">
        <f>IF(一覧!AB43="","",一覧!AB43)</f>
        <v>じゅっと</v>
      </c>
      <c r="AC29" s="350" t="str">
        <f>IF(一覧!AC43="","",一覧!AC43)</f>
        <v>★</v>
      </c>
      <c r="AD29" s="349" t="str">
        <f>IF(一覧!AD43="","",一覧!AD43)</f>
        <v>★★</v>
      </c>
      <c r="AE29" s="349" t="str">
        <f>IF(一覧!AE43="","",一覧!AE43)</f>
        <v>ミヤネ屋</v>
      </c>
      <c r="AF29" s="349" t="str">
        <f>IF(一覧!AF43="","",一覧!AF43)</f>
        <v>　　　━</v>
      </c>
      <c r="AG29" s="351" t="str">
        <f>IF(一覧!AG43="","",一覧!AG43)</f>
        <v/>
      </c>
      <c r="AH29" s="519" t="str">
        <f>IF(一覧!AH43="","",一覧!AH43)</f>
        <v>沖田</v>
      </c>
      <c r="AI29" s="366"/>
      <c r="AJ29" s="366"/>
      <c r="AK29" s="366"/>
      <c r="AL29" s="366"/>
      <c r="AM29" s="366"/>
      <c r="AN29" s="366"/>
    </row>
    <row r="30" spans="1:40" ht="15" customHeight="1">
      <c r="A30" s="347">
        <f>COUNTIF(C29:AG29,"★")</f>
        <v>4</v>
      </c>
      <c r="B30" s="303" t="str">
        <f>IF(一覧!B44="","",一覧!B44)</f>
        <v/>
      </c>
      <c r="C30" s="355" t="str">
        <f>IF(一覧!C44="","",一覧!C44)</f>
        <v>局会</v>
      </c>
      <c r="D30" s="355" t="str">
        <f>IF(一覧!D44="","",一覧!D44)</f>
        <v>ＴＤ</v>
      </c>
      <c r="E30" s="355" t="str">
        <f>IF(一覧!E44="","",一覧!E44)</f>
        <v/>
      </c>
      <c r="F30" s="355" t="str">
        <f>IF(一覧!F44="","",一覧!F44)</f>
        <v>ＭＩＸ</v>
      </c>
      <c r="G30" s="355" t="str">
        <f>IF(一覧!G44="","",一覧!G44)</f>
        <v>5/7分</v>
      </c>
      <c r="H30" s="356" t="str">
        <f>IF(一覧!H44="","",一覧!H44)</f>
        <v/>
      </c>
      <c r="I30" s="355" t="str">
        <f>IF(一覧!I44="","",一覧!I44)</f>
        <v/>
      </c>
      <c r="J30" s="355" t="str">
        <f>IF(一覧!J44="","",一覧!J44)</f>
        <v/>
      </c>
      <c r="K30" s="355" t="str">
        <f>IF(一覧!K44="","",一覧!K44)</f>
        <v/>
      </c>
      <c r="L30" s="355" t="str">
        <f>IF(一覧!L44="","",一覧!L44)</f>
        <v/>
      </c>
      <c r="M30" s="355" t="str">
        <f>IF(一覧!M44="","",一覧!M44)</f>
        <v>※</v>
      </c>
      <c r="N30" s="355" t="str">
        <f>IF(一覧!N44="","",一覧!N44)</f>
        <v>※</v>
      </c>
      <c r="O30" s="356" t="str">
        <f>IF(一覧!O44="","",一覧!O44)</f>
        <v/>
      </c>
      <c r="P30" s="355" t="str">
        <f>IF(一覧!P44="","",一覧!P44)</f>
        <v/>
      </c>
      <c r="Q30" s="355" t="str">
        <f>IF(一覧!Q44="","",一覧!Q44)</f>
        <v/>
      </c>
      <c r="R30" s="355" t="str">
        <f>IF(一覧!R44="","",一覧!R44)</f>
        <v/>
      </c>
      <c r="S30" s="355" t="str">
        <f>IF(一覧!S44="","",一覧!S44)</f>
        <v>音中AA</v>
      </c>
      <c r="T30" s="355" t="str">
        <f>IF(一覧!T44="","",一覧!T44)</f>
        <v>ＡＡ</v>
      </c>
      <c r="U30" s="355" t="str">
        <f>IF(一覧!U44="","",一覧!U44)</f>
        <v>5/18分</v>
      </c>
      <c r="V30" s="356" t="str">
        <f>IF(一覧!V44="","",一覧!V44)</f>
        <v/>
      </c>
      <c r="W30" s="355" t="str">
        <f>IF(一覧!W44="","",一覧!W44)</f>
        <v/>
      </c>
      <c r="X30" s="355" t="str">
        <f>IF(一覧!X44="","",一覧!X44)</f>
        <v>ＴＤ</v>
      </c>
      <c r="Y30" s="355" t="str">
        <f>IF(一覧!Y44="","",一覧!Y44)</f>
        <v/>
      </c>
      <c r="Z30" s="355" t="str">
        <f>IF(一覧!Z44="","",一覧!Z44)</f>
        <v>MA更新会</v>
      </c>
      <c r="AA30" s="355" t="str">
        <f>IF(一覧!AA44="","",一覧!AA44)</f>
        <v/>
      </c>
      <c r="AB30" s="355" t="str">
        <f>IF(一覧!AB44="","",一覧!AB44)</f>
        <v>TD/技会</v>
      </c>
      <c r="AC30" s="356" t="str">
        <f>IF(一覧!AC44="","",一覧!AC44)</f>
        <v/>
      </c>
      <c r="AD30" s="355" t="str">
        <f>IF(一覧!AD44="","",一覧!AD44)</f>
        <v/>
      </c>
      <c r="AE30" s="355" t="str">
        <f>IF(一覧!AE44="","",一覧!AE44)</f>
        <v>ＭＩＸ</v>
      </c>
      <c r="AF30" s="355" t="str">
        <f>IF(一覧!AF44="","",一覧!AF44)</f>
        <v/>
      </c>
      <c r="AG30" s="357" t="str">
        <f>IF(一覧!AG44="","",一覧!AG44)</f>
        <v/>
      </c>
      <c r="AH30" s="304" t="str">
        <f>IF(一覧!AH44="","",一覧!AH44)</f>
        <v/>
      </c>
      <c r="AI30" s="366"/>
      <c r="AJ30" s="366"/>
      <c r="AK30" s="366"/>
      <c r="AL30" s="366"/>
      <c r="AM30" s="366"/>
      <c r="AN30" s="366"/>
    </row>
    <row r="31" spans="1:40" ht="15" customHeight="1">
      <c r="A31" s="347">
        <f>COUNTIF(C31:AG31,"★★")</f>
        <v>4</v>
      </c>
      <c r="B31" s="518" t="str">
        <f>IF(一覧!B67="","",一覧!B67)</f>
        <v>池永　裕一</v>
      </c>
      <c r="C31" s="349" t="str">
        <f>IF(一覧!C67="","",一覧!C67)</f>
        <v/>
      </c>
      <c r="D31" s="349" t="str">
        <f>IF(一覧!D67="","",一覧!D67)</f>
        <v>PT研修</v>
      </c>
      <c r="E31" s="349" t="str">
        <f>IF(一覧!E67="","",一覧!E67)</f>
        <v>機材整備</v>
      </c>
      <c r="F31" s="349" t="str">
        <f>IF(一覧!F67="","",一覧!F67)</f>
        <v>ｔｅｎ！</v>
      </c>
      <c r="G31" s="349" t="str">
        <f>IF(一覧!G67="","",一覧!G67)</f>
        <v>ミヤネ屋</v>
      </c>
      <c r="H31" s="350" t="str">
        <f>IF(一覧!H67="","",一覧!H67)</f>
        <v>★</v>
      </c>
      <c r="I31" s="349" t="str">
        <f>IF(一覧!I67="","",一覧!I67)</f>
        <v>★★</v>
      </c>
      <c r="J31" s="349" t="str">
        <f>IF(一覧!J67="","",一覧!J67)</f>
        <v>年休</v>
      </c>
      <c r="K31" s="349" t="str">
        <f>IF(一覧!K67="","",一覧!K67)</f>
        <v>ほんわか</v>
      </c>
      <c r="L31" s="349" t="str">
        <f>IF(一覧!L67="","",一覧!L67)</f>
        <v>機材整備</v>
      </c>
      <c r="M31" s="349" t="str">
        <f>IF(一覧!M67="","",一覧!M67)</f>
        <v>音道楽</v>
      </c>
      <c r="N31" s="349" t="str">
        <f>IF(一覧!N67="","",一覧!N67)</f>
        <v>委員会</v>
      </c>
      <c r="O31" s="350" t="str">
        <f>IF(一覧!O67="","",一覧!O67)</f>
        <v>読響</v>
      </c>
      <c r="P31" s="349" t="str">
        <f>IF(一覧!P67="","",一覧!P67)</f>
        <v>★★</v>
      </c>
      <c r="Q31" s="349" t="str">
        <f>IF(一覧!Q67="","",一覧!Q67)</f>
        <v>ミヤネ屋</v>
      </c>
      <c r="R31" s="349" t="str">
        <f>IF(一覧!R67="","",一覧!R67)</f>
        <v>準備</v>
      </c>
      <c r="S31" s="349" t="str">
        <f>IF(一覧!S67="","",一覧!S67)</f>
        <v>読響</v>
      </c>
      <c r="T31" s="349" t="str">
        <f>IF(一覧!T67="","",一覧!T67)</f>
        <v>★</v>
      </c>
      <c r="U31" s="349" t="str">
        <f>IF(一覧!U67="","",一覧!U67)</f>
        <v>音道楽</v>
      </c>
      <c r="V31" s="350" t="str">
        <f>IF(一覧!V67="","",一覧!V67)</f>
        <v>★★</v>
      </c>
      <c r="W31" s="349" t="str">
        <f>IF(一覧!W67="","",一覧!W67)</f>
        <v>準備</v>
      </c>
      <c r="X31" s="349" t="str">
        <f>IF(一覧!X67="","",一覧!X67)</f>
        <v>音道楽</v>
      </c>
      <c r="Y31" s="349" t="str">
        <f>IF(一覧!Y67="","",一覧!Y67)</f>
        <v>ほんわか</v>
      </c>
      <c r="Z31" s="349" t="str">
        <f>IF(一覧!Z67="","",一覧!Z67)</f>
        <v>音声G会</v>
      </c>
      <c r="AA31" s="349" t="str">
        <f>IF(一覧!AA67="","",一覧!AA67)</f>
        <v>X準備</v>
      </c>
      <c r="AB31" s="349" t="str">
        <f>IF(一覧!AB67="","",一覧!AB67)</f>
        <v>★</v>
      </c>
      <c r="AC31" s="350" t="str">
        <f>IF(一覧!AC67="","",一覧!AC67)</f>
        <v>★</v>
      </c>
      <c r="AD31" s="349" t="str">
        <f>IF(一覧!AD67="","",一覧!AD67)</f>
        <v>★★</v>
      </c>
      <c r="AE31" s="349" t="str">
        <f>IF(一覧!AE67="","",一覧!AE67)</f>
        <v>X準備</v>
      </c>
      <c r="AF31" s="349" t="str">
        <f>IF(一覧!AF67="","",一覧!AF67)</f>
        <v>X準備</v>
      </c>
      <c r="AG31" s="351" t="str">
        <f>IF(一覧!AG67="","",一覧!AG67)</f>
        <v/>
      </c>
      <c r="AH31" s="519" t="str">
        <f>IF(一覧!AH67="","",一覧!AH67)</f>
        <v>池永</v>
      </c>
      <c r="AI31" s="366"/>
      <c r="AJ31" s="366"/>
      <c r="AK31" s="366"/>
      <c r="AL31" s="366"/>
      <c r="AM31" s="366"/>
      <c r="AN31" s="366"/>
    </row>
    <row r="32" spans="1:40" ht="15" customHeight="1">
      <c r="A32" s="347">
        <f>COUNTIF(C31:AG31,"★")</f>
        <v>4</v>
      </c>
      <c r="B32" s="303" t="str">
        <f>IF(一覧!B68="","",一覧!B68)</f>
        <v/>
      </c>
      <c r="C32" s="355" t="str">
        <f>IF(一覧!C68="","",一覧!C68)</f>
        <v>局会</v>
      </c>
      <c r="D32" s="355" t="str">
        <f>IF(一覧!D68="","",一覧!D68)</f>
        <v/>
      </c>
      <c r="E32" s="355" t="str">
        <f>IF(一覧!E68="","",一覧!E68)</f>
        <v/>
      </c>
      <c r="F32" s="355" t="str">
        <f>IF(一覧!F68="","",一覧!F68)</f>
        <v>ＭＩＸ</v>
      </c>
      <c r="G32" s="355" t="str">
        <f>IF(一覧!G68="","",一覧!G68)</f>
        <v>ＭＩＸ</v>
      </c>
      <c r="H32" s="356" t="str">
        <f>IF(一覧!H68="","",一覧!H68)</f>
        <v/>
      </c>
      <c r="I32" s="355" t="str">
        <f>IF(一覧!I68="","",一覧!I68)</f>
        <v/>
      </c>
      <c r="J32" s="355" t="str">
        <f>IF(一覧!J68="","",一覧!J68)</f>
        <v/>
      </c>
      <c r="K32" s="355" t="str">
        <f>IF(一覧!K68="","",一覧!K68)</f>
        <v>ＴＤ</v>
      </c>
      <c r="L32" s="355" t="str">
        <f>IF(一覧!L68="","",一覧!L68)</f>
        <v/>
      </c>
      <c r="M32" s="355" t="str">
        <f>IF(一覧!M68="","",一覧!M68)</f>
        <v>収録</v>
      </c>
      <c r="N32" s="355" t="str">
        <f>IF(一覧!N68="","",一覧!N68)</f>
        <v>ＭＩＸ</v>
      </c>
      <c r="O32" s="356" t="str">
        <f>IF(一覧!O68="","",一覧!O68)</f>
        <v>下見</v>
      </c>
      <c r="P32" s="355" t="str">
        <f>IF(一覧!P68="","",一覧!P68)</f>
        <v/>
      </c>
      <c r="Q32" s="355" t="str">
        <f>IF(一覧!Q68="","",一覧!Q68)</f>
        <v>ＭＩＸ</v>
      </c>
      <c r="R32" s="355" t="str">
        <f>IF(一覧!R68="","",一覧!R68)</f>
        <v/>
      </c>
      <c r="S32" s="355" t="str">
        <f>IF(一覧!S68="","",一覧!S68)</f>
        <v>ＭＩＸ</v>
      </c>
      <c r="T32" s="355" t="str">
        <f>IF(一覧!T68="","",一覧!T68)</f>
        <v/>
      </c>
      <c r="U32" s="355" t="str">
        <f>IF(一覧!U68="","",一覧!U68)</f>
        <v>準備</v>
      </c>
      <c r="V32" s="356" t="str">
        <f>IF(一覧!V68="","",一覧!V68)</f>
        <v/>
      </c>
      <c r="W32" s="355" t="str">
        <f>IF(一覧!W68="","",一覧!W68)</f>
        <v/>
      </c>
      <c r="X32" s="355" t="str">
        <f>IF(一覧!X68="","",一覧!X68)</f>
        <v>ＭＩＸ2</v>
      </c>
      <c r="Y32" s="355" t="str">
        <f>IF(一覧!Y68="","",一覧!Y68)</f>
        <v>ＴＤ.MIX</v>
      </c>
      <c r="Z32" s="355" t="str">
        <f>IF(一覧!Z68="","",一覧!Z68)</f>
        <v>MA更新会</v>
      </c>
      <c r="AA32" s="355" t="str">
        <f>IF(一覧!AA68="","",一覧!AA68)</f>
        <v/>
      </c>
      <c r="AB32" s="355" t="str">
        <f>IF(一覧!AB68="","",一覧!AB68)</f>
        <v/>
      </c>
      <c r="AC32" s="356" t="str">
        <f>IF(一覧!AC68="","",一覧!AC68)</f>
        <v/>
      </c>
      <c r="AD32" s="355" t="str">
        <f>IF(一覧!AD68="","",一覧!AD68)</f>
        <v/>
      </c>
      <c r="AE32" s="355" t="str">
        <f>IF(一覧!AE68="","",一覧!AE68)</f>
        <v/>
      </c>
      <c r="AF32" s="355" t="str">
        <f>IF(一覧!AF68="","",一覧!AF68)</f>
        <v/>
      </c>
      <c r="AG32" s="357" t="str">
        <f>IF(一覧!AG68="","",一覧!AG68)</f>
        <v/>
      </c>
      <c r="AH32" s="304" t="str">
        <f>IF(一覧!AH68="","",一覧!AH68)</f>
        <v/>
      </c>
      <c r="AI32" s="366"/>
      <c r="AJ32" s="366"/>
      <c r="AK32" s="366"/>
      <c r="AL32" s="366"/>
      <c r="AM32" s="366"/>
      <c r="AN32" s="366"/>
    </row>
    <row r="33" spans="1:40" ht="15" customHeight="1">
      <c r="A33" s="347">
        <f>COUNTIF(C33:AG33,"★★")</f>
        <v>4</v>
      </c>
      <c r="B33" s="518" t="str">
        <f>IF(一覧!B71="","",一覧!B71)</f>
        <v>酒井　宏樹</v>
      </c>
      <c r="C33" s="349" t="str">
        <f>IF(一覧!C71="","",一覧!C71)</f>
        <v>下見</v>
      </c>
      <c r="D33" s="349" t="str">
        <f>IF(一覧!D71="","",一覧!D71)</f>
        <v>PT研修</v>
      </c>
      <c r="E33" s="349" t="str">
        <f>IF(一覧!E71="","",一覧!E71)</f>
        <v>準備</v>
      </c>
      <c r="F33" s="349" t="str">
        <f>IF(一覧!F71="","",一覧!F71)</f>
        <v>ten中継</v>
      </c>
      <c r="G33" s="349" t="str">
        <f>IF(一覧!G71="","",一覧!G71)</f>
        <v>ミヤネ屋</v>
      </c>
      <c r="H33" s="350" t="str">
        <f>IF(一覧!H71="","",一覧!H71)</f>
        <v>★</v>
      </c>
      <c r="I33" s="349" t="str">
        <f>IF(一覧!I71="","",一覧!I71)</f>
        <v>★★</v>
      </c>
      <c r="J33" s="349" t="str">
        <f>IF(一覧!J71="","",一覧!J71)</f>
        <v>年休</v>
      </c>
      <c r="K33" s="349" t="str">
        <f>IF(一覧!K71="","",一覧!K71)</f>
        <v>ミヤネ屋</v>
      </c>
      <c r="L33" s="349" t="str">
        <f>IF(一覧!L71="","",一覧!L71)</f>
        <v>ｔｅｎ！</v>
      </c>
      <c r="M33" s="349" t="str">
        <f>IF(一覧!M71="","",一覧!M71)</f>
        <v>音道楽</v>
      </c>
      <c r="N33" s="349" t="str">
        <f>IF(一覧!N71="","",一覧!N71)</f>
        <v>ミヤネ屋</v>
      </c>
      <c r="O33" s="350" t="str">
        <f>IF(一覧!O71="","",一覧!O71)</f>
        <v>ジグザグ</v>
      </c>
      <c r="P33" s="349" t="str">
        <f>IF(一覧!P71="","",一覧!P71)</f>
        <v>★★</v>
      </c>
      <c r="Q33" s="349" t="str">
        <f>IF(一覧!Q71="","",一覧!Q71)</f>
        <v>★</v>
      </c>
      <c r="R33" s="349" t="str">
        <f>IF(一覧!R71="","",一覧!R71)</f>
        <v>準備</v>
      </c>
      <c r="S33" s="349" t="str">
        <f>IF(一覧!S71="","",一覧!S71)</f>
        <v>読響</v>
      </c>
      <c r="T33" s="349" t="str">
        <f>IF(一覧!T71="","",一覧!T71)</f>
        <v>年休</v>
      </c>
      <c r="U33" s="349" t="str">
        <f>IF(一覧!U71="","",一覧!U71)</f>
        <v>音道楽</v>
      </c>
      <c r="V33" s="350" t="str">
        <f>IF(一覧!V71="","",一覧!V71)</f>
        <v>★★</v>
      </c>
      <c r="W33" s="349" t="str">
        <f>IF(一覧!W71="","",一覧!W71)</f>
        <v>準備</v>
      </c>
      <c r="X33" s="349" t="str">
        <f>IF(一覧!X71="","",一覧!X71)</f>
        <v>音道楽</v>
      </c>
      <c r="Y33" s="349" t="str">
        <f>IF(一覧!Y71="","",一覧!Y71)</f>
        <v>★</v>
      </c>
      <c r="Z33" s="349" t="str">
        <f>IF(一覧!Z71="","",一覧!Z71)</f>
        <v>音声G会</v>
      </c>
      <c r="AA33" s="349" t="str">
        <f>IF(一覧!AA71="","",一覧!AA71)</f>
        <v>人事配信</v>
      </c>
      <c r="AB33" s="349" t="str">
        <f>IF(一覧!AB71="","",一覧!AB71)</f>
        <v>委員会</v>
      </c>
      <c r="AC33" s="350" t="str">
        <f>IF(一覧!AC71="","",一覧!AC71)</f>
        <v>★</v>
      </c>
      <c r="AD33" s="349" t="str">
        <f>IF(一覧!AD71="","",一覧!AD71)</f>
        <v>★★</v>
      </c>
      <c r="AE33" s="349" t="str">
        <f>IF(一覧!AE71="","",一覧!AE71)</f>
        <v>MUSICDAY</v>
      </c>
      <c r="AF33" s="349" t="str">
        <f>IF(一覧!AF71="","",一覧!AF71)</f>
        <v>MUSICDAY</v>
      </c>
      <c r="AG33" s="351" t="str">
        <f>IF(一覧!AG71="","",一覧!AG71)</f>
        <v/>
      </c>
      <c r="AH33" s="519" t="str">
        <f>IF(一覧!AH71="","",一覧!AH71)</f>
        <v>酒井</v>
      </c>
      <c r="AI33" s="366"/>
      <c r="AJ33" s="366"/>
      <c r="AK33" s="366"/>
      <c r="AL33" s="366"/>
      <c r="AM33" s="366"/>
      <c r="AN33" s="366"/>
    </row>
    <row r="34" spans="1:40" ht="15" customHeight="1">
      <c r="A34" s="347">
        <f>COUNTIF(C33:AG33,"★")</f>
        <v>4</v>
      </c>
      <c r="B34" s="303" t="str">
        <f>IF(一覧!B72="","",一覧!B72)</f>
        <v/>
      </c>
      <c r="C34" s="355" t="str">
        <f>IF(一覧!C72="","",一覧!C72)</f>
        <v/>
      </c>
      <c r="D34" s="355" t="str">
        <f>IF(一覧!D72="","",一覧!D72)</f>
        <v/>
      </c>
      <c r="E34" s="355" t="str">
        <f>IF(一覧!E72="","",一覧!E72)</f>
        <v/>
      </c>
      <c r="F34" s="355" t="str">
        <f>IF(一覧!F72="","",一覧!F72)</f>
        <v>ＭＩＸ</v>
      </c>
      <c r="G34" s="355" t="str">
        <f>IF(一覧!G72="","",一覧!G72)</f>
        <v>ＡＡ</v>
      </c>
      <c r="H34" s="356" t="str">
        <f>IF(一覧!H72="","",一覧!H72)</f>
        <v/>
      </c>
      <c r="I34" s="355" t="str">
        <f>IF(一覧!I72="","",一覧!I72)</f>
        <v/>
      </c>
      <c r="J34" s="355" t="str">
        <f>IF(一覧!J72="","",一覧!J72)</f>
        <v/>
      </c>
      <c r="K34" s="355" t="str">
        <f>IF(一覧!K72="","",一覧!K72)</f>
        <v>ＭＩＸ</v>
      </c>
      <c r="L34" s="355" t="str">
        <f>IF(一覧!L72="","",一覧!L72)</f>
        <v>ＭＩＸ</v>
      </c>
      <c r="M34" s="355" t="str">
        <f>IF(一覧!M72="","",一覧!M72)</f>
        <v>収録</v>
      </c>
      <c r="N34" s="355" t="str">
        <f>IF(一覧!N72="","",一覧!N72)</f>
        <v>ＭＩＸ</v>
      </c>
      <c r="O34" s="356" t="str">
        <f>IF(一覧!O72="","",一覧!O72)</f>
        <v>ＭＩＸ</v>
      </c>
      <c r="P34" s="355" t="str">
        <f>IF(一覧!P72="","",一覧!P72)</f>
        <v/>
      </c>
      <c r="Q34" s="355" t="str">
        <f>IF(一覧!Q72="","",一覧!Q72)</f>
        <v/>
      </c>
      <c r="R34" s="355" t="str">
        <f>IF(一覧!R72="","",一覧!R72)</f>
        <v/>
      </c>
      <c r="S34" s="355" t="str">
        <f>IF(一覧!S72="","",一覧!S72)</f>
        <v>ＭＩＸ’</v>
      </c>
      <c r="T34" s="355" t="str">
        <f>IF(一覧!T72="","",一覧!T72)</f>
        <v/>
      </c>
      <c r="U34" s="355" t="str">
        <f>IF(一覧!U72="","",一覧!U72)</f>
        <v>準備</v>
      </c>
      <c r="V34" s="356" t="str">
        <f>IF(一覧!V72="","",一覧!V72)</f>
        <v/>
      </c>
      <c r="W34" s="355" t="str">
        <f>IF(一覧!W72="","",一覧!W72)</f>
        <v/>
      </c>
      <c r="X34" s="355" t="str">
        <f>IF(一覧!X72="","",一覧!X72)</f>
        <v>ＭＩＸ</v>
      </c>
      <c r="Y34" s="355" t="str">
        <f>IF(一覧!Y72="","",一覧!Y72)</f>
        <v/>
      </c>
      <c r="Z34" s="355" t="str">
        <f>IF(一覧!Z72="","",一覧!Z72)</f>
        <v>MA更新会</v>
      </c>
      <c r="AA34" s="355" t="str">
        <f>IF(一覧!AA72="","",一覧!AA72)</f>
        <v>ＴＤ</v>
      </c>
      <c r="AB34" s="355" t="str">
        <f>IF(一覧!AB72="","",一覧!AB72)</f>
        <v>ＭＩＸ</v>
      </c>
      <c r="AC34" s="356" t="str">
        <f>IF(一覧!AC72="","",一覧!AC72)</f>
        <v/>
      </c>
      <c r="AD34" s="355" t="str">
        <f>IF(一覧!AD72="","",一覧!AD72)</f>
        <v/>
      </c>
      <c r="AE34" s="355" t="str">
        <f>IF(一覧!AE72="","",一覧!AE72)</f>
        <v/>
      </c>
      <c r="AF34" s="355" t="str">
        <f>IF(一覧!AF72="","",一覧!AF72)</f>
        <v/>
      </c>
      <c r="AG34" s="357" t="str">
        <f>IF(一覧!AG72="","",一覧!AG72)</f>
        <v/>
      </c>
      <c r="AH34" s="304" t="str">
        <f>IF(一覧!AH72="","",一覧!AH72)</f>
        <v/>
      </c>
      <c r="AI34" s="366"/>
      <c r="AJ34" s="366"/>
      <c r="AK34" s="366"/>
      <c r="AL34" s="366"/>
      <c r="AM34" s="366"/>
      <c r="AN34" s="366"/>
    </row>
    <row r="35" spans="1:40" ht="15" customHeight="1">
      <c r="A35" s="347">
        <f>COUNTIF(C35:AG35,"★★")</f>
        <v>4</v>
      </c>
      <c r="B35" s="518" t="str">
        <f>IF(一覧!B87="","",一覧!B87)</f>
        <v>佐藤　翔</v>
      </c>
      <c r="C35" s="349" t="str">
        <f>IF(一覧!C87="","",一覧!C87)</f>
        <v/>
      </c>
      <c r="D35" s="349" t="str">
        <f>IF(一覧!D87="","",一覧!D87)</f>
        <v>PT研修</v>
      </c>
      <c r="E35" s="349" t="str">
        <f>IF(一覧!E87="","",一覧!E87)</f>
        <v>うさかめ</v>
      </c>
      <c r="F35" s="349" t="str">
        <f>IF(一覧!F87="","",一覧!F87)</f>
        <v>ten中継</v>
      </c>
      <c r="G35" s="349" t="str">
        <f>IF(一覧!G87="","",一覧!G87)</f>
        <v>吉田粗品</v>
      </c>
      <c r="H35" s="350" t="str">
        <f>IF(一覧!H87="","",一覧!H87)</f>
        <v>★</v>
      </c>
      <c r="I35" s="349" t="str">
        <f>IF(一覧!I87="","",一覧!I87)</f>
        <v>★★</v>
      </c>
      <c r="J35" s="349" t="str">
        <f>IF(一覧!J87="","",一覧!J87)</f>
        <v>年休</v>
      </c>
      <c r="K35" s="349" t="str">
        <f>IF(一覧!K87="","",一覧!K87)</f>
        <v>ほんわか</v>
      </c>
      <c r="L35" s="349" t="str">
        <f>IF(一覧!L87="","",一覧!L87)</f>
        <v>声</v>
      </c>
      <c r="M35" s="349" t="str">
        <f>IF(一覧!M87="","",一覧!M87)</f>
        <v>音道楽</v>
      </c>
      <c r="N35" s="349" t="str">
        <f>IF(一覧!N87="","",一覧!N87)</f>
        <v>ミヤネ屋</v>
      </c>
      <c r="O35" s="350" t="str">
        <f>IF(一覧!O87="","",一覧!O87)</f>
        <v>★</v>
      </c>
      <c r="P35" s="349" t="str">
        <f>IF(一覧!P87="","",一覧!P87)</f>
        <v>★★</v>
      </c>
      <c r="Q35" s="349" t="str">
        <f>IF(一覧!Q87="","",一覧!Q87)</f>
        <v>土ダメ</v>
      </c>
      <c r="R35" s="349" t="str">
        <f>IF(一覧!R87="","",一覧!R87)</f>
        <v>準備</v>
      </c>
      <c r="S35" s="349" t="str">
        <f>IF(一覧!S87="","",一覧!S87)</f>
        <v>読響</v>
      </c>
      <c r="T35" s="349" t="str">
        <f>IF(一覧!T87="","",一覧!T87)</f>
        <v>吉田粗品</v>
      </c>
      <c r="U35" s="349" t="str">
        <f>IF(一覧!U87="","",一覧!U87)</f>
        <v>年休</v>
      </c>
      <c r="V35" s="350" t="str">
        <f>IF(一覧!V87="","",一覧!V87)</f>
        <v>★★</v>
      </c>
      <c r="W35" s="349" t="str">
        <f>IF(一覧!W87="","",一覧!W87)</f>
        <v>準備</v>
      </c>
      <c r="X35" s="349" t="str">
        <f>IF(一覧!X87="","",一覧!X87)</f>
        <v>音道楽</v>
      </c>
      <c r="Y35" s="349" t="str">
        <f>IF(一覧!Y87="","",一覧!Y87)</f>
        <v>★</v>
      </c>
      <c r="Z35" s="349" t="str">
        <f>IF(一覧!Z87="","",一覧!Z87)</f>
        <v>音声G会</v>
      </c>
      <c r="AA35" s="349" t="str">
        <f>IF(一覧!AA87="","",一覧!AA87)</f>
        <v>人事配信</v>
      </c>
      <c r="AB35" s="349" t="str">
        <f>IF(一覧!AB87="","",一覧!AB87)</f>
        <v>委員会</v>
      </c>
      <c r="AC35" s="350" t="str">
        <f>IF(一覧!AC87="","",一覧!AC87)</f>
        <v>★</v>
      </c>
      <c r="AD35" s="349" t="str">
        <f>IF(一覧!AD87="","",一覧!AD87)</f>
        <v>★★</v>
      </c>
      <c r="AE35" s="349" t="str">
        <f>IF(一覧!AE87="","",一覧!AE87)</f>
        <v>MUSICDAY</v>
      </c>
      <c r="AF35" s="349" t="str">
        <f>IF(一覧!AF87="","",一覧!AF87)</f>
        <v>MUSICDAY</v>
      </c>
      <c r="AG35" s="351" t="str">
        <f>IF(一覧!AG87="","",一覧!AG87)</f>
        <v/>
      </c>
      <c r="AH35" s="519" t="str">
        <f>IF(一覧!AH87="","",一覧!AH87)</f>
        <v>佐藤</v>
      </c>
      <c r="AI35" s="366"/>
      <c r="AJ35" s="366"/>
      <c r="AK35" s="366"/>
      <c r="AL35" s="366"/>
      <c r="AM35" s="366"/>
      <c r="AN35" s="366"/>
    </row>
    <row r="36" spans="1:40" ht="15" customHeight="1">
      <c r="A36" s="347">
        <f>COUNTIF(C35:AG35,"★")</f>
        <v>4</v>
      </c>
      <c r="B36" s="303" t="str">
        <f>IF(一覧!B88="","",一覧!B88)</f>
        <v/>
      </c>
      <c r="C36" s="355" t="str">
        <f>IF(一覧!C88="","",一覧!C88)</f>
        <v>局会</v>
      </c>
      <c r="D36" s="355" t="str">
        <f>IF(一覧!D88="","",一覧!D88)</f>
        <v/>
      </c>
      <c r="E36" s="355" t="str">
        <f>IF(一覧!E88="","",一覧!E88)</f>
        <v>ＭＩＸ</v>
      </c>
      <c r="F36" s="355" t="str">
        <f>IF(一覧!F88="","",一覧!F88)</f>
        <v>ＡＡ</v>
      </c>
      <c r="G36" s="355" t="str">
        <f>IF(一覧!G88="","",一覧!G88)</f>
        <v>ＭＩＸ</v>
      </c>
      <c r="H36" s="356" t="str">
        <f>IF(一覧!H88="","",一覧!H88)</f>
        <v>※</v>
      </c>
      <c r="I36" s="355" t="str">
        <f>IF(一覧!I88="","",一覧!I88)</f>
        <v>※</v>
      </c>
      <c r="J36" s="355" t="str">
        <f>IF(一覧!J88="","",一覧!J88)</f>
        <v>※</v>
      </c>
      <c r="K36" s="355" t="str">
        <f>IF(一覧!K88="","",一覧!K88)</f>
        <v>ＭＩＸ</v>
      </c>
      <c r="L36" s="355" t="str">
        <f>IF(一覧!L88="","",一覧!L88)</f>
        <v>ＭＩＸ</v>
      </c>
      <c r="M36" s="355" t="str">
        <f>IF(一覧!M88="","",一覧!M88)</f>
        <v>収録</v>
      </c>
      <c r="N36" s="355" t="str">
        <f>IF(一覧!N88="","",一覧!N88)</f>
        <v>ＡＡ</v>
      </c>
      <c r="O36" s="356" t="str">
        <f>IF(一覧!O88="","",一覧!O88)</f>
        <v/>
      </c>
      <c r="P36" s="355" t="str">
        <f>IF(一覧!P88="","",一覧!P88)</f>
        <v/>
      </c>
      <c r="Q36" s="355" t="str">
        <f>IF(一覧!Q88="","",一覧!Q88)</f>
        <v>ＭＩＸ</v>
      </c>
      <c r="R36" s="355" t="str">
        <f>IF(一覧!R88="","",一覧!R88)</f>
        <v/>
      </c>
      <c r="S36" s="355" t="str">
        <f>IF(一覧!S88="","",一覧!S88)</f>
        <v>ＡＡ</v>
      </c>
      <c r="T36" s="355" t="str">
        <f>IF(一覧!T88="","",一覧!T88)</f>
        <v>ＭＩＸ</v>
      </c>
      <c r="U36" s="355" t="str">
        <f>IF(一覧!U88="","",一覧!U88)</f>
        <v/>
      </c>
      <c r="V36" s="356" t="str">
        <f>IF(一覧!V88="","",一覧!V88)</f>
        <v/>
      </c>
      <c r="W36" s="355" t="str">
        <f>IF(一覧!W88="","",一覧!W88)</f>
        <v/>
      </c>
      <c r="X36" s="355" t="str">
        <f>IF(一覧!X88="","",一覧!X88)</f>
        <v>ＡＡ</v>
      </c>
      <c r="Y36" s="355" t="str">
        <f>IF(一覧!Y88="","",一覧!Y88)</f>
        <v/>
      </c>
      <c r="Z36" s="355" t="str">
        <f>IF(一覧!Z88="","",一覧!Z88)</f>
        <v>MA更新会</v>
      </c>
      <c r="AA36" s="355" t="str">
        <f>IF(一覧!AA88="","",一覧!AA88)</f>
        <v/>
      </c>
      <c r="AB36" s="355" t="str">
        <f>IF(一覧!AB88="","",一覧!AB88)</f>
        <v>ＭＩＸ</v>
      </c>
      <c r="AC36" s="356" t="str">
        <f>IF(一覧!AC88="","",一覧!AC88)</f>
        <v/>
      </c>
      <c r="AD36" s="355" t="str">
        <f>IF(一覧!AD88="","",一覧!AD88)</f>
        <v/>
      </c>
      <c r="AE36" s="355" t="str">
        <f>IF(一覧!AE88="","",一覧!AE88)</f>
        <v/>
      </c>
      <c r="AF36" s="355" t="str">
        <f>IF(一覧!AF88="","",一覧!AF88)</f>
        <v/>
      </c>
      <c r="AG36" s="357" t="str">
        <f>IF(一覧!AG88="","",一覧!AG88)</f>
        <v/>
      </c>
      <c r="AH36" s="304" t="str">
        <f>IF(一覧!AH88="","",一覧!AH88)</f>
        <v/>
      </c>
      <c r="AI36" s="366"/>
      <c r="AJ36" s="366"/>
      <c r="AK36" s="366"/>
      <c r="AL36" s="366"/>
      <c r="AM36" s="366"/>
      <c r="AN36" s="366"/>
    </row>
    <row r="37" spans="1:40" ht="15" customHeight="1">
      <c r="A37" s="347">
        <f>COUNTIF(C37:AG37,"★★")</f>
        <v>4</v>
      </c>
      <c r="B37" s="518" t="str">
        <f>IF(一覧!B93="","",一覧!B93)</f>
        <v>谷口　英雄</v>
      </c>
      <c r="C37" s="80" t="str">
        <f>IF(一覧!C93="","",一覧!C93)</f>
        <v>マスター</v>
      </c>
      <c r="D37" s="80" t="str">
        <f>IF(一覧!D93="","",一覧!D93)</f>
        <v>マスター</v>
      </c>
      <c r="E37" s="80" t="str">
        <f>IF(一覧!E93="","",一覧!E93)</f>
        <v>マスター</v>
      </c>
      <c r="F37" s="80" t="str">
        <f>IF(一覧!F93="","",一覧!F93)</f>
        <v>マスター</v>
      </c>
      <c r="G37" s="80" t="str">
        <f>IF(一覧!G93="","",一覧!G93)</f>
        <v>代休</v>
      </c>
      <c r="H37" s="358" t="str">
        <f>IF(一覧!H93="","",一覧!H93)</f>
        <v>NsubTD</v>
      </c>
      <c r="I37" s="80" t="str">
        <f>IF(一覧!I93="","",一覧!I93)</f>
        <v>★★</v>
      </c>
      <c r="J37" s="80" t="str">
        <f>IF(一覧!J93="","",一覧!J93)</f>
        <v>マスター</v>
      </c>
      <c r="K37" s="80" t="str">
        <f>IF(一覧!K93="","",一覧!K93)</f>
        <v>★</v>
      </c>
      <c r="L37" s="80" t="str">
        <f>IF(一覧!L93="","",一覧!L93)</f>
        <v>ｔｅｎ！</v>
      </c>
      <c r="M37" s="80" t="str">
        <f>IF(一覧!M93="","",一覧!M93)</f>
        <v>マスター</v>
      </c>
      <c r="N37" s="80" t="str">
        <f>IF(一覧!N93="","",一覧!N93)</f>
        <v>マスター</v>
      </c>
      <c r="O37" s="358" t="str">
        <f>IF(一覧!O93="","",一覧!O93)</f>
        <v>マスター</v>
      </c>
      <c r="P37" s="80" t="str">
        <f>IF(一覧!P93="","",一覧!P93)</f>
        <v>★★</v>
      </c>
      <c r="Q37" s="80" t="str">
        <f>IF(一覧!Q93="","",一覧!Q93)</f>
        <v>★</v>
      </c>
      <c r="R37" s="80" t="str">
        <f>IF(一覧!R93="","",一覧!R93)</f>
        <v>ミヤネ屋</v>
      </c>
      <c r="S37" s="80" t="str">
        <f>IF(一覧!S93="","",一覧!S93)</f>
        <v>マスター</v>
      </c>
      <c r="T37" s="80" t="str">
        <f>IF(一覧!T93="","",一覧!T93)</f>
        <v>ｔｅｎ！</v>
      </c>
      <c r="U37" s="80" t="str">
        <f>IF(一覧!U93="","",一覧!U93)</f>
        <v>年休</v>
      </c>
      <c r="V37" s="358" t="str">
        <f>IF(一覧!V93="","",一覧!V93)</f>
        <v>★</v>
      </c>
      <c r="W37" s="80" t="str">
        <f>IF(一覧!W93="","",一覧!W93)</f>
        <v>★★</v>
      </c>
      <c r="X37" s="80" t="str">
        <f>IF(一覧!X93="","",一覧!X93)</f>
        <v>マスター</v>
      </c>
      <c r="Y37" s="80" t="str">
        <f>IF(一覧!Y93="","",一覧!Y93)</f>
        <v>マスター</v>
      </c>
      <c r="Z37" s="80" t="str">
        <f>IF(一覧!Z93="","",一覧!Z93)</f>
        <v>音声G会</v>
      </c>
      <c r="AA37" s="80" t="str">
        <f>IF(一覧!AA93="","",一覧!AA93)</f>
        <v>機材整備</v>
      </c>
      <c r="AB37" s="80" t="str">
        <f>IF(一覧!AB93="","",一覧!AB93)</f>
        <v>委員会</v>
      </c>
      <c r="AC37" s="358" t="str">
        <f>IF(一覧!AC93="","",一覧!AC93)</f>
        <v>★</v>
      </c>
      <c r="AD37" s="80" t="str">
        <f>IF(一覧!AD93="","",一覧!AD93)</f>
        <v>★★</v>
      </c>
      <c r="AE37" s="80" t="str">
        <f>IF(一覧!AE93="","",一覧!AE93)</f>
        <v>ミヤネ屋</v>
      </c>
      <c r="AF37" s="80" t="str">
        <f>IF(一覧!AF93="","",一覧!AF93)</f>
        <v>じゅっと</v>
      </c>
      <c r="AG37" s="359" t="str">
        <f>IF(一覧!AG93="","",一覧!AG93)</f>
        <v/>
      </c>
      <c r="AH37" s="519" t="str">
        <f>IF(一覧!AH93="","",一覧!AH93)</f>
        <v>谷口</v>
      </c>
      <c r="AI37" s="366"/>
      <c r="AJ37" s="366"/>
      <c r="AK37" s="366"/>
      <c r="AL37" s="366"/>
      <c r="AM37" s="366"/>
      <c r="AN37" s="366"/>
    </row>
    <row r="38" spans="1:40" ht="15" customHeight="1" thickBot="1">
      <c r="A38" s="347">
        <f>COUNTIF(C37:AG37,"★")</f>
        <v>4</v>
      </c>
      <c r="B38" s="424" t="str">
        <f>IF(一覧!B94="","",一覧!B94)</f>
        <v/>
      </c>
      <c r="C38" s="468" t="str">
        <f>IF(一覧!C94="","",一覧!C94)</f>
        <v>局会</v>
      </c>
      <c r="D38" s="468" t="str">
        <f>IF(一覧!D94="","",一覧!D94)</f>
        <v/>
      </c>
      <c r="E38" s="468" t="str">
        <f>IF(一覧!E94="","",一覧!E94)</f>
        <v>泊り</v>
      </c>
      <c r="F38" s="468" t="str">
        <f>IF(一覧!F94="","",一覧!F94)</f>
        <v>あけ</v>
      </c>
      <c r="G38" s="468" t="str">
        <f>IF(一覧!G94="","",一覧!G94)</f>
        <v>5/31分</v>
      </c>
      <c r="H38" s="469" t="str">
        <f>IF(一覧!H94="","",一覧!H94)</f>
        <v/>
      </c>
      <c r="I38" s="468" t="str">
        <f>IF(一覧!I94="","",一覧!I94)</f>
        <v/>
      </c>
      <c r="J38" s="468" t="str">
        <f>IF(一覧!J94="","",一覧!J94)</f>
        <v/>
      </c>
      <c r="K38" s="468" t="str">
        <f>IF(一覧!K94="","",一覧!K94)</f>
        <v/>
      </c>
      <c r="L38" s="468" t="str">
        <f>IF(一覧!L94="","",一覧!L94)</f>
        <v>ＭＩＸ’</v>
      </c>
      <c r="M38" s="468" t="str">
        <f>IF(一覧!M94="","",一覧!M94)</f>
        <v/>
      </c>
      <c r="N38" s="468" t="str">
        <f>IF(一覧!N94="","",一覧!N94)</f>
        <v>泊り</v>
      </c>
      <c r="O38" s="469" t="str">
        <f>IF(一覧!O94="","",一覧!O94)</f>
        <v>あけ</v>
      </c>
      <c r="P38" s="468" t="str">
        <f>IF(一覧!P94="","",一覧!P94)</f>
        <v/>
      </c>
      <c r="Q38" s="468" t="str">
        <f>IF(一覧!Q94="","",一覧!Q94)</f>
        <v/>
      </c>
      <c r="R38" s="468" t="str">
        <f>IF(一覧!R94="","",一覧!R94)</f>
        <v>ＴＤ’</v>
      </c>
      <c r="S38" s="468" t="str">
        <f>IF(一覧!S94="","",一覧!S94)</f>
        <v/>
      </c>
      <c r="T38" s="468" t="str">
        <f>IF(一覧!T94="","",一覧!T94)</f>
        <v>ＴＤ’</v>
      </c>
      <c r="U38" s="468" t="str">
        <f>IF(一覧!U94="","",一覧!U94)</f>
        <v>※</v>
      </c>
      <c r="V38" s="469" t="str">
        <f>IF(一覧!V94="","",一覧!V94)</f>
        <v>※</v>
      </c>
      <c r="W38" s="468" t="str">
        <f>IF(一覧!W94="","",一覧!W94)</f>
        <v>※</v>
      </c>
      <c r="X38" s="468" t="str">
        <f>IF(一覧!X94="","",一覧!X94)</f>
        <v>泊り</v>
      </c>
      <c r="Y38" s="468" t="str">
        <f>IF(一覧!Y94="","",一覧!Y94)</f>
        <v>あけ/G会</v>
      </c>
      <c r="Z38" s="468" t="str">
        <f>IF(一覧!Z94="","",一覧!Z94)</f>
        <v>MA更新会</v>
      </c>
      <c r="AA38" s="468" t="str">
        <f>IF(一覧!AA94="","",一覧!AA94)</f>
        <v/>
      </c>
      <c r="AB38" s="468" t="str">
        <f>IF(一覧!AB94="","",一覧!AB94)</f>
        <v>ＭＩＸ’</v>
      </c>
      <c r="AC38" s="469" t="str">
        <f>IF(一覧!AC94="","",一覧!AC94)</f>
        <v/>
      </c>
      <c r="AD38" s="468" t="str">
        <f>IF(一覧!AD94="","",一覧!AD94)</f>
        <v/>
      </c>
      <c r="AE38" s="468" t="str">
        <f>IF(一覧!AE94="","",一覧!AE94)</f>
        <v>ＭＩＸ’</v>
      </c>
      <c r="AF38" s="468" t="str">
        <f>IF(一覧!AF94="","",一覧!AF94)</f>
        <v>ＴＤ’</v>
      </c>
      <c r="AG38" s="470" t="str">
        <f>IF(一覧!AG94="","",一覧!AG94)</f>
        <v/>
      </c>
      <c r="AH38" s="425" t="str">
        <f>IF(一覧!AH94="","",一覧!AH94)</f>
        <v/>
      </c>
      <c r="AI38" s="366"/>
      <c r="AJ38" s="366"/>
      <c r="AK38" s="366"/>
      <c r="AL38" s="366"/>
      <c r="AM38" s="366"/>
      <c r="AN38" s="366"/>
    </row>
    <row r="39" spans="1:40" ht="15" customHeight="1">
      <c r="A39" s="347">
        <f>COUNTIF(C39:AG39,"★★")</f>
        <v>4</v>
      </c>
      <c r="B39" s="518" t="str">
        <f>IF(一覧!B63="","",一覧!B63)</f>
        <v>正木　良</v>
      </c>
      <c r="C39" s="80" t="str">
        <f>IF(一覧!C63="","",一覧!C63)</f>
        <v>　　　━</v>
      </c>
      <c r="D39" s="80" t="str">
        <f>IF(一覧!D63="","",一覧!D63)</f>
        <v>━　　　</v>
      </c>
      <c r="E39" s="80" t="str">
        <f>IF(一覧!E63="","",一覧!E63)</f>
        <v>ｔｅｎ！</v>
      </c>
      <c r="F39" s="80" t="str">
        <f>IF(一覧!F63="","",一覧!F63)</f>
        <v>NsubTD</v>
      </c>
      <c r="G39" s="80" t="str">
        <f>IF(一覧!G63="","",一覧!G63)</f>
        <v>代休</v>
      </c>
      <c r="H39" s="358" t="str">
        <f>IF(一覧!H63="","",一覧!H63)</f>
        <v>　　　━</v>
      </c>
      <c r="I39" s="80" t="str">
        <f>IF(一覧!I63="","",一覧!I63)</f>
        <v>━　　　</v>
      </c>
      <c r="J39" s="80" t="str">
        <f>IF(一覧!J63="","",一覧!J63)</f>
        <v>★★</v>
      </c>
      <c r="K39" s="80" t="str">
        <f>IF(一覧!K63="","",一覧!K63)</f>
        <v>近総通</v>
      </c>
      <c r="L39" s="80" t="str">
        <f>IF(一覧!L63="","",一覧!L63)</f>
        <v>ｔｅｎ！</v>
      </c>
      <c r="M39" s="80" t="str">
        <f>IF(一覧!M63="","",一覧!M63)</f>
        <v>ｔｅｎ！</v>
      </c>
      <c r="N39" s="80" t="str">
        <f>IF(一覧!N63="","",一覧!N63)</f>
        <v>★</v>
      </c>
      <c r="O39" s="358" t="str">
        <f>IF(一覧!O63="","",一覧!O63)</f>
        <v>読響</v>
      </c>
      <c r="P39" s="80" t="str">
        <f>IF(一覧!P63="","",一覧!P63)</f>
        <v>　　　━</v>
      </c>
      <c r="Q39" s="80" t="str">
        <f>IF(一覧!Q63="","",一覧!Q63)</f>
        <v>━　　　</v>
      </c>
      <c r="R39" s="80" t="str">
        <f>IF(一覧!R63="","",一覧!R63)</f>
        <v>★★</v>
      </c>
      <c r="S39" s="80" t="str">
        <f>IF(一覧!S63="","",一覧!S63)</f>
        <v>読響</v>
      </c>
      <c r="T39" s="80" t="str">
        <f>IF(一覧!T63="","",一覧!T63)</f>
        <v>★</v>
      </c>
      <c r="U39" s="80" t="str">
        <f>IF(一覧!U63="","",一覧!U63)</f>
        <v>NsubTD</v>
      </c>
      <c r="V39" s="358" t="str">
        <f>IF(一覧!V63="","",一覧!V63)</f>
        <v>★</v>
      </c>
      <c r="W39" s="80" t="str">
        <f>IF(一覧!W63="","",一覧!W63)</f>
        <v>★★</v>
      </c>
      <c r="X39" s="80" t="str">
        <f>IF(一覧!X63="","",一覧!X63)</f>
        <v>ten下見</v>
      </c>
      <c r="Y39" s="80" t="str">
        <f>IF(一覧!Y63="","",一覧!Y63)</f>
        <v>ＲＤ</v>
      </c>
      <c r="Z39" s="80" t="str">
        <f>IF(一覧!Z63="","",一覧!Z63)</f>
        <v>年休</v>
      </c>
      <c r="AA39" s="80" t="str">
        <f>IF(一覧!AA63="","",一覧!AA63)</f>
        <v>ten中継</v>
      </c>
      <c r="AB39" s="80" t="str">
        <f>IF(一覧!AB63="","",一覧!AB63)</f>
        <v>ｔｅｎ！</v>
      </c>
      <c r="AC39" s="358" t="str">
        <f>IF(一覧!AC63="","",一覧!AC63)</f>
        <v>★</v>
      </c>
      <c r="AD39" s="80" t="str">
        <f>IF(一覧!AD63="","",一覧!AD63)</f>
        <v>★★</v>
      </c>
      <c r="AE39" s="80" t="str">
        <f>IF(一覧!AE63="","",一覧!AE63)</f>
        <v>ＲＤ</v>
      </c>
      <c r="AF39" s="80" t="str">
        <f>IF(一覧!AF63="","",一覧!AF63)</f>
        <v>ｔｅｎ！</v>
      </c>
      <c r="AG39" s="359" t="str">
        <f>IF(一覧!AG63="","",一覧!AG63)</f>
        <v/>
      </c>
      <c r="AH39" s="519" t="str">
        <f>IF(一覧!AH63="","",一覧!AH63)</f>
        <v>正木</v>
      </c>
      <c r="AI39" s="366"/>
      <c r="AJ39" s="366"/>
      <c r="AK39" s="366"/>
      <c r="AL39" s="366"/>
      <c r="AM39" s="366"/>
      <c r="AN39" s="366"/>
    </row>
    <row r="40" spans="1:40" ht="15" customHeight="1">
      <c r="A40" s="347">
        <f>COUNTIF(C39:AG39,"★")</f>
        <v>4</v>
      </c>
      <c r="B40" s="303" t="str">
        <f>IF(一覧!B64="","",一覧!B64)</f>
        <v/>
      </c>
      <c r="C40" s="360" t="str">
        <f>IF(一覧!C64="","",一覧!C64)</f>
        <v/>
      </c>
      <c r="D40" s="360" t="str">
        <f>IF(一覧!D64="","",一覧!D64)</f>
        <v>TVU内覧</v>
      </c>
      <c r="E40" s="360" t="str">
        <f>IF(一覧!E64="","",一覧!E64)</f>
        <v>ＴＤ</v>
      </c>
      <c r="F40" s="360" t="str">
        <f>IF(一覧!F64="","",一覧!F64)</f>
        <v/>
      </c>
      <c r="G40" s="360" t="str">
        <f>IF(一覧!G64="","",一覧!G64)</f>
        <v>5/31分</v>
      </c>
      <c r="H40" s="361" t="str">
        <f>IF(一覧!H64="","",一覧!H64)</f>
        <v/>
      </c>
      <c r="I40" s="360" t="str">
        <f>IF(一覧!I64="","",一覧!I64)</f>
        <v/>
      </c>
      <c r="J40" s="360" t="str">
        <f>IF(一覧!J64="","",一覧!J64)</f>
        <v/>
      </c>
      <c r="K40" s="360" t="str">
        <f>IF(一覧!K64="","",一覧!K64)</f>
        <v>現地視察</v>
      </c>
      <c r="L40" s="360" t="str">
        <f>IF(一覧!L64="","",一覧!L64)</f>
        <v>ＴＤ</v>
      </c>
      <c r="M40" s="360" t="str">
        <f>IF(一覧!M64="","",一覧!M64)</f>
        <v>ＴＤ</v>
      </c>
      <c r="N40" s="360" t="str">
        <f>IF(一覧!N64="","",一覧!N64)</f>
        <v/>
      </c>
      <c r="O40" s="361" t="str">
        <f>IF(一覧!O64="","",一覧!O64)</f>
        <v>ﾘﾊｰｻﾙ</v>
      </c>
      <c r="P40" s="360" t="str">
        <f>IF(一覧!P64="","",一覧!P64)</f>
        <v/>
      </c>
      <c r="Q40" s="360" t="str">
        <f>IF(一覧!Q64="","",一覧!Q64)</f>
        <v/>
      </c>
      <c r="R40" s="360" t="str">
        <f>IF(一覧!R64="","",一覧!R64)</f>
        <v/>
      </c>
      <c r="S40" s="360" t="str">
        <f>IF(一覧!S64="","",一覧!S64)</f>
        <v>ＴＤ</v>
      </c>
      <c r="T40" s="360" t="str">
        <f>IF(一覧!T64="","",一覧!T64)</f>
        <v/>
      </c>
      <c r="U40" s="360" t="str">
        <f>IF(一覧!U64="","",一覧!U64)</f>
        <v>回線Ｇ</v>
      </c>
      <c r="V40" s="361" t="str">
        <f>IF(一覧!V64="","",一覧!V64)</f>
        <v/>
      </c>
      <c r="W40" s="360" t="str">
        <f>IF(一覧!W64="","",一覧!W64)</f>
        <v/>
      </c>
      <c r="X40" s="360" t="str">
        <f>IF(一覧!X64="","",一覧!X64)</f>
        <v/>
      </c>
      <c r="Y40" s="360" t="str">
        <f>IF(一覧!Y64="","",一覧!Y64)</f>
        <v/>
      </c>
      <c r="Z40" s="360" t="str">
        <f>IF(一覧!Z64="","",一覧!Z64)</f>
        <v>※</v>
      </c>
      <c r="AA40" s="360" t="str">
        <f>IF(一覧!AA64="","",一覧!AA64)</f>
        <v>ＴＤ</v>
      </c>
      <c r="AB40" s="360" t="str">
        <f>IF(一覧!AB64="","",一覧!AB64)</f>
        <v>ＴＤ</v>
      </c>
      <c r="AC40" s="361" t="str">
        <f>IF(一覧!AC64="","",一覧!AC64)</f>
        <v/>
      </c>
      <c r="AD40" s="360" t="str">
        <f>IF(一覧!AD64="","",一覧!AD64)</f>
        <v/>
      </c>
      <c r="AE40" s="360" t="str">
        <f>IF(一覧!AE64="","",一覧!AE64)</f>
        <v/>
      </c>
      <c r="AF40" s="360" t="str">
        <f>IF(一覧!AF64="","",一覧!AF64)</f>
        <v>NsubTD</v>
      </c>
      <c r="AG40" s="362" t="str">
        <f>IF(一覧!AG64="","",一覧!AG64)</f>
        <v/>
      </c>
      <c r="AH40" s="304" t="str">
        <f>IF(一覧!AH64="","",一覧!AH64)</f>
        <v/>
      </c>
      <c r="AI40" s="366"/>
      <c r="AJ40" s="366"/>
      <c r="AK40" s="366"/>
      <c r="AL40" s="366"/>
      <c r="AM40" s="366"/>
      <c r="AN40" s="366"/>
    </row>
    <row r="41" spans="1:40" ht="15" customHeight="1">
      <c r="A41" s="347">
        <f>COUNTIF(C41:AG41,"★★")</f>
        <v>4</v>
      </c>
      <c r="B41" s="518" t="str">
        <f>IF(一覧!B29="","",一覧!B29)</f>
        <v>鈴木　直人</v>
      </c>
      <c r="C41" s="349" t="str">
        <f>IF(一覧!C29="","",一覧!C29)</f>
        <v>局会</v>
      </c>
      <c r="D41" s="349" t="str">
        <f>IF(一覧!D29="","",一覧!D29)</f>
        <v/>
      </c>
      <c r="E41" s="349" t="str">
        <f>IF(一覧!E29="","",一覧!E29)</f>
        <v/>
      </c>
      <c r="F41" s="349" t="str">
        <f>IF(一覧!F29="","",一覧!F29)</f>
        <v/>
      </c>
      <c r="G41" s="349" t="str">
        <f>IF(一覧!G29="","",一覧!G29)</f>
        <v/>
      </c>
      <c r="H41" s="350" t="str">
        <f>IF(一覧!H29="","",一覧!H29)</f>
        <v>★</v>
      </c>
      <c r="I41" s="349" t="str">
        <f>IF(一覧!I29="","",一覧!I29)</f>
        <v>★★</v>
      </c>
      <c r="J41" s="349" t="str">
        <f>IF(一覧!J29="","",一覧!J29)</f>
        <v/>
      </c>
      <c r="K41" s="349" t="str">
        <f>IF(一覧!K29="","",一覧!K29)</f>
        <v/>
      </c>
      <c r="L41" s="349" t="str">
        <f>IF(一覧!L29="","",一覧!L29)</f>
        <v/>
      </c>
      <c r="M41" s="349" t="str">
        <f>IF(一覧!M29="","",一覧!M29)</f>
        <v>　　　━</v>
      </c>
      <c r="N41" s="349" t="str">
        <f>IF(一覧!N29="","",一覧!N29)</f>
        <v>━　　　</v>
      </c>
      <c r="O41" s="350" t="str">
        <f>IF(一覧!O29="","",一覧!O29)</f>
        <v>★</v>
      </c>
      <c r="P41" s="349" t="str">
        <f>IF(一覧!P29="","",一覧!P29)</f>
        <v>★★</v>
      </c>
      <c r="Q41" s="349" t="str">
        <f>IF(一覧!Q29="","",一覧!Q29)</f>
        <v/>
      </c>
      <c r="R41" s="349" t="str">
        <f>IF(一覧!R29="","",一覧!R29)</f>
        <v/>
      </c>
      <c r="S41" s="349" t="str">
        <f>IF(一覧!S29="","",一覧!S29)</f>
        <v/>
      </c>
      <c r="T41" s="349" t="str">
        <f>IF(一覧!T29="","",一覧!T29)</f>
        <v>ＲＤ</v>
      </c>
      <c r="U41" s="349" t="str">
        <f>IF(一覧!U29="","",一覧!U29)</f>
        <v>ｶﾒﾗG会</v>
      </c>
      <c r="V41" s="350" t="str">
        <f>IF(一覧!V29="","",一覧!V29)</f>
        <v>★</v>
      </c>
      <c r="W41" s="349" t="str">
        <f>IF(一覧!W29="","",一覧!W29)</f>
        <v>★★</v>
      </c>
      <c r="X41" s="349" t="str">
        <f>IF(一覧!X29="","",一覧!X29)</f>
        <v/>
      </c>
      <c r="Y41" s="349" t="str">
        <f>IF(一覧!Y29="","",一覧!Y29)</f>
        <v/>
      </c>
      <c r="Z41" s="349" t="str">
        <f>IF(一覧!Z29="","",一覧!Z29)</f>
        <v>音G/VEG</v>
      </c>
      <c r="AA41" s="349" t="str">
        <f>IF(一覧!AA29="","",一覧!AA29)</f>
        <v>ＲＤ</v>
      </c>
      <c r="AB41" s="349" t="str">
        <f>IF(一覧!AB29="","",一覧!AB29)</f>
        <v>技術会議</v>
      </c>
      <c r="AC41" s="350" t="str">
        <f>IF(一覧!AC29="","",一覧!AC29)</f>
        <v>★</v>
      </c>
      <c r="AD41" s="349" t="str">
        <f>IF(一覧!AD29="","",一覧!AD29)</f>
        <v>★★</v>
      </c>
      <c r="AE41" s="349" t="str">
        <f>IF(一覧!AE29="","",一覧!AE29)</f>
        <v/>
      </c>
      <c r="AF41" s="349" t="str">
        <f>IF(一覧!AF29="","",一覧!AF29)</f>
        <v/>
      </c>
      <c r="AG41" s="351" t="str">
        <f>IF(一覧!AG29="","",一覧!AG29)</f>
        <v/>
      </c>
      <c r="AH41" s="519" t="str">
        <f>IF(一覧!AH29="","",一覧!AH29)</f>
        <v>鈴木</v>
      </c>
      <c r="AI41" s="366"/>
      <c r="AJ41" s="366"/>
      <c r="AK41" s="366"/>
      <c r="AL41" s="366"/>
      <c r="AM41" s="366"/>
      <c r="AN41" s="366"/>
    </row>
    <row r="42" spans="1:40" ht="15" customHeight="1" thickBot="1">
      <c r="A42" s="347">
        <f>COUNTIF(C41:AG41,"★")</f>
        <v>4</v>
      </c>
      <c r="B42" s="424" t="str">
        <f>IF(一覧!B30="","",一覧!B30)</f>
        <v/>
      </c>
      <c r="C42" s="464" t="str">
        <f>IF(一覧!C30="","",一覧!C30)</f>
        <v>部長会</v>
      </c>
      <c r="D42" s="464" t="str">
        <f>IF(一覧!D30="","",一覧!D30)</f>
        <v>車両会議</v>
      </c>
      <c r="E42" s="464" t="str">
        <f>IF(一覧!E30="","",一覧!E30)</f>
        <v/>
      </c>
      <c r="F42" s="464" t="str">
        <f>IF(一覧!F30="","",一覧!F30)</f>
        <v/>
      </c>
      <c r="G42" s="464" t="str">
        <f>IF(一覧!G30="","",一覧!G30)</f>
        <v>セミナー</v>
      </c>
      <c r="H42" s="465" t="str">
        <f>IF(一覧!H30="","",一覧!H30)</f>
        <v/>
      </c>
      <c r="I42" s="464" t="str">
        <f>IF(一覧!I30="","",一覧!I30)</f>
        <v/>
      </c>
      <c r="J42" s="464" t="str">
        <f>IF(一覧!J30="","",一覧!J30)</f>
        <v>部長会</v>
      </c>
      <c r="K42" s="464" t="str">
        <f>IF(一覧!K30="","",一覧!K30)</f>
        <v/>
      </c>
      <c r="L42" s="464" t="str">
        <f>IF(一覧!L30="","",一覧!L30)</f>
        <v>照明G</v>
      </c>
      <c r="M42" s="464" t="str">
        <f>IF(一覧!M30="","",一覧!M30)</f>
        <v>コンプラ</v>
      </c>
      <c r="N42" s="464" t="str">
        <f>IF(一覧!N30="","",一覧!N30)</f>
        <v>事故対</v>
      </c>
      <c r="O42" s="465" t="str">
        <f>IF(一覧!O30="","",一覧!O30)</f>
        <v>※</v>
      </c>
      <c r="P42" s="464" t="str">
        <f>IF(一覧!P30="","",一覧!P30)</f>
        <v/>
      </c>
      <c r="Q42" s="464" t="str">
        <f>IF(一覧!Q30="","",一覧!Q30)</f>
        <v>部長会</v>
      </c>
      <c r="R42" s="464" t="str">
        <f>IF(一覧!R30="","",一覧!R30)</f>
        <v/>
      </c>
      <c r="S42" s="464" t="str">
        <f>IF(一覧!S30="","",一覧!S30)</f>
        <v/>
      </c>
      <c r="T42" s="464" t="str">
        <f>IF(一覧!T30="","",一覧!T30)</f>
        <v/>
      </c>
      <c r="U42" s="464" t="str">
        <f>IF(一覧!U30="","",一覧!U30)</f>
        <v>回線Ｇ</v>
      </c>
      <c r="V42" s="465" t="str">
        <f>IF(一覧!V30="","",一覧!V30)</f>
        <v>※</v>
      </c>
      <c r="W42" s="464" t="str">
        <f>IF(一覧!W30="","",一覧!W30)</f>
        <v>※</v>
      </c>
      <c r="X42" s="464" t="str">
        <f>IF(一覧!X30="","",一覧!X30)</f>
        <v>部長会</v>
      </c>
      <c r="Y42" s="464" t="str">
        <f>IF(一覧!Y30="","",一覧!Y30)</f>
        <v/>
      </c>
      <c r="Z42" s="464" t="str">
        <f>IF(一覧!Z30="","",一覧!Z30)</f>
        <v>制作費会議</v>
      </c>
      <c r="AA42" s="464" t="str">
        <f>IF(一覧!AA30="","",一覧!AA30)</f>
        <v/>
      </c>
      <c r="AB42" s="464" t="str">
        <f>IF(一覧!AB30="","",一覧!AB30)</f>
        <v>NT会議</v>
      </c>
      <c r="AC42" s="465" t="str">
        <f>IF(一覧!AC30="","",一覧!AC30)</f>
        <v/>
      </c>
      <c r="AD42" s="464" t="str">
        <f>IF(一覧!AD30="","",一覧!AD30)</f>
        <v/>
      </c>
      <c r="AE42" s="464" t="str">
        <f>IF(一覧!AE30="","",一覧!AE30)</f>
        <v>部長会</v>
      </c>
      <c r="AF42" s="464" t="str">
        <f>IF(一覧!AF30="","",一覧!AF30)</f>
        <v/>
      </c>
      <c r="AG42" s="466" t="str">
        <f>IF(一覧!AG30="","",一覧!AG30)</f>
        <v/>
      </c>
      <c r="AH42" s="425" t="str">
        <f>IF(一覧!AH30="","",一覧!AH30)</f>
        <v/>
      </c>
      <c r="AI42" s="366"/>
      <c r="AJ42" s="366"/>
      <c r="AK42" s="366"/>
      <c r="AL42" s="366"/>
      <c r="AM42" s="366"/>
      <c r="AN42" s="366"/>
    </row>
    <row r="43" spans="1:40" ht="14.15" customHeight="1">
      <c r="B43" s="518" t="s">
        <v>393</v>
      </c>
      <c r="C43" s="125" t="s">
        <v>350</v>
      </c>
      <c r="D43" s="125" t="s">
        <v>20</v>
      </c>
      <c r="E43" s="125" t="s">
        <v>20</v>
      </c>
      <c r="F43" s="125" t="s">
        <v>350</v>
      </c>
      <c r="G43" s="125" t="s">
        <v>350</v>
      </c>
      <c r="H43" s="168"/>
      <c r="I43" s="125"/>
      <c r="J43" s="125" t="s">
        <v>350</v>
      </c>
      <c r="K43" s="125" t="s">
        <v>20</v>
      </c>
      <c r="L43" s="125" t="s">
        <v>20</v>
      </c>
      <c r="M43" s="125" t="s">
        <v>350</v>
      </c>
      <c r="N43" s="125" t="s">
        <v>350</v>
      </c>
      <c r="O43" s="168"/>
      <c r="P43" s="125"/>
      <c r="Q43" s="125" t="s">
        <v>350</v>
      </c>
      <c r="R43" s="125" t="s">
        <v>20</v>
      </c>
      <c r="S43" s="125" t="s">
        <v>20</v>
      </c>
      <c r="T43" s="125" t="s">
        <v>350</v>
      </c>
      <c r="U43" s="125" t="s">
        <v>350</v>
      </c>
      <c r="V43" s="168"/>
      <c r="W43" s="125"/>
      <c r="X43" s="125" t="s">
        <v>350</v>
      </c>
      <c r="Y43" s="125" t="s">
        <v>20</v>
      </c>
      <c r="Z43" s="125" t="s">
        <v>20</v>
      </c>
      <c r="AA43" s="125" t="s">
        <v>350</v>
      </c>
      <c r="AB43" s="125" t="s">
        <v>350</v>
      </c>
      <c r="AC43" s="168"/>
      <c r="AD43" s="125"/>
      <c r="AE43" s="125" t="s">
        <v>350</v>
      </c>
      <c r="AF43" s="125" t="s">
        <v>20</v>
      </c>
      <c r="AG43" s="263"/>
      <c r="AH43" s="519" t="s">
        <v>393</v>
      </c>
      <c r="AI43" s="366"/>
      <c r="AJ43" s="366"/>
      <c r="AK43" s="366"/>
      <c r="AL43" s="366"/>
      <c r="AM43" s="366"/>
      <c r="AN43" s="366"/>
    </row>
    <row r="44" spans="1:40" ht="14.15" customHeight="1">
      <c r="B44" s="303"/>
      <c r="C44" s="126" t="s">
        <v>394</v>
      </c>
      <c r="D44" s="126" t="s">
        <v>394</v>
      </c>
      <c r="E44" s="126" t="s">
        <v>394</v>
      </c>
      <c r="F44" s="126" t="s">
        <v>394</v>
      </c>
      <c r="G44" s="126" t="s">
        <v>394</v>
      </c>
      <c r="H44" s="169"/>
      <c r="I44" s="126"/>
      <c r="J44" s="126" t="s">
        <v>394</v>
      </c>
      <c r="K44" s="126" t="s">
        <v>395</v>
      </c>
      <c r="L44" s="126" t="s">
        <v>394</v>
      </c>
      <c r="M44" s="126" t="s">
        <v>394</v>
      </c>
      <c r="N44" s="126" t="s">
        <v>394</v>
      </c>
      <c r="O44" s="169"/>
      <c r="P44" s="126"/>
      <c r="Q44" s="126" t="s">
        <v>394</v>
      </c>
      <c r="R44" s="126" t="s">
        <v>394</v>
      </c>
      <c r="S44" s="126" t="s">
        <v>394</v>
      </c>
      <c r="T44" s="126" t="s">
        <v>394</v>
      </c>
      <c r="U44" s="126" t="s">
        <v>394</v>
      </c>
      <c r="V44" s="169"/>
      <c r="W44" s="126"/>
      <c r="X44" s="126" t="s">
        <v>394</v>
      </c>
      <c r="Y44" s="126" t="s">
        <v>394</v>
      </c>
      <c r="Z44" s="126" t="s">
        <v>394</v>
      </c>
      <c r="AA44" s="126" t="s">
        <v>394</v>
      </c>
      <c r="AB44" s="126" t="s">
        <v>394</v>
      </c>
      <c r="AC44" s="169"/>
      <c r="AD44" s="126"/>
      <c r="AE44" s="126" t="s">
        <v>394</v>
      </c>
      <c r="AF44" s="126" t="s">
        <v>394</v>
      </c>
      <c r="AG44" s="264"/>
      <c r="AH44" s="304"/>
      <c r="AI44" s="366"/>
      <c r="AJ44" s="366"/>
      <c r="AK44" s="366"/>
      <c r="AL44" s="366"/>
      <c r="AM44" s="366"/>
      <c r="AN44" s="366"/>
    </row>
    <row r="45" spans="1:40" ht="14.15" customHeight="1">
      <c r="B45" s="518" t="s">
        <v>396</v>
      </c>
      <c r="C45" s="125"/>
      <c r="D45" s="125"/>
      <c r="E45" s="125"/>
      <c r="F45" s="125"/>
      <c r="G45" s="125" t="s">
        <v>353</v>
      </c>
      <c r="H45" s="168"/>
      <c r="I45" s="125" t="s">
        <v>370</v>
      </c>
      <c r="J45" s="125"/>
      <c r="K45" s="125"/>
      <c r="L45" s="125"/>
      <c r="M45" s="125"/>
      <c r="N45" s="125"/>
      <c r="O45" s="168"/>
      <c r="P45" s="125"/>
      <c r="Q45" s="125"/>
      <c r="R45" s="125"/>
      <c r="S45" s="125"/>
      <c r="T45" s="125" t="s">
        <v>353</v>
      </c>
      <c r="U45" s="125"/>
      <c r="V45" s="168"/>
      <c r="W45" s="125"/>
      <c r="X45" s="125" t="s">
        <v>355</v>
      </c>
      <c r="Y45" s="125"/>
      <c r="Z45" s="125"/>
      <c r="AA45" s="125"/>
      <c r="AB45" s="125"/>
      <c r="AC45" s="168"/>
      <c r="AD45" s="125" t="s">
        <v>370</v>
      </c>
      <c r="AE45" s="125"/>
      <c r="AF45" s="125"/>
      <c r="AG45" s="263"/>
      <c r="AH45" s="519" t="s">
        <v>396</v>
      </c>
      <c r="AI45" s="366"/>
      <c r="AJ45" s="366"/>
      <c r="AK45" s="366"/>
      <c r="AL45" s="366"/>
      <c r="AM45" s="366"/>
      <c r="AN45" s="366"/>
    </row>
    <row r="46" spans="1:40" ht="14.15" customHeight="1">
      <c r="B46" s="303"/>
      <c r="C46" s="126"/>
      <c r="D46" s="126"/>
      <c r="E46" s="126"/>
      <c r="F46" s="126"/>
      <c r="G46" s="126" t="s">
        <v>397</v>
      </c>
      <c r="H46" s="169"/>
      <c r="I46" s="126" t="s">
        <v>398</v>
      </c>
      <c r="J46" s="126"/>
      <c r="K46" s="126"/>
      <c r="L46" s="126"/>
      <c r="M46" s="126"/>
      <c r="N46" s="126"/>
      <c r="O46" s="169"/>
      <c r="P46" s="126"/>
      <c r="Q46" s="126"/>
      <c r="R46" s="126"/>
      <c r="S46" s="126"/>
      <c r="T46" s="126" t="s">
        <v>397</v>
      </c>
      <c r="U46" s="126"/>
      <c r="V46" s="169"/>
      <c r="W46" s="126"/>
      <c r="X46" s="126" t="s">
        <v>399</v>
      </c>
      <c r="Y46" s="126"/>
      <c r="Z46" s="126"/>
      <c r="AA46" s="126"/>
      <c r="AB46" s="126"/>
      <c r="AC46" s="169"/>
      <c r="AD46" s="126" t="s">
        <v>398</v>
      </c>
      <c r="AE46" s="126"/>
      <c r="AF46" s="126"/>
      <c r="AG46" s="264"/>
      <c r="AH46" s="304"/>
      <c r="AI46" s="366"/>
      <c r="AJ46" s="366"/>
      <c r="AK46" s="366"/>
      <c r="AL46" s="366"/>
      <c r="AM46" s="366"/>
      <c r="AN46" s="366"/>
    </row>
    <row r="47" spans="1:40" ht="14.15" customHeight="1">
      <c r="B47" s="518" t="s">
        <v>400</v>
      </c>
      <c r="C47" s="125"/>
      <c r="D47" s="125"/>
      <c r="E47" s="125" t="s">
        <v>25</v>
      </c>
      <c r="F47" s="125"/>
      <c r="G47" s="125"/>
      <c r="H47" s="168" t="s">
        <v>26</v>
      </c>
      <c r="I47" s="125"/>
      <c r="J47" s="125"/>
      <c r="K47" s="125" t="s">
        <v>359</v>
      </c>
      <c r="L47" s="125"/>
      <c r="M47" s="125"/>
      <c r="N47" s="125" t="s">
        <v>361</v>
      </c>
      <c r="O47" s="168" t="s">
        <v>26</v>
      </c>
      <c r="P47" s="125"/>
      <c r="Q47" s="125"/>
      <c r="R47" s="125"/>
      <c r="S47" s="125" t="s">
        <v>25</v>
      </c>
      <c r="T47" s="125"/>
      <c r="U47" s="125"/>
      <c r="V47" s="168" t="s">
        <v>26</v>
      </c>
      <c r="W47" s="125"/>
      <c r="X47" s="125" t="s">
        <v>360</v>
      </c>
      <c r="Y47" s="125" t="s">
        <v>359</v>
      </c>
      <c r="Z47" s="125"/>
      <c r="AA47" s="125"/>
      <c r="AB47" s="125" t="s">
        <v>361</v>
      </c>
      <c r="AC47" s="168"/>
      <c r="AD47" s="125"/>
      <c r="AE47" s="125"/>
      <c r="AF47" s="125"/>
      <c r="AG47" s="263"/>
      <c r="AH47" s="519" t="s">
        <v>400</v>
      </c>
      <c r="AI47" s="366"/>
      <c r="AJ47" s="366"/>
      <c r="AK47" s="366"/>
      <c r="AL47" s="366"/>
      <c r="AM47" s="366"/>
      <c r="AN47" s="366"/>
    </row>
    <row r="48" spans="1:40" ht="14.15" customHeight="1">
      <c r="B48" s="303"/>
      <c r="C48" s="126"/>
      <c r="D48" s="126"/>
      <c r="E48" s="126" t="s">
        <v>395</v>
      </c>
      <c r="F48" s="126"/>
      <c r="G48" s="126"/>
      <c r="H48" s="169" t="s">
        <v>394</v>
      </c>
      <c r="I48" s="126"/>
      <c r="J48" s="126"/>
      <c r="K48" s="126" t="s">
        <v>395</v>
      </c>
      <c r="L48" s="126"/>
      <c r="M48" s="126"/>
      <c r="N48" s="126" t="s">
        <v>401</v>
      </c>
      <c r="O48" s="169" t="s">
        <v>395</v>
      </c>
      <c r="P48" s="126"/>
      <c r="Q48" s="126"/>
      <c r="R48" s="126"/>
      <c r="S48" s="126" t="s">
        <v>394</v>
      </c>
      <c r="T48" s="126"/>
      <c r="U48" s="126"/>
      <c r="V48" s="169" t="s">
        <v>394</v>
      </c>
      <c r="W48" s="126"/>
      <c r="X48" s="126" t="s">
        <v>395</v>
      </c>
      <c r="Y48" s="126" t="s">
        <v>395</v>
      </c>
      <c r="Z48" s="126"/>
      <c r="AA48" s="126"/>
      <c r="AB48" s="126" t="s">
        <v>397</v>
      </c>
      <c r="AC48" s="169"/>
      <c r="AD48" s="126"/>
      <c r="AE48" s="126"/>
      <c r="AF48" s="126"/>
      <c r="AG48" s="264"/>
      <c r="AH48" s="304"/>
      <c r="AI48" s="366"/>
      <c r="AJ48" s="366"/>
      <c r="AK48" s="366"/>
      <c r="AL48" s="366"/>
      <c r="AM48" s="366"/>
      <c r="AN48" s="366"/>
    </row>
    <row r="49" spans="2:40" ht="14.15" customHeight="1">
      <c r="B49" s="518" t="s">
        <v>402</v>
      </c>
      <c r="C49" s="125"/>
      <c r="D49" s="125"/>
      <c r="E49" s="125"/>
      <c r="F49" s="125"/>
      <c r="G49" s="125"/>
      <c r="H49" s="168"/>
      <c r="I49" s="125"/>
      <c r="J49" s="125"/>
      <c r="K49" s="127"/>
      <c r="L49" s="125"/>
      <c r="M49" s="125"/>
      <c r="N49" s="125"/>
      <c r="O49" s="168"/>
      <c r="P49" s="125"/>
      <c r="Q49" s="125"/>
      <c r="R49" s="127"/>
      <c r="S49" s="125"/>
      <c r="T49" s="125"/>
      <c r="U49" s="125"/>
      <c r="V49" s="168"/>
      <c r="W49" s="125"/>
      <c r="X49" s="125"/>
      <c r="Y49" s="127"/>
      <c r="Z49" s="125"/>
      <c r="AA49" s="125"/>
      <c r="AB49" s="125"/>
      <c r="AC49" s="168"/>
      <c r="AD49" s="125"/>
      <c r="AE49" s="125"/>
      <c r="AF49" s="127"/>
      <c r="AG49" s="263"/>
      <c r="AH49" s="519" t="s">
        <v>402</v>
      </c>
      <c r="AI49" s="366"/>
      <c r="AJ49" s="366"/>
      <c r="AK49" s="366"/>
      <c r="AL49" s="366"/>
      <c r="AM49" s="366"/>
      <c r="AN49" s="366"/>
    </row>
    <row r="50" spans="2:40" ht="14.15" customHeight="1">
      <c r="B50" s="303"/>
      <c r="C50" s="126"/>
      <c r="D50" s="126"/>
      <c r="E50" s="126"/>
      <c r="F50" s="126"/>
      <c r="G50" s="126"/>
      <c r="H50" s="169"/>
      <c r="I50" s="126"/>
      <c r="J50" s="126"/>
      <c r="K50" s="305"/>
      <c r="L50" s="126"/>
      <c r="M50" s="126"/>
      <c r="N50" s="126"/>
      <c r="O50" s="169"/>
      <c r="P50" s="126"/>
      <c r="Q50" s="126"/>
      <c r="R50" s="305"/>
      <c r="S50" s="126"/>
      <c r="T50" s="126"/>
      <c r="U50" s="126"/>
      <c r="V50" s="169"/>
      <c r="W50" s="126"/>
      <c r="X50" s="126"/>
      <c r="Y50" s="305"/>
      <c r="Z50" s="126"/>
      <c r="AA50" s="126"/>
      <c r="AB50" s="126"/>
      <c r="AC50" s="169"/>
      <c r="AD50" s="126"/>
      <c r="AE50" s="126"/>
      <c r="AF50" s="305"/>
      <c r="AG50" s="264"/>
      <c r="AH50" s="304"/>
      <c r="AI50" s="366"/>
      <c r="AJ50" s="366"/>
      <c r="AK50" s="366"/>
      <c r="AL50" s="366"/>
      <c r="AM50" s="366"/>
      <c r="AN50" s="366"/>
    </row>
    <row r="51" spans="2:40" ht="14.15" customHeight="1">
      <c r="B51" s="518" t="s">
        <v>403</v>
      </c>
      <c r="C51" s="125" t="s">
        <v>16</v>
      </c>
      <c r="D51" s="125"/>
      <c r="E51" s="125"/>
      <c r="F51" s="125" t="s">
        <v>16</v>
      </c>
      <c r="G51" s="125" t="s">
        <v>16</v>
      </c>
      <c r="H51" s="168"/>
      <c r="I51" s="125"/>
      <c r="J51" s="125" t="s">
        <v>16</v>
      </c>
      <c r="K51" s="127"/>
      <c r="L51" s="125"/>
      <c r="M51" s="125" t="s">
        <v>16</v>
      </c>
      <c r="N51" s="125" t="s">
        <v>16</v>
      </c>
      <c r="O51" s="168"/>
      <c r="P51" s="125"/>
      <c r="Q51" s="125" t="s">
        <v>16</v>
      </c>
      <c r="R51" s="127"/>
      <c r="S51" s="125"/>
      <c r="T51" s="125" t="s">
        <v>16</v>
      </c>
      <c r="U51" s="125" t="s">
        <v>16</v>
      </c>
      <c r="V51" s="168"/>
      <c r="W51" s="125"/>
      <c r="X51" s="125" t="s">
        <v>16</v>
      </c>
      <c r="Y51" s="127"/>
      <c r="Z51" s="125"/>
      <c r="AA51" s="125" t="s">
        <v>16</v>
      </c>
      <c r="AB51" s="125" t="s">
        <v>16</v>
      </c>
      <c r="AC51" s="168"/>
      <c r="AD51" s="125"/>
      <c r="AE51" s="125" t="s">
        <v>16</v>
      </c>
      <c r="AF51" s="127"/>
      <c r="AG51" s="263"/>
      <c r="AH51" s="519" t="s">
        <v>403</v>
      </c>
      <c r="AI51" s="366"/>
      <c r="AJ51" s="366"/>
      <c r="AK51" s="366"/>
      <c r="AL51" s="366"/>
      <c r="AM51" s="366"/>
      <c r="AN51" s="366"/>
    </row>
    <row r="52" spans="2:40" ht="14.15" customHeight="1">
      <c r="B52" s="303"/>
      <c r="C52" s="126" t="s">
        <v>394</v>
      </c>
      <c r="D52" s="126"/>
      <c r="E52" s="126"/>
      <c r="F52" s="126" t="s">
        <v>395</v>
      </c>
      <c r="G52" s="126" t="s">
        <v>394</v>
      </c>
      <c r="H52" s="169"/>
      <c r="I52" s="126"/>
      <c r="J52" s="126" t="s">
        <v>394</v>
      </c>
      <c r="K52" s="305"/>
      <c r="L52" s="126"/>
      <c r="M52" s="126" t="s">
        <v>394</v>
      </c>
      <c r="N52" s="126" t="s">
        <v>394</v>
      </c>
      <c r="O52" s="169"/>
      <c r="P52" s="126"/>
      <c r="Q52" s="126" t="s">
        <v>394</v>
      </c>
      <c r="R52" s="305"/>
      <c r="S52" s="126"/>
      <c r="T52" s="126" t="s">
        <v>394</v>
      </c>
      <c r="U52" s="126" t="s">
        <v>394</v>
      </c>
      <c r="V52" s="169"/>
      <c r="W52" s="126"/>
      <c r="X52" s="126" t="s">
        <v>394</v>
      </c>
      <c r="Y52" s="305"/>
      <c r="Z52" s="126"/>
      <c r="AA52" s="126" t="s">
        <v>394</v>
      </c>
      <c r="AB52" s="126" t="s">
        <v>394</v>
      </c>
      <c r="AC52" s="169"/>
      <c r="AD52" s="126"/>
      <c r="AE52" s="126" t="s">
        <v>394</v>
      </c>
      <c r="AF52" s="305"/>
      <c r="AG52" s="264"/>
      <c r="AH52" s="304"/>
      <c r="AI52" s="366"/>
      <c r="AJ52" s="366"/>
      <c r="AK52" s="366"/>
      <c r="AL52" s="366"/>
      <c r="AM52" s="366"/>
      <c r="AN52" s="366"/>
    </row>
    <row r="53" spans="2:40" ht="14.15" customHeight="1">
      <c r="B53" s="518" t="s">
        <v>404</v>
      </c>
      <c r="C53" s="125"/>
      <c r="D53" s="125"/>
      <c r="E53" s="125"/>
      <c r="F53" s="125"/>
      <c r="G53" s="127"/>
      <c r="H53" s="168"/>
      <c r="I53" s="125"/>
      <c r="J53" s="125"/>
      <c r="K53" s="125"/>
      <c r="L53" s="125"/>
      <c r="M53" s="125"/>
      <c r="N53" s="127"/>
      <c r="O53" s="168"/>
      <c r="P53" s="127"/>
      <c r="Q53" s="125" t="s">
        <v>371</v>
      </c>
      <c r="R53" s="125" t="s">
        <v>371</v>
      </c>
      <c r="S53" s="125" t="s">
        <v>367</v>
      </c>
      <c r="T53" s="125"/>
      <c r="U53" s="127"/>
      <c r="V53" s="168"/>
      <c r="W53" s="125"/>
      <c r="X53" s="125"/>
      <c r="Y53" s="125"/>
      <c r="Z53" s="125"/>
      <c r="AA53" s="125" t="s">
        <v>251</v>
      </c>
      <c r="AB53" s="127"/>
      <c r="AC53" s="168"/>
      <c r="AD53" s="125"/>
      <c r="AE53" s="125"/>
      <c r="AF53" s="125"/>
      <c r="AG53" s="263"/>
      <c r="AH53" s="519" t="s">
        <v>404</v>
      </c>
      <c r="AI53" s="366"/>
      <c r="AJ53" s="366"/>
      <c r="AK53" s="366"/>
      <c r="AL53" s="366"/>
      <c r="AM53" s="366"/>
      <c r="AN53" s="366"/>
    </row>
    <row r="54" spans="2:40" ht="14.15" customHeight="1">
      <c r="B54" s="303"/>
      <c r="C54" s="126"/>
      <c r="D54" s="126"/>
      <c r="E54" s="126"/>
      <c r="F54" s="126"/>
      <c r="G54" s="126"/>
      <c r="H54" s="169"/>
      <c r="I54" s="126"/>
      <c r="J54" s="126"/>
      <c r="K54" s="126"/>
      <c r="L54" s="126"/>
      <c r="M54" s="126"/>
      <c r="N54" s="126"/>
      <c r="O54" s="169"/>
      <c r="P54" s="126"/>
      <c r="Q54" s="126" t="s">
        <v>398</v>
      </c>
      <c r="R54" s="126" t="s">
        <v>398</v>
      </c>
      <c r="S54" s="126" t="s">
        <v>395</v>
      </c>
      <c r="T54" s="126"/>
      <c r="U54" s="126"/>
      <c r="V54" s="169"/>
      <c r="W54" s="126"/>
      <c r="X54" s="126"/>
      <c r="Y54" s="126"/>
      <c r="Z54" s="126"/>
      <c r="AA54" s="126" t="s">
        <v>405</v>
      </c>
      <c r="AB54" s="126"/>
      <c r="AC54" s="169"/>
      <c r="AD54" s="126"/>
      <c r="AE54" s="126"/>
      <c r="AF54" s="126"/>
      <c r="AG54" s="264"/>
      <c r="AH54" s="304"/>
      <c r="AI54" s="366"/>
      <c r="AJ54" s="366"/>
      <c r="AK54" s="366"/>
      <c r="AL54" s="366"/>
      <c r="AM54" s="366"/>
      <c r="AN54" s="366"/>
    </row>
    <row r="55" spans="2:40" ht="14.15" customHeight="1">
      <c r="B55" s="518" t="s">
        <v>406</v>
      </c>
      <c r="C55" s="125"/>
      <c r="D55" s="125"/>
      <c r="E55" s="125"/>
      <c r="F55" s="125"/>
      <c r="G55" s="125"/>
      <c r="H55" s="168"/>
      <c r="I55" s="125"/>
      <c r="J55" s="125"/>
      <c r="K55" s="125"/>
      <c r="L55" s="125"/>
      <c r="M55" s="125"/>
      <c r="N55" s="125" t="s">
        <v>361</v>
      </c>
      <c r="O55" s="168"/>
      <c r="P55" s="125"/>
      <c r="Q55" s="125"/>
      <c r="R55" s="125"/>
      <c r="S55" s="125"/>
      <c r="T55" s="125"/>
      <c r="U55" s="125"/>
      <c r="V55" s="168"/>
      <c r="W55" s="125"/>
      <c r="X55" s="125" t="s">
        <v>360</v>
      </c>
      <c r="Y55" s="125"/>
      <c r="Z55" s="125"/>
      <c r="AA55" s="125"/>
      <c r="AB55" s="125" t="s">
        <v>361</v>
      </c>
      <c r="AC55" s="168"/>
      <c r="AD55" s="125"/>
      <c r="AE55" s="125"/>
      <c r="AF55" s="125"/>
      <c r="AG55" s="263"/>
      <c r="AH55" s="519" t="s">
        <v>406</v>
      </c>
      <c r="AI55" s="366"/>
      <c r="AJ55" s="366"/>
      <c r="AK55" s="366"/>
      <c r="AL55" s="366"/>
      <c r="AM55" s="366"/>
      <c r="AN55" s="366"/>
    </row>
    <row r="56" spans="2:40" ht="14.15" customHeight="1">
      <c r="B56" s="303"/>
      <c r="C56" s="126"/>
      <c r="D56" s="126"/>
      <c r="E56" s="126"/>
      <c r="F56" s="126"/>
      <c r="G56" s="126"/>
      <c r="H56" s="169"/>
      <c r="I56" s="126"/>
      <c r="J56" s="126"/>
      <c r="K56" s="126"/>
      <c r="L56" s="126"/>
      <c r="M56" s="126"/>
      <c r="N56" s="126"/>
      <c r="O56" s="169"/>
      <c r="P56" s="126"/>
      <c r="Q56" s="126"/>
      <c r="R56" s="126"/>
      <c r="S56" s="126"/>
      <c r="T56" s="126"/>
      <c r="U56" s="126"/>
      <c r="V56" s="169"/>
      <c r="W56" s="126"/>
      <c r="X56" s="126" t="s">
        <v>355</v>
      </c>
      <c r="Y56" s="126"/>
      <c r="Z56" s="126"/>
      <c r="AA56" s="126"/>
      <c r="AB56" s="126"/>
      <c r="AC56" s="169"/>
      <c r="AD56" s="126"/>
      <c r="AE56" s="126"/>
      <c r="AF56" s="126"/>
      <c r="AG56" s="264"/>
      <c r="AH56" s="304"/>
      <c r="AI56" s="366"/>
      <c r="AJ56" s="366"/>
      <c r="AK56" s="366"/>
      <c r="AL56" s="366"/>
      <c r="AM56" s="366"/>
      <c r="AN56" s="366"/>
    </row>
    <row r="57" spans="2:40" ht="14.15" customHeight="1">
      <c r="B57" s="518" t="s">
        <v>407</v>
      </c>
      <c r="C57" s="125" t="s">
        <v>20</v>
      </c>
      <c r="D57" s="125" t="s">
        <v>350</v>
      </c>
      <c r="E57" s="125"/>
      <c r="F57" s="125"/>
      <c r="G57" s="125" t="s">
        <v>20</v>
      </c>
      <c r="H57" s="168"/>
      <c r="I57" s="125"/>
      <c r="J57" s="125" t="s">
        <v>20</v>
      </c>
      <c r="K57" s="125" t="s">
        <v>350</v>
      </c>
      <c r="L57" s="125"/>
      <c r="M57" s="125" t="s">
        <v>251</v>
      </c>
      <c r="N57" s="125" t="s">
        <v>20</v>
      </c>
      <c r="O57" s="168"/>
      <c r="P57" s="125"/>
      <c r="Q57" s="125" t="s">
        <v>20</v>
      </c>
      <c r="R57" s="125" t="s">
        <v>350</v>
      </c>
      <c r="S57" s="125"/>
      <c r="T57" s="125"/>
      <c r="U57" s="125" t="s">
        <v>20</v>
      </c>
      <c r="V57" s="168"/>
      <c r="W57" s="125"/>
      <c r="X57" s="125" t="s">
        <v>20</v>
      </c>
      <c r="Y57" s="125" t="s">
        <v>350</v>
      </c>
      <c r="Z57" s="125"/>
      <c r="AA57" s="125"/>
      <c r="AB57" s="125" t="s">
        <v>20</v>
      </c>
      <c r="AC57" s="168"/>
      <c r="AD57" s="125"/>
      <c r="AE57" s="125" t="s">
        <v>20</v>
      </c>
      <c r="AF57" s="125" t="s">
        <v>350</v>
      </c>
      <c r="AG57" s="263"/>
      <c r="AH57" s="519" t="s">
        <v>408</v>
      </c>
      <c r="AI57" s="366"/>
      <c r="AJ57" s="366"/>
      <c r="AK57" s="366"/>
      <c r="AL57" s="366"/>
      <c r="AM57" s="366"/>
      <c r="AN57" s="366"/>
    </row>
    <row r="58" spans="2:40" ht="14.15" customHeight="1">
      <c r="B58" s="303"/>
      <c r="C58" s="126" t="s">
        <v>394</v>
      </c>
      <c r="D58" s="126" t="s">
        <v>394</v>
      </c>
      <c r="E58" s="126"/>
      <c r="F58" s="126"/>
      <c r="G58" s="126" t="s">
        <v>397</v>
      </c>
      <c r="H58" s="169"/>
      <c r="I58" s="126"/>
      <c r="J58" s="126" t="s">
        <v>394</v>
      </c>
      <c r="K58" s="126" t="s">
        <v>394</v>
      </c>
      <c r="L58" s="126"/>
      <c r="M58" s="126" t="s">
        <v>405</v>
      </c>
      <c r="N58" s="126" t="s">
        <v>397</v>
      </c>
      <c r="O58" s="169"/>
      <c r="P58" s="126"/>
      <c r="Q58" s="126" t="s">
        <v>395</v>
      </c>
      <c r="R58" s="126" t="s">
        <v>394</v>
      </c>
      <c r="S58" s="126"/>
      <c r="T58" s="126"/>
      <c r="U58" s="126" t="s">
        <v>394</v>
      </c>
      <c r="V58" s="169"/>
      <c r="W58" s="126"/>
      <c r="X58" s="126" t="s">
        <v>394</v>
      </c>
      <c r="Y58" s="126" t="s">
        <v>394</v>
      </c>
      <c r="Z58" s="126"/>
      <c r="AA58" s="126"/>
      <c r="AB58" s="126" t="s">
        <v>394</v>
      </c>
      <c r="AC58" s="169"/>
      <c r="AD58" s="126"/>
      <c r="AE58" s="126" t="s">
        <v>395</v>
      </c>
      <c r="AF58" s="126" t="s">
        <v>394</v>
      </c>
      <c r="AG58" s="264"/>
      <c r="AH58" s="304"/>
    </row>
    <row r="59" spans="2:40" ht="14.15" customHeight="1">
      <c r="B59" s="518" t="s">
        <v>409</v>
      </c>
      <c r="C59" s="125"/>
      <c r="D59" s="125" t="s">
        <v>16</v>
      </c>
      <c r="E59" s="125"/>
      <c r="F59" s="125"/>
      <c r="G59" s="125"/>
      <c r="H59" s="168"/>
      <c r="I59" s="125"/>
      <c r="J59" s="125"/>
      <c r="K59" s="125" t="s">
        <v>16</v>
      </c>
      <c r="L59" s="125"/>
      <c r="M59" s="125"/>
      <c r="N59" s="125"/>
      <c r="O59" s="168"/>
      <c r="P59" s="125"/>
      <c r="Q59" s="125" t="s">
        <v>362</v>
      </c>
      <c r="R59" s="125" t="s">
        <v>16</v>
      </c>
      <c r="S59" s="125"/>
      <c r="T59" s="125"/>
      <c r="U59" s="125"/>
      <c r="V59" s="168"/>
      <c r="W59" s="125"/>
      <c r="X59" s="125"/>
      <c r="Y59" s="125" t="s">
        <v>16</v>
      </c>
      <c r="Z59" s="125"/>
      <c r="AA59" s="125"/>
      <c r="AB59" s="125"/>
      <c r="AC59" s="168"/>
      <c r="AD59" s="125"/>
      <c r="AE59" s="125" t="s">
        <v>362</v>
      </c>
      <c r="AF59" s="125" t="s">
        <v>16</v>
      </c>
      <c r="AG59" s="263"/>
      <c r="AH59" s="519" t="s">
        <v>410</v>
      </c>
      <c r="AI59" s="366"/>
      <c r="AJ59" s="366"/>
      <c r="AK59" s="366"/>
      <c r="AL59" s="366"/>
      <c r="AM59" s="366"/>
      <c r="AN59" s="366"/>
    </row>
    <row r="60" spans="2:40" ht="14.15" customHeight="1">
      <c r="B60" s="303"/>
      <c r="C60" s="126"/>
      <c r="D60" s="126" t="s">
        <v>394</v>
      </c>
      <c r="E60" s="126"/>
      <c r="F60" s="126"/>
      <c r="G60" s="126"/>
      <c r="H60" s="169"/>
      <c r="I60" s="126"/>
      <c r="J60" s="126"/>
      <c r="K60" s="126" t="s">
        <v>394</v>
      </c>
      <c r="L60" s="126"/>
      <c r="M60" s="126"/>
      <c r="N60" s="126"/>
      <c r="O60" s="169"/>
      <c r="P60" s="126"/>
      <c r="Q60" s="126" t="s">
        <v>395</v>
      </c>
      <c r="R60" s="126" t="s">
        <v>394</v>
      </c>
      <c r="S60" s="126"/>
      <c r="T60" s="126"/>
      <c r="U60" s="126"/>
      <c r="V60" s="169"/>
      <c r="W60" s="126"/>
      <c r="X60" s="126"/>
      <c r="Y60" s="126" t="s">
        <v>394</v>
      </c>
      <c r="Z60" s="126"/>
      <c r="AA60" s="126"/>
      <c r="AB60" s="126"/>
      <c r="AC60" s="169"/>
      <c r="AD60" s="126"/>
      <c r="AE60" s="126" t="s">
        <v>394</v>
      </c>
      <c r="AF60" s="126" t="s">
        <v>394</v>
      </c>
      <c r="AG60" s="264"/>
      <c r="AH60" s="304"/>
    </row>
    <row r="61" spans="2:40" ht="14.15" customHeight="1">
      <c r="B61" s="518" t="s">
        <v>411</v>
      </c>
      <c r="C61" s="125"/>
      <c r="D61" s="125"/>
      <c r="E61" s="125"/>
      <c r="F61" s="125"/>
      <c r="G61" s="125"/>
      <c r="H61" s="168"/>
      <c r="I61" s="125"/>
      <c r="J61" s="125"/>
      <c r="K61" s="125"/>
      <c r="L61" s="125"/>
      <c r="M61" s="125"/>
      <c r="N61" s="125"/>
      <c r="O61" s="168"/>
      <c r="P61" s="125"/>
      <c r="Q61" s="125"/>
      <c r="R61" s="125"/>
      <c r="S61" s="125"/>
      <c r="T61" s="125"/>
      <c r="U61" s="125"/>
      <c r="V61" s="168"/>
      <c r="W61" s="125"/>
      <c r="X61" s="125"/>
      <c r="Y61" s="125"/>
      <c r="Z61" s="125"/>
      <c r="AA61" s="125"/>
      <c r="AB61" s="125"/>
      <c r="AC61" s="168"/>
      <c r="AD61" s="125"/>
      <c r="AE61" s="125"/>
      <c r="AF61" s="125"/>
      <c r="AG61" s="263"/>
      <c r="AH61" s="519" t="s">
        <v>412</v>
      </c>
    </row>
    <row r="62" spans="2:40" ht="14.15" customHeight="1">
      <c r="B62" s="303"/>
      <c r="C62" s="126"/>
      <c r="D62" s="126"/>
      <c r="E62" s="126"/>
      <c r="F62" s="126"/>
      <c r="G62" s="126"/>
      <c r="H62" s="169"/>
      <c r="I62" s="126"/>
      <c r="J62" s="126"/>
      <c r="K62" s="126"/>
      <c r="L62" s="126"/>
      <c r="M62" s="126"/>
      <c r="N62" s="126"/>
      <c r="O62" s="169"/>
      <c r="P62" s="126"/>
      <c r="Q62" s="126"/>
      <c r="R62" s="126"/>
      <c r="S62" s="126"/>
      <c r="T62" s="126"/>
      <c r="U62" s="126"/>
      <c r="V62" s="169"/>
      <c r="W62" s="126"/>
      <c r="X62" s="126"/>
      <c r="Y62" s="126"/>
      <c r="Z62" s="126"/>
      <c r="AA62" s="126"/>
      <c r="AB62" s="126"/>
      <c r="AC62" s="169"/>
      <c r="AD62" s="126"/>
      <c r="AE62" s="126"/>
      <c r="AF62" s="126"/>
      <c r="AG62" s="264"/>
      <c r="AH62" s="304"/>
    </row>
    <row r="63" spans="2:40" ht="14.15" customHeight="1">
      <c r="B63" s="518" t="s">
        <v>413</v>
      </c>
      <c r="C63" s="125"/>
      <c r="D63" s="125"/>
      <c r="E63" s="125" t="s">
        <v>350</v>
      </c>
      <c r="F63" s="125" t="s">
        <v>20</v>
      </c>
      <c r="G63" s="125"/>
      <c r="H63" s="168"/>
      <c r="I63" s="125"/>
      <c r="J63" s="125"/>
      <c r="K63" s="125"/>
      <c r="L63" s="125" t="s">
        <v>350</v>
      </c>
      <c r="M63" s="125" t="s">
        <v>20</v>
      </c>
      <c r="N63" s="125"/>
      <c r="O63" s="168" t="s">
        <v>19</v>
      </c>
      <c r="P63" s="125"/>
      <c r="Q63" s="125"/>
      <c r="R63" s="125"/>
      <c r="S63" s="125" t="s">
        <v>350</v>
      </c>
      <c r="T63" s="125" t="s">
        <v>20</v>
      </c>
      <c r="U63" s="125"/>
      <c r="V63" s="168"/>
      <c r="W63" s="125"/>
      <c r="X63" s="125"/>
      <c r="Y63" s="125"/>
      <c r="Z63" s="125" t="s">
        <v>350</v>
      </c>
      <c r="AA63" s="125" t="s">
        <v>20</v>
      </c>
      <c r="AB63" s="125"/>
      <c r="AC63" s="168" t="s">
        <v>19</v>
      </c>
      <c r="AD63" s="125"/>
      <c r="AE63" s="125"/>
      <c r="AF63" s="125"/>
      <c r="AG63" s="263"/>
      <c r="AH63" s="519" t="s">
        <v>413</v>
      </c>
    </row>
    <row r="64" spans="2:40" ht="14.15" customHeight="1">
      <c r="B64" s="303"/>
      <c r="C64" s="126"/>
      <c r="D64" s="126"/>
      <c r="E64" s="126" t="s">
        <v>394</v>
      </c>
      <c r="F64" s="126" t="s">
        <v>395</v>
      </c>
      <c r="G64" s="126"/>
      <c r="H64" s="169"/>
      <c r="I64" s="126"/>
      <c r="J64" s="126"/>
      <c r="K64" s="126"/>
      <c r="L64" s="126" t="s">
        <v>394</v>
      </c>
      <c r="M64" s="126" t="s">
        <v>414</v>
      </c>
      <c r="N64" s="126"/>
      <c r="O64" s="169" t="s">
        <v>394</v>
      </c>
      <c r="P64" s="126"/>
      <c r="Q64" s="126"/>
      <c r="R64" s="126"/>
      <c r="S64" s="126" t="s">
        <v>394</v>
      </c>
      <c r="T64" s="126" t="s">
        <v>414</v>
      </c>
      <c r="U64" s="126"/>
      <c r="V64" s="169"/>
      <c r="W64" s="126"/>
      <c r="X64" s="126"/>
      <c r="Y64" s="126"/>
      <c r="Z64" s="126" t="s">
        <v>394</v>
      </c>
      <c r="AA64" s="126" t="s">
        <v>394</v>
      </c>
      <c r="AB64" s="126"/>
      <c r="AC64" s="169" t="s">
        <v>394</v>
      </c>
      <c r="AD64" s="126"/>
      <c r="AE64" s="126"/>
      <c r="AF64" s="126"/>
      <c r="AG64" s="264"/>
      <c r="AH64" s="304"/>
    </row>
    <row r="65" spans="2:34" ht="14.15" customHeight="1">
      <c r="B65" s="518" t="s">
        <v>415</v>
      </c>
      <c r="C65" s="125"/>
      <c r="D65" s="125"/>
      <c r="E65" s="125" t="s">
        <v>16</v>
      </c>
      <c r="F65" s="125"/>
      <c r="G65" s="125"/>
      <c r="H65" s="168"/>
      <c r="I65" s="125"/>
      <c r="J65" s="125"/>
      <c r="K65" s="125"/>
      <c r="L65" s="125" t="s">
        <v>16</v>
      </c>
      <c r="M65" s="125"/>
      <c r="N65" s="125"/>
      <c r="O65" s="168"/>
      <c r="P65" s="125"/>
      <c r="Q65" s="125"/>
      <c r="R65" s="125"/>
      <c r="S65" s="125" t="s">
        <v>16</v>
      </c>
      <c r="T65" s="125" t="s">
        <v>251</v>
      </c>
      <c r="U65" s="125"/>
      <c r="V65" s="168"/>
      <c r="W65" s="125"/>
      <c r="X65" s="125"/>
      <c r="Y65" s="125"/>
      <c r="Z65" s="125" t="s">
        <v>16</v>
      </c>
      <c r="AA65" s="125"/>
      <c r="AB65" s="125"/>
      <c r="AC65" s="168"/>
      <c r="AD65" s="125"/>
      <c r="AE65" s="125"/>
      <c r="AF65" s="125"/>
      <c r="AG65" s="263"/>
      <c r="AH65" s="519" t="s">
        <v>415</v>
      </c>
    </row>
    <row r="66" spans="2:34" ht="14.15" customHeight="1">
      <c r="B66" s="303"/>
      <c r="C66" s="126"/>
      <c r="D66" s="126"/>
      <c r="E66" s="126" t="s">
        <v>394</v>
      </c>
      <c r="F66" s="126"/>
      <c r="G66" s="126"/>
      <c r="H66" s="169"/>
      <c r="I66" s="126"/>
      <c r="J66" s="126"/>
      <c r="K66" s="126"/>
      <c r="L66" s="126" t="s">
        <v>395</v>
      </c>
      <c r="M66" s="126"/>
      <c r="N66" s="126"/>
      <c r="O66" s="169"/>
      <c r="P66" s="126"/>
      <c r="Q66" s="126"/>
      <c r="R66" s="126"/>
      <c r="S66" s="126" t="s">
        <v>394</v>
      </c>
      <c r="T66" s="126" t="s">
        <v>405</v>
      </c>
      <c r="U66" s="126"/>
      <c r="V66" s="169"/>
      <c r="W66" s="126"/>
      <c r="X66" s="126"/>
      <c r="Y66" s="126"/>
      <c r="Z66" s="126" t="s">
        <v>394</v>
      </c>
      <c r="AA66" s="126"/>
      <c r="AB66" s="126"/>
      <c r="AC66" s="169"/>
      <c r="AD66" s="126"/>
      <c r="AE66" s="126"/>
      <c r="AF66" s="126"/>
      <c r="AG66" s="264"/>
      <c r="AH66" s="304"/>
    </row>
    <row r="67" spans="2:34" ht="14.15" customHeight="1">
      <c r="B67" s="518" t="s">
        <v>416</v>
      </c>
      <c r="C67" s="125"/>
      <c r="D67" s="125"/>
      <c r="E67" s="125"/>
      <c r="F67" s="127"/>
      <c r="G67" s="125"/>
      <c r="H67" s="168"/>
      <c r="I67" s="125"/>
      <c r="J67" s="125"/>
      <c r="K67" s="125"/>
      <c r="L67" s="125"/>
      <c r="M67" s="127"/>
      <c r="N67" s="125"/>
      <c r="O67" s="168"/>
      <c r="P67" s="125"/>
      <c r="Q67" s="125"/>
      <c r="R67" s="125"/>
      <c r="S67" s="125"/>
      <c r="T67" s="127"/>
      <c r="U67" s="125"/>
      <c r="V67" s="168"/>
      <c r="W67" s="125"/>
      <c r="X67" s="125"/>
      <c r="Y67" s="125"/>
      <c r="Z67" s="125"/>
      <c r="AA67" s="127"/>
      <c r="AB67" s="125"/>
      <c r="AC67" s="168"/>
      <c r="AD67" s="125"/>
      <c r="AE67" s="125"/>
      <c r="AF67" s="125"/>
      <c r="AG67" s="263"/>
      <c r="AH67" s="519" t="s">
        <v>417</v>
      </c>
    </row>
    <row r="68" spans="2:34" ht="14.15" customHeight="1" thickBot="1">
      <c r="B68" s="424"/>
      <c r="C68" s="471"/>
      <c r="D68" s="471"/>
      <c r="E68" s="471"/>
      <c r="F68" s="472"/>
      <c r="G68" s="471"/>
      <c r="H68" s="473"/>
      <c r="I68" s="471"/>
      <c r="J68" s="471"/>
      <c r="K68" s="471"/>
      <c r="L68" s="471"/>
      <c r="M68" s="472"/>
      <c r="N68" s="471"/>
      <c r="O68" s="473"/>
      <c r="P68" s="471"/>
      <c r="Q68" s="471"/>
      <c r="R68" s="471"/>
      <c r="S68" s="471"/>
      <c r="T68" s="472"/>
      <c r="U68" s="471"/>
      <c r="V68" s="473"/>
      <c r="W68" s="471"/>
      <c r="X68" s="471"/>
      <c r="Y68" s="471"/>
      <c r="Z68" s="471"/>
      <c r="AA68" s="472"/>
      <c r="AB68" s="471"/>
      <c r="AC68" s="473"/>
      <c r="AD68" s="471"/>
      <c r="AE68" s="471"/>
      <c r="AF68" s="471"/>
      <c r="AG68" s="474"/>
      <c r="AH68" s="425"/>
    </row>
    <row r="69" spans="2:34" ht="14.15" customHeight="1">
      <c r="B69" s="518" t="s">
        <v>418</v>
      </c>
      <c r="C69" s="128"/>
      <c r="D69" s="128"/>
      <c r="E69" s="128"/>
      <c r="F69" s="128"/>
      <c r="G69" s="128"/>
      <c r="H69" s="170"/>
      <c r="I69" s="128"/>
      <c r="J69" s="128"/>
      <c r="K69" s="128"/>
      <c r="L69" s="128"/>
      <c r="M69" s="128"/>
      <c r="N69" s="128"/>
      <c r="O69" s="170"/>
      <c r="P69" s="128"/>
      <c r="Q69" s="128"/>
      <c r="R69" s="128"/>
      <c r="S69" s="128"/>
      <c r="T69" s="128"/>
      <c r="U69" s="128"/>
      <c r="V69" s="170"/>
      <c r="W69" s="128"/>
      <c r="X69" s="128"/>
      <c r="Y69" s="128"/>
      <c r="Z69" s="128"/>
      <c r="AA69" s="128"/>
      <c r="AB69" s="128"/>
      <c r="AC69" s="170"/>
      <c r="AD69" s="128"/>
      <c r="AE69" s="128"/>
      <c r="AF69" s="128"/>
      <c r="AG69" s="265"/>
      <c r="AH69" s="519" t="s">
        <v>418</v>
      </c>
    </row>
    <row r="70" spans="2:34" ht="14.15" customHeight="1">
      <c r="B70" s="422" t="s">
        <v>419</v>
      </c>
      <c r="C70" s="128"/>
      <c r="D70" s="128"/>
      <c r="E70" s="128"/>
      <c r="F70" s="128"/>
      <c r="G70" s="128"/>
      <c r="H70" s="170"/>
      <c r="I70" s="128"/>
      <c r="J70" s="128"/>
      <c r="K70" s="128"/>
      <c r="L70" s="128"/>
      <c r="M70" s="128"/>
      <c r="N70" s="128"/>
      <c r="O70" s="170"/>
      <c r="P70" s="128"/>
      <c r="Q70" s="128"/>
      <c r="R70" s="128"/>
      <c r="S70" s="128"/>
      <c r="T70" s="128"/>
      <c r="U70" s="128"/>
      <c r="V70" s="170"/>
      <c r="W70" s="128"/>
      <c r="X70" s="128"/>
      <c r="Y70" s="128"/>
      <c r="Z70" s="128"/>
      <c r="AA70" s="128"/>
      <c r="AB70" s="128"/>
      <c r="AC70" s="170"/>
      <c r="AD70" s="128"/>
      <c r="AE70" s="128"/>
      <c r="AF70" s="128"/>
      <c r="AG70" s="265"/>
      <c r="AH70" s="420" t="s">
        <v>420</v>
      </c>
    </row>
    <row r="71" spans="2:34" ht="14.15" customHeight="1" thickBot="1">
      <c r="B71" s="423" t="s">
        <v>421</v>
      </c>
      <c r="C71" s="129"/>
      <c r="D71" s="129"/>
      <c r="E71" s="129"/>
      <c r="F71" s="129"/>
      <c r="G71" s="129"/>
      <c r="H71" s="171"/>
      <c r="I71" s="129"/>
      <c r="J71" s="129"/>
      <c r="K71" s="129"/>
      <c r="L71" s="129"/>
      <c r="M71" s="129"/>
      <c r="N71" s="129"/>
      <c r="O71" s="171"/>
      <c r="P71" s="129"/>
      <c r="Q71" s="129"/>
      <c r="R71" s="129"/>
      <c r="S71" s="129"/>
      <c r="T71" s="129"/>
      <c r="U71" s="129"/>
      <c r="V71" s="171"/>
      <c r="W71" s="129"/>
      <c r="X71" s="129"/>
      <c r="Y71" s="129"/>
      <c r="Z71" s="129"/>
      <c r="AA71" s="129"/>
      <c r="AB71" s="129"/>
      <c r="AC71" s="171"/>
      <c r="AD71" s="129"/>
      <c r="AE71" s="129"/>
      <c r="AF71" s="129"/>
      <c r="AG71" s="266"/>
      <c r="AH71" s="421" t="s">
        <v>421</v>
      </c>
    </row>
    <row r="72" spans="2:34" ht="15" customHeight="1" thickTop="1"/>
  </sheetData>
  <sheetProtection sheet="1" objects="1" scenarios="1"/>
  <customSheetViews>
    <customSheetView guid="{48D17560-CF9A-4AC4-87A5-512F1C94B1E6}" fitToPage="1" showRuler="0">
      <pane xSplit="2" ySplit="22" topLeftCell="C23" activePane="bottomRight" state="frozen"/>
      <selection pane="bottomRight"/>
      <pageMargins left="0" right="0" top="0" bottom="0" header="0" footer="0"/>
      <pageSetup paperSize="8" scale="85" orientation="landscape" blackAndWhite="1" horizontalDpi="4294967292" verticalDpi="4294967292"/>
      <headerFooter alignWithMargins="0">
        <oddHeader>&amp;R&amp;"Osaka,標準"&amp;D　&amp;T</oddHeader>
      </headerFooter>
    </customSheetView>
  </customSheetViews>
  <phoneticPr fontId="7"/>
  <printOptions horizontalCentered="1"/>
  <pageMargins left="0.26" right="0.19685039370078741" top="0.19685039370078741" bottom="0.16" header="0.34" footer="0.28999999999999998"/>
  <pageSetup paperSize="8" scale="84" orientation="landscape" blackAndWhite="1" horizontalDpi="300" verticalDpi="300" r:id="rId1"/>
  <headerFooter alignWithMargins="0">
    <oddHeader>&amp;R&amp;"Osaka,標準"&amp;D　&amp;T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Line="0" autoPict="0" macro="[0]!音声罫線2">
                <anchor moveWithCells="1" sizeWithCells="1">
                  <from>
                    <xdr:col>0</xdr:col>
                    <xdr:colOff>146050</xdr:colOff>
                    <xdr:row>0</xdr:row>
                    <xdr:rowOff>69850</xdr:rowOff>
                  </from>
                  <to>
                    <xdr:col>1</xdr:col>
                    <xdr:colOff>374650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1">
    <pageSetUpPr fitToPage="1"/>
  </sheetPr>
  <dimension ref="A2:AN59"/>
  <sheetViews>
    <sheetView zoomScale="80" zoomScaleNormal="80" workbookViewId="0">
      <pane xSplit="2" ySplit="4" topLeftCell="C5" activePane="bottomRight" state="frozen"/>
      <selection pane="topRight"/>
      <selection pane="bottomLeft"/>
      <selection pane="bottomRight" activeCell="N41" sqref="N41"/>
    </sheetView>
  </sheetViews>
  <sheetFormatPr defaultColWidth="9" defaultRowHeight="15" customHeight="1"/>
  <cols>
    <col min="1" max="1" width="2.453125" style="367" customWidth="1"/>
    <col min="2" max="2" width="11.453125" style="347" bestFit="1" customWidth="1"/>
    <col min="3" max="33" width="6.453125" style="367" customWidth="1"/>
    <col min="34" max="34" width="7.453125" style="347" customWidth="1"/>
    <col min="35" max="35" width="2.453125" style="367" customWidth="1"/>
    <col min="36" max="38" width="5.453125" style="367" customWidth="1"/>
    <col min="39" max="39" width="7.453125" style="367" customWidth="1"/>
    <col min="40" max="40" width="2.453125" style="367" customWidth="1"/>
    <col min="41" max="16384" width="9" style="367"/>
  </cols>
  <sheetData>
    <row r="2" spans="2:40" ht="15" customHeight="1" thickBot="1"/>
    <row r="3" spans="2:40" s="347" customFormat="1" ht="15" customHeight="1" thickTop="1">
      <c r="B3" s="348" t="str">
        <f>月間設定!C1&amp;"年"</f>
        <v>2026年</v>
      </c>
      <c r="C3" s="352">
        <v>1</v>
      </c>
      <c r="D3" s="352">
        <v>2</v>
      </c>
      <c r="E3" s="352">
        <v>3</v>
      </c>
      <c r="F3" s="352">
        <v>4</v>
      </c>
      <c r="G3" s="352">
        <v>5</v>
      </c>
      <c r="H3" s="353">
        <v>6</v>
      </c>
      <c r="I3" s="352">
        <v>7</v>
      </c>
      <c r="J3" s="352">
        <v>8</v>
      </c>
      <c r="K3" s="352">
        <v>9</v>
      </c>
      <c r="L3" s="352">
        <v>10</v>
      </c>
      <c r="M3" s="352">
        <v>11</v>
      </c>
      <c r="N3" s="352">
        <v>12</v>
      </c>
      <c r="O3" s="353">
        <v>13</v>
      </c>
      <c r="P3" s="352">
        <v>14</v>
      </c>
      <c r="Q3" s="352">
        <v>15</v>
      </c>
      <c r="R3" s="352">
        <v>16</v>
      </c>
      <c r="S3" s="352">
        <v>17</v>
      </c>
      <c r="T3" s="352">
        <v>18</v>
      </c>
      <c r="U3" s="352">
        <v>19</v>
      </c>
      <c r="V3" s="353">
        <v>20</v>
      </c>
      <c r="W3" s="352">
        <v>21</v>
      </c>
      <c r="X3" s="352">
        <v>22</v>
      </c>
      <c r="Y3" s="352">
        <v>23</v>
      </c>
      <c r="Z3" s="352">
        <v>24</v>
      </c>
      <c r="AA3" s="352">
        <v>25</v>
      </c>
      <c r="AB3" s="352">
        <v>26</v>
      </c>
      <c r="AC3" s="353">
        <v>27</v>
      </c>
      <c r="AD3" s="352">
        <v>28</v>
      </c>
      <c r="AE3" s="352">
        <f>月間設定!AE3</f>
        <v>29</v>
      </c>
      <c r="AF3" s="352">
        <f>月間設定!AF3</f>
        <v>30</v>
      </c>
      <c r="AG3" s="354" t="str">
        <f>月間設定!AG3</f>
        <v/>
      </c>
      <c r="AH3" s="370" t="s">
        <v>17</v>
      </c>
      <c r="AI3" s="366"/>
      <c r="AJ3" s="366"/>
      <c r="AK3" s="366"/>
      <c r="AL3" s="366"/>
      <c r="AM3" s="366"/>
      <c r="AN3" s="366"/>
    </row>
    <row r="4" spans="2:40" s="347" customFormat="1" ht="15" customHeight="1" thickBot="1">
      <c r="B4" s="459" t="str">
        <f>月間設定!E1&amp;"月"</f>
        <v>6月</v>
      </c>
      <c r="C4" s="460">
        <f>月間設定!C4</f>
        <v>2</v>
      </c>
      <c r="D4" s="460">
        <f>月間設定!D4</f>
        <v>3</v>
      </c>
      <c r="E4" s="460">
        <f>月間設定!E4</f>
        <v>4</v>
      </c>
      <c r="F4" s="460">
        <f>月間設定!F4</f>
        <v>5</v>
      </c>
      <c r="G4" s="460">
        <f>月間設定!G4</f>
        <v>6</v>
      </c>
      <c r="H4" s="461">
        <f>月間設定!H4</f>
        <v>7</v>
      </c>
      <c r="I4" s="460">
        <f>月間設定!I4</f>
        <v>1</v>
      </c>
      <c r="J4" s="460">
        <f>月間設定!J4</f>
        <v>2</v>
      </c>
      <c r="K4" s="460">
        <f>月間設定!K4</f>
        <v>3</v>
      </c>
      <c r="L4" s="460">
        <f>月間設定!L4</f>
        <v>4</v>
      </c>
      <c r="M4" s="460">
        <f>月間設定!M4</f>
        <v>5</v>
      </c>
      <c r="N4" s="460">
        <f>月間設定!N4</f>
        <v>6</v>
      </c>
      <c r="O4" s="461">
        <f>月間設定!O4</f>
        <v>7</v>
      </c>
      <c r="P4" s="460">
        <f>月間設定!P4</f>
        <v>1</v>
      </c>
      <c r="Q4" s="460">
        <f>月間設定!Q4</f>
        <v>2</v>
      </c>
      <c r="R4" s="460">
        <f>月間設定!R4</f>
        <v>3</v>
      </c>
      <c r="S4" s="460">
        <f>月間設定!S4</f>
        <v>4</v>
      </c>
      <c r="T4" s="460">
        <f>月間設定!T4</f>
        <v>5</v>
      </c>
      <c r="U4" s="460">
        <f>月間設定!U4</f>
        <v>6</v>
      </c>
      <c r="V4" s="461">
        <f>月間設定!V4</f>
        <v>7</v>
      </c>
      <c r="W4" s="460">
        <f>月間設定!W4</f>
        <v>1</v>
      </c>
      <c r="X4" s="460">
        <f>月間設定!X4</f>
        <v>2</v>
      </c>
      <c r="Y4" s="460">
        <f>月間設定!Y4</f>
        <v>3</v>
      </c>
      <c r="Z4" s="460">
        <f>月間設定!Z4</f>
        <v>4</v>
      </c>
      <c r="AA4" s="460">
        <f>月間設定!AA4</f>
        <v>5</v>
      </c>
      <c r="AB4" s="460">
        <f>月間設定!AB4</f>
        <v>6</v>
      </c>
      <c r="AC4" s="461">
        <f>月間設定!AC4</f>
        <v>7</v>
      </c>
      <c r="AD4" s="460">
        <f>月間設定!AD4</f>
        <v>1</v>
      </c>
      <c r="AE4" s="460">
        <f>月間設定!AE4</f>
        <v>2</v>
      </c>
      <c r="AF4" s="460">
        <f>月間設定!AF4</f>
        <v>3</v>
      </c>
      <c r="AG4" s="462" t="str">
        <f>月間設定!AG4</f>
        <v/>
      </c>
      <c r="AH4" s="463" t="str">
        <f>月間設定!I1&amp;"日"</f>
        <v>8日</v>
      </c>
      <c r="AI4" s="366"/>
      <c r="AJ4" s="366"/>
      <c r="AK4" s="366"/>
      <c r="AL4" s="366"/>
      <c r="AM4" s="366"/>
      <c r="AN4" s="366"/>
    </row>
    <row r="5" spans="2:40" ht="15" customHeight="1">
      <c r="B5" s="23"/>
      <c r="C5" s="349" t="s">
        <v>422</v>
      </c>
      <c r="D5" s="349" t="s">
        <v>422</v>
      </c>
      <c r="E5" s="349" t="s">
        <v>422</v>
      </c>
      <c r="F5" s="349" t="s">
        <v>422</v>
      </c>
      <c r="G5" s="349" t="s">
        <v>422</v>
      </c>
      <c r="H5" s="350"/>
      <c r="I5" s="349"/>
      <c r="J5" s="349" t="s">
        <v>422</v>
      </c>
      <c r="K5" s="349" t="s">
        <v>422</v>
      </c>
      <c r="L5" s="349" t="s">
        <v>422</v>
      </c>
      <c r="M5" s="349" t="s">
        <v>422</v>
      </c>
      <c r="N5" s="349" t="s">
        <v>422</v>
      </c>
      <c r="O5" s="350" t="s">
        <v>423</v>
      </c>
      <c r="P5" s="349"/>
      <c r="Q5" s="349" t="s">
        <v>422</v>
      </c>
      <c r="R5" s="349" t="s">
        <v>422</v>
      </c>
      <c r="S5" s="349" t="s">
        <v>422</v>
      </c>
      <c r="T5" s="349" t="s">
        <v>422</v>
      </c>
      <c r="U5" s="349" t="s">
        <v>422</v>
      </c>
      <c r="V5" s="350"/>
      <c r="W5" s="349"/>
      <c r="X5" s="349" t="s">
        <v>422</v>
      </c>
      <c r="Y5" s="349" t="s">
        <v>422</v>
      </c>
      <c r="Z5" s="349" t="s">
        <v>422</v>
      </c>
      <c r="AA5" s="349" t="s">
        <v>422</v>
      </c>
      <c r="AB5" s="349" t="s">
        <v>422</v>
      </c>
      <c r="AC5" s="350" t="s">
        <v>423</v>
      </c>
      <c r="AD5" s="349"/>
      <c r="AE5" s="349" t="s">
        <v>422</v>
      </c>
      <c r="AF5" s="349" t="s">
        <v>422</v>
      </c>
      <c r="AG5" s="351"/>
      <c r="AH5" s="293"/>
      <c r="AI5" s="402"/>
      <c r="AJ5" s="402"/>
      <c r="AK5" s="402"/>
      <c r="AL5" s="402"/>
      <c r="AM5" s="402"/>
      <c r="AN5" s="402"/>
    </row>
    <row r="6" spans="2:40" ht="15" customHeight="1">
      <c r="B6" s="23" t="s">
        <v>6</v>
      </c>
      <c r="C6" s="349" t="s">
        <v>424</v>
      </c>
      <c r="D6" s="349" t="s">
        <v>424</v>
      </c>
      <c r="E6" s="349" t="s">
        <v>424</v>
      </c>
      <c r="F6" s="349" t="s">
        <v>424</v>
      </c>
      <c r="G6" s="349" t="s">
        <v>424</v>
      </c>
      <c r="H6" s="350"/>
      <c r="I6" s="349"/>
      <c r="J6" s="349" t="s">
        <v>424</v>
      </c>
      <c r="K6" s="349" t="s">
        <v>424</v>
      </c>
      <c r="L6" s="349" t="s">
        <v>424</v>
      </c>
      <c r="M6" s="349" t="s">
        <v>424</v>
      </c>
      <c r="N6" s="349" t="s">
        <v>424</v>
      </c>
      <c r="O6" s="350"/>
      <c r="P6" s="349"/>
      <c r="Q6" s="349" t="s">
        <v>424</v>
      </c>
      <c r="R6" s="349" t="s">
        <v>424</v>
      </c>
      <c r="S6" s="349" t="s">
        <v>424</v>
      </c>
      <c r="T6" s="349" t="s">
        <v>424</v>
      </c>
      <c r="U6" s="349" t="s">
        <v>424</v>
      </c>
      <c r="V6" s="350"/>
      <c r="W6" s="349"/>
      <c r="X6" s="349" t="s">
        <v>424</v>
      </c>
      <c r="Y6" s="349" t="s">
        <v>424</v>
      </c>
      <c r="Z6" s="349" t="s">
        <v>424</v>
      </c>
      <c r="AA6" s="349" t="s">
        <v>424</v>
      </c>
      <c r="AB6" s="349" t="s">
        <v>424</v>
      </c>
      <c r="AC6" s="350"/>
      <c r="AD6" s="349"/>
      <c r="AE6" s="349" t="s">
        <v>424</v>
      </c>
      <c r="AF6" s="349" t="s">
        <v>424</v>
      </c>
      <c r="AG6" s="351"/>
      <c r="AH6" s="293" t="s">
        <v>6</v>
      </c>
      <c r="AI6" s="402"/>
      <c r="AJ6" s="402"/>
      <c r="AK6" s="402"/>
      <c r="AL6" s="402"/>
      <c r="AM6" s="402"/>
      <c r="AN6" s="402"/>
    </row>
    <row r="7" spans="2:40" ht="15" customHeight="1">
      <c r="B7" s="24"/>
      <c r="C7" s="355"/>
      <c r="D7" s="355"/>
      <c r="E7" s="355"/>
      <c r="F7" s="355"/>
      <c r="G7" s="355"/>
      <c r="H7" s="356"/>
      <c r="I7" s="355"/>
      <c r="J7" s="355"/>
      <c r="K7" s="355"/>
      <c r="L7" s="355"/>
      <c r="M7" s="355"/>
      <c r="N7" s="355"/>
      <c r="O7" s="356"/>
      <c r="P7" s="355"/>
      <c r="Q7" s="355"/>
      <c r="R7" s="355"/>
      <c r="S7" s="355"/>
      <c r="T7" s="355"/>
      <c r="U7" s="355"/>
      <c r="V7" s="356"/>
      <c r="W7" s="355"/>
      <c r="X7" s="355"/>
      <c r="Y7" s="355"/>
      <c r="Z7" s="355"/>
      <c r="AA7" s="355"/>
      <c r="AB7" s="355"/>
      <c r="AC7" s="356"/>
      <c r="AD7" s="355"/>
      <c r="AE7" s="355"/>
      <c r="AF7" s="355"/>
      <c r="AG7" s="357"/>
      <c r="AH7" s="296"/>
      <c r="AI7" s="402"/>
      <c r="AJ7" s="402"/>
      <c r="AK7" s="402"/>
      <c r="AL7" s="402"/>
      <c r="AM7" s="402"/>
      <c r="AN7" s="402"/>
    </row>
    <row r="8" spans="2:40" ht="15" customHeight="1">
      <c r="B8" s="23"/>
      <c r="C8" s="349"/>
      <c r="D8" s="349"/>
      <c r="E8" s="349"/>
      <c r="F8" s="349"/>
      <c r="G8" s="349" t="s">
        <v>425</v>
      </c>
      <c r="H8" s="350"/>
      <c r="I8" s="349"/>
      <c r="J8" s="349"/>
      <c r="K8" s="349"/>
      <c r="L8" s="349" t="s">
        <v>426</v>
      </c>
      <c r="M8" s="349"/>
      <c r="N8" s="349"/>
      <c r="O8" s="350"/>
      <c r="P8" s="349"/>
      <c r="Q8" s="349"/>
      <c r="R8" s="349"/>
      <c r="S8" s="349"/>
      <c r="T8" s="349" t="s">
        <v>425</v>
      </c>
      <c r="U8" s="349"/>
      <c r="V8" s="350"/>
      <c r="W8" s="349"/>
      <c r="X8" s="349" t="s">
        <v>427</v>
      </c>
      <c r="Y8" s="349"/>
      <c r="Z8" s="349"/>
      <c r="AA8" s="349"/>
      <c r="AB8" s="349"/>
      <c r="AC8" s="350"/>
      <c r="AD8" s="349"/>
      <c r="AE8" s="349"/>
      <c r="AF8" s="349"/>
      <c r="AG8" s="351"/>
      <c r="AH8" s="293"/>
      <c r="AI8" s="402"/>
      <c r="AJ8" s="402"/>
      <c r="AK8" s="402"/>
      <c r="AL8" s="402"/>
      <c r="AM8" s="402"/>
      <c r="AN8" s="402"/>
    </row>
    <row r="9" spans="2:40" ht="15" customHeight="1">
      <c r="B9" s="23" t="s">
        <v>8</v>
      </c>
      <c r="C9" s="349"/>
      <c r="D9" s="349"/>
      <c r="E9" s="349"/>
      <c r="F9" s="349"/>
      <c r="G9" s="349"/>
      <c r="H9" s="350"/>
      <c r="I9" s="349"/>
      <c r="J9" s="349"/>
      <c r="K9" s="349"/>
      <c r="L9" s="349"/>
      <c r="M9" s="349"/>
      <c r="N9" s="349"/>
      <c r="O9" s="350"/>
      <c r="P9" s="349"/>
      <c r="Q9" s="349"/>
      <c r="R9" s="349"/>
      <c r="S9" s="349"/>
      <c r="T9" s="349" t="s">
        <v>428</v>
      </c>
      <c r="U9" s="349"/>
      <c r="V9" s="350"/>
      <c r="W9" s="349"/>
      <c r="X9" s="349"/>
      <c r="Y9" s="349"/>
      <c r="Z9" s="349"/>
      <c r="AA9" s="349"/>
      <c r="AB9" s="349"/>
      <c r="AC9" s="350"/>
      <c r="AD9" s="349"/>
      <c r="AE9" s="349"/>
      <c r="AF9" s="349"/>
      <c r="AG9" s="351"/>
      <c r="AH9" s="293" t="s">
        <v>8</v>
      </c>
      <c r="AI9" s="402"/>
      <c r="AJ9" s="402"/>
      <c r="AK9" s="402"/>
      <c r="AL9" s="402"/>
      <c r="AM9" s="402"/>
      <c r="AN9" s="402"/>
    </row>
    <row r="10" spans="2:40" ht="15" customHeight="1">
      <c r="B10" s="24"/>
      <c r="C10" s="355"/>
      <c r="D10" s="355"/>
      <c r="E10" s="355"/>
      <c r="F10" s="355"/>
      <c r="G10" s="355"/>
      <c r="H10" s="356"/>
      <c r="I10" s="355"/>
      <c r="J10" s="355"/>
      <c r="K10" s="355"/>
      <c r="L10" s="355"/>
      <c r="M10" s="355"/>
      <c r="N10" s="355"/>
      <c r="O10" s="356"/>
      <c r="P10" s="355"/>
      <c r="Q10" s="355"/>
      <c r="R10" s="355"/>
      <c r="S10" s="355"/>
      <c r="T10" s="355"/>
      <c r="U10" s="355"/>
      <c r="V10" s="356"/>
      <c r="W10" s="355"/>
      <c r="X10" s="355"/>
      <c r="Y10" s="355"/>
      <c r="Z10" s="355"/>
      <c r="AA10" s="355"/>
      <c r="AB10" s="355"/>
      <c r="AC10" s="356"/>
      <c r="AD10" s="355"/>
      <c r="AE10" s="355"/>
      <c r="AF10" s="355"/>
      <c r="AG10" s="357"/>
      <c r="AH10" s="296"/>
      <c r="AI10" s="402"/>
      <c r="AJ10" s="402"/>
      <c r="AK10" s="402"/>
      <c r="AL10" s="402"/>
      <c r="AM10" s="402"/>
      <c r="AN10" s="402"/>
    </row>
    <row r="11" spans="2:40" ht="15" customHeight="1">
      <c r="B11" s="23"/>
      <c r="C11" s="349"/>
      <c r="D11" s="349"/>
      <c r="E11" s="349" t="s">
        <v>429</v>
      </c>
      <c r="F11" s="349"/>
      <c r="G11" s="349"/>
      <c r="H11" s="350" t="s">
        <v>430</v>
      </c>
      <c r="I11" s="349"/>
      <c r="J11" s="349"/>
      <c r="K11" s="349" t="s">
        <v>431</v>
      </c>
      <c r="L11" s="349"/>
      <c r="M11" s="349" t="s">
        <v>432</v>
      </c>
      <c r="N11" s="349" t="s">
        <v>433</v>
      </c>
      <c r="O11" s="350" t="s">
        <v>430</v>
      </c>
      <c r="P11" s="349"/>
      <c r="Q11" s="349" t="s">
        <v>434</v>
      </c>
      <c r="R11" s="349"/>
      <c r="S11" s="349" t="s">
        <v>429</v>
      </c>
      <c r="T11" s="349"/>
      <c r="U11" s="349"/>
      <c r="V11" s="350" t="s">
        <v>430</v>
      </c>
      <c r="W11" s="349"/>
      <c r="X11" s="349" t="s">
        <v>432</v>
      </c>
      <c r="Y11" s="349" t="s">
        <v>431</v>
      </c>
      <c r="Z11" s="349"/>
      <c r="AA11" s="349"/>
      <c r="AB11" s="349" t="s">
        <v>433</v>
      </c>
      <c r="AC11" s="350"/>
      <c r="AD11" s="349"/>
      <c r="AE11" s="349" t="s">
        <v>434</v>
      </c>
      <c r="AF11" s="349"/>
      <c r="AG11" s="351"/>
      <c r="AH11" s="293"/>
      <c r="AI11" s="402"/>
      <c r="AJ11" s="402"/>
      <c r="AK11" s="402"/>
      <c r="AL11" s="402"/>
      <c r="AM11" s="402"/>
      <c r="AN11" s="402"/>
    </row>
    <row r="12" spans="2:40" ht="15" customHeight="1">
      <c r="B12" s="23" t="s">
        <v>14</v>
      </c>
      <c r="C12" s="349"/>
      <c r="D12" s="349"/>
      <c r="E12" s="349"/>
      <c r="F12" s="349"/>
      <c r="G12" s="349"/>
      <c r="H12" s="350"/>
      <c r="I12" s="349"/>
      <c r="J12" s="349"/>
      <c r="K12" s="349"/>
      <c r="L12" s="349"/>
      <c r="M12" s="349"/>
      <c r="N12" s="349"/>
      <c r="O12" s="350"/>
      <c r="P12" s="349"/>
      <c r="Q12" s="349"/>
      <c r="R12" s="349"/>
      <c r="S12" s="349" t="s">
        <v>435</v>
      </c>
      <c r="T12" s="349"/>
      <c r="U12" s="349"/>
      <c r="V12" s="350"/>
      <c r="W12" s="349"/>
      <c r="X12" s="349"/>
      <c r="Y12" s="349"/>
      <c r="Z12" s="349"/>
      <c r="AA12" s="349"/>
      <c r="AB12" s="349"/>
      <c r="AC12" s="350"/>
      <c r="AD12" s="349"/>
      <c r="AE12" s="349"/>
      <c r="AF12" s="349"/>
      <c r="AG12" s="351"/>
      <c r="AH12" s="293" t="s">
        <v>14</v>
      </c>
      <c r="AI12" s="402"/>
      <c r="AJ12" s="402"/>
      <c r="AK12" s="402"/>
      <c r="AL12" s="402"/>
      <c r="AM12" s="402"/>
      <c r="AN12" s="402"/>
    </row>
    <row r="13" spans="2:40" ht="15" customHeight="1">
      <c r="B13" s="24"/>
      <c r="C13" s="355"/>
      <c r="D13" s="355"/>
      <c r="E13" s="355"/>
      <c r="F13" s="355"/>
      <c r="G13" s="355"/>
      <c r="H13" s="356"/>
      <c r="I13" s="355"/>
      <c r="J13" s="355"/>
      <c r="K13" s="355"/>
      <c r="L13" s="355"/>
      <c r="M13" s="355"/>
      <c r="N13" s="355"/>
      <c r="O13" s="356"/>
      <c r="P13" s="355"/>
      <c r="Q13" s="355"/>
      <c r="R13" s="355"/>
      <c r="S13" s="355"/>
      <c r="T13" s="355"/>
      <c r="U13" s="355"/>
      <c r="V13" s="356"/>
      <c r="W13" s="355"/>
      <c r="X13" s="355"/>
      <c r="Y13" s="355"/>
      <c r="Z13" s="355"/>
      <c r="AA13" s="355"/>
      <c r="AB13" s="355"/>
      <c r="AC13" s="356"/>
      <c r="AD13" s="355"/>
      <c r="AE13" s="355"/>
      <c r="AF13" s="355"/>
      <c r="AG13" s="357"/>
      <c r="AH13" s="296"/>
      <c r="AI13" s="402"/>
      <c r="AJ13" s="402"/>
      <c r="AK13" s="402"/>
      <c r="AL13" s="402"/>
      <c r="AM13" s="402"/>
      <c r="AN13" s="402"/>
    </row>
    <row r="14" spans="2:40" ht="15" customHeight="1">
      <c r="B14" s="23" t="s">
        <v>436</v>
      </c>
      <c r="C14" s="349" t="s">
        <v>437</v>
      </c>
      <c r="D14" s="349" t="s">
        <v>437</v>
      </c>
      <c r="E14" s="349" t="s">
        <v>437</v>
      </c>
      <c r="F14" s="349" t="s">
        <v>437</v>
      </c>
      <c r="G14" s="349" t="s">
        <v>437</v>
      </c>
      <c r="H14" s="350"/>
      <c r="I14" s="349"/>
      <c r="J14" s="349" t="s">
        <v>437</v>
      </c>
      <c r="K14" s="349" t="s">
        <v>437</v>
      </c>
      <c r="L14" s="349" t="s">
        <v>437</v>
      </c>
      <c r="M14" s="349" t="s">
        <v>437</v>
      </c>
      <c r="N14" s="349" t="s">
        <v>437</v>
      </c>
      <c r="O14" s="350" t="s">
        <v>438</v>
      </c>
      <c r="P14" s="349"/>
      <c r="Q14" s="349" t="s">
        <v>437</v>
      </c>
      <c r="R14" s="349" t="s">
        <v>437</v>
      </c>
      <c r="S14" s="349" t="s">
        <v>437</v>
      </c>
      <c r="T14" s="349" t="s">
        <v>437</v>
      </c>
      <c r="U14" s="349" t="s">
        <v>437</v>
      </c>
      <c r="V14" s="350"/>
      <c r="W14" s="349"/>
      <c r="X14" s="349" t="s">
        <v>437</v>
      </c>
      <c r="Y14" s="349" t="s">
        <v>437</v>
      </c>
      <c r="Z14" s="349" t="s">
        <v>437</v>
      </c>
      <c r="AA14" s="349" t="s">
        <v>437</v>
      </c>
      <c r="AB14" s="349" t="s">
        <v>437</v>
      </c>
      <c r="AC14" s="350"/>
      <c r="AD14" s="349"/>
      <c r="AE14" s="349" t="s">
        <v>437</v>
      </c>
      <c r="AF14" s="349" t="s">
        <v>437</v>
      </c>
      <c r="AG14" s="351"/>
      <c r="AH14" s="293" t="s">
        <v>436</v>
      </c>
      <c r="AI14" s="402"/>
      <c r="AJ14" s="402"/>
      <c r="AK14" s="402"/>
      <c r="AL14" s="402"/>
      <c r="AM14" s="402"/>
      <c r="AN14" s="402"/>
    </row>
    <row r="15" spans="2:40" ht="15" customHeight="1">
      <c r="B15" s="24"/>
      <c r="C15" s="355"/>
      <c r="D15" s="355"/>
      <c r="E15" s="355"/>
      <c r="F15" s="355"/>
      <c r="G15" s="355"/>
      <c r="H15" s="356"/>
      <c r="I15" s="355"/>
      <c r="J15" s="355"/>
      <c r="K15" s="355"/>
      <c r="L15" s="355"/>
      <c r="M15" s="355"/>
      <c r="N15" s="355"/>
      <c r="O15" s="356" t="s">
        <v>439</v>
      </c>
      <c r="P15" s="355"/>
      <c r="Q15" s="355"/>
      <c r="R15" s="355"/>
      <c r="S15" s="355"/>
      <c r="T15" s="355"/>
      <c r="U15" s="355"/>
      <c r="V15" s="356"/>
      <c r="W15" s="355"/>
      <c r="X15" s="355"/>
      <c r="Y15" s="355"/>
      <c r="Z15" s="355"/>
      <c r="AA15" s="355"/>
      <c r="AB15" s="355"/>
      <c r="AC15" s="356"/>
      <c r="AD15" s="355"/>
      <c r="AE15" s="355"/>
      <c r="AF15" s="355"/>
      <c r="AG15" s="357"/>
      <c r="AH15" s="296"/>
      <c r="AI15" s="402"/>
      <c r="AJ15" s="402"/>
      <c r="AK15" s="402"/>
      <c r="AL15" s="402"/>
      <c r="AM15" s="402"/>
      <c r="AN15" s="402"/>
    </row>
    <row r="16" spans="2:40" ht="15" customHeight="1">
      <c r="B16" s="23" t="s">
        <v>440</v>
      </c>
      <c r="C16" s="349"/>
      <c r="D16" s="349"/>
      <c r="E16" s="349"/>
      <c r="F16" s="349"/>
      <c r="G16" s="349"/>
      <c r="H16" s="350"/>
      <c r="I16" s="349"/>
      <c r="J16" s="349"/>
      <c r="K16" s="349"/>
      <c r="L16" s="349"/>
      <c r="M16" s="349"/>
      <c r="N16" s="349"/>
      <c r="O16" s="350"/>
      <c r="P16" s="349"/>
      <c r="Q16" s="349"/>
      <c r="R16" s="349"/>
      <c r="S16" s="349"/>
      <c r="T16" s="349"/>
      <c r="U16" s="349"/>
      <c r="V16" s="350"/>
      <c r="W16" s="349"/>
      <c r="X16" s="349"/>
      <c r="Y16" s="349"/>
      <c r="Z16" s="349"/>
      <c r="AA16" s="349"/>
      <c r="AB16" s="349"/>
      <c r="AC16" s="350"/>
      <c r="AD16" s="349"/>
      <c r="AE16" s="349"/>
      <c r="AF16" s="349"/>
      <c r="AG16" s="351"/>
      <c r="AH16" s="293" t="s">
        <v>440</v>
      </c>
      <c r="AI16" s="402"/>
      <c r="AJ16" s="402"/>
      <c r="AK16" s="402"/>
      <c r="AL16" s="402"/>
      <c r="AM16" s="402"/>
      <c r="AN16" s="402"/>
    </row>
    <row r="17" spans="1:40" ht="15" customHeight="1">
      <c r="B17" s="24"/>
      <c r="C17" s="355"/>
      <c r="D17" s="355"/>
      <c r="E17" s="355"/>
      <c r="F17" s="355"/>
      <c r="G17" s="355"/>
      <c r="H17" s="356"/>
      <c r="I17" s="355"/>
      <c r="J17" s="355"/>
      <c r="K17" s="355"/>
      <c r="L17" s="355"/>
      <c r="M17" s="355"/>
      <c r="N17" s="355"/>
      <c r="O17" s="356"/>
      <c r="P17" s="355"/>
      <c r="Q17" s="355"/>
      <c r="R17" s="355"/>
      <c r="S17" s="355"/>
      <c r="T17" s="355"/>
      <c r="U17" s="355"/>
      <c r="V17" s="356"/>
      <c r="W17" s="355"/>
      <c r="X17" s="355"/>
      <c r="Y17" s="355"/>
      <c r="Z17" s="355"/>
      <c r="AA17" s="355"/>
      <c r="AB17" s="355"/>
      <c r="AC17" s="356"/>
      <c r="AD17" s="355"/>
      <c r="AE17" s="355"/>
      <c r="AF17" s="355"/>
      <c r="AG17" s="357"/>
      <c r="AH17" s="296"/>
      <c r="AI17" s="402"/>
      <c r="AJ17" s="402"/>
      <c r="AK17" s="402"/>
      <c r="AL17" s="402"/>
      <c r="AM17" s="402"/>
      <c r="AN17" s="402"/>
    </row>
    <row r="18" spans="1:40" ht="15" customHeight="1">
      <c r="B18" s="23" t="s">
        <v>79</v>
      </c>
      <c r="C18" s="349"/>
      <c r="D18" s="349"/>
      <c r="E18" s="349"/>
      <c r="F18" s="349"/>
      <c r="G18" s="349"/>
      <c r="H18" s="350"/>
      <c r="I18" s="349"/>
      <c r="J18" s="349"/>
      <c r="K18" s="349"/>
      <c r="L18" s="349"/>
      <c r="M18" s="349"/>
      <c r="N18" s="349"/>
      <c r="O18" s="350"/>
      <c r="P18" s="349"/>
      <c r="Q18" s="349"/>
      <c r="R18" s="349"/>
      <c r="S18" s="349" t="s">
        <v>441</v>
      </c>
      <c r="T18" s="349"/>
      <c r="U18" s="349"/>
      <c r="V18" s="350"/>
      <c r="W18" s="349"/>
      <c r="X18" s="349"/>
      <c r="Y18" s="349"/>
      <c r="Z18" s="349"/>
      <c r="AA18" s="349"/>
      <c r="AB18" s="349"/>
      <c r="AC18" s="350"/>
      <c r="AD18" s="349"/>
      <c r="AE18" s="349"/>
      <c r="AF18" s="349" t="s">
        <v>442</v>
      </c>
      <c r="AG18" s="351"/>
      <c r="AH18" s="293" t="s">
        <v>79</v>
      </c>
      <c r="AI18" s="402"/>
      <c r="AJ18" s="402"/>
      <c r="AK18" s="402"/>
      <c r="AL18" s="402"/>
      <c r="AM18" s="402"/>
      <c r="AN18" s="402"/>
    </row>
    <row r="19" spans="1:40" ht="15" customHeight="1">
      <c r="B19" s="24"/>
      <c r="C19" s="355"/>
      <c r="D19" s="355"/>
      <c r="E19" s="355"/>
      <c r="F19" s="355"/>
      <c r="G19" s="355"/>
      <c r="H19" s="356"/>
      <c r="I19" s="355"/>
      <c r="J19" s="355"/>
      <c r="K19" s="355"/>
      <c r="L19" s="355"/>
      <c r="M19" s="355"/>
      <c r="N19" s="355"/>
      <c r="O19" s="356"/>
      <c r="P19" s="355"/>
      <c r="Q19" s="355"/>
      <c r="R19" s="355"/>
      <c r="S19" s="355"/>
      <c r="T19" s="355"/>
      <c r="U19" s="355"/>
      <c r="V19" s="356"/>
      <c r="W19" s="355"/>
      <c r="X19" s="355"/>
      <c r="Y19" s="355"/>
      <c r="Z19" s="355"/>
      <c r="AA19" s="355"/>
      <c r="AB19" s="355"/>
      <c r="AC19" s="356"/>
      <c r="AD19" s="355"/>
      <c r="AE19" s="355"/>
      <c r="AF19" s="355" t="s">
        <v>443</v>
      </c>
      <c r="AG19" s="357"/>
      <c r="AH19" s="296"/>
      <c r="AI19" s="402"/>
      <c r="AJ19" s="402"/>
      <c r="AK19" s="402"/>
      <c r="AL19" s="402"/>
      <c r="AM19" s="402"/>
      <c r="AN19" s="402"/>
    </row>
    <row r="20" spans="1:40" ht="15" customHeight="1">
      <c r="B20" s="23" t="s">
        <v>83</v>
      </c>
      <c r="C20" s="349"/>
      <c r="D20" s="349"/>
      <c r="E20" s="349"/>
      <c r="F20" s="349"/>
      <c r="G20" s="349"/>
      <c r="H20" s="350"/>
      <c r="I20" s="349"/>
      <c r="J20" s="349"/>
      <c r="K20" s="349"/>
      <c r="L20" s="349"/>
      <c r="M20" s="349"/>
      <c r="N20" s="349"/>
      <c r="O20" s="350"/>
      <c r="P20" s="349"/>
      <c r="Q20" s="349"/>
      <c r="R20" s="349"/>
      <c r="S20" s="349"/>
      <c r="T20" s="349"/>
      <c r="U20" s="349"/>
      <c r="V20" s="350"/>
      <c r="W20" s="349"/>
      <c r="X20" s="349"/>
      <c r="Y20" s="349"/>
      <c r="Z20" s="349"/>
      <c r="AA20" s="349"/>
      <c r="AB20" s="349"/>
      <c r="AC20" s="350"/>
      <c r="AD20" s="349"/>
      <c r="AE20" s="349"/>
      <c r="AF20" s="349"/>
      <c r="AG20" s="351"/>
      <c r="AH20" s="293" t="s">
        <v>83</v>
      </c>
      <c r="AI20" s="402"/>
      <c r="AJ20" s="402"/>
      <c r="AK20" s="402"/>
      <c r="AL20" s="402"/>
      <c r="AM20" s="402"/>
      <c r="AN20" s="402"/>
    </row>
    <row r="21" spans="1:40" ht="15" customHeight="1">
      <c r="B21" s="24"/>
      <c r="C21" s="355"/>
      <c r="D21" s="355"/>
      <c r="E21" s="355"/>
      <c r="F21" s="355"/>
      <c r="G21" s="355"/>
      <c r="H21" s="356"/>
      <c r="I21" s="355"/>
      <c r="J21" s="355"/>
      <c r="K21" s="355"/>
      <c r="L21" s="355"/>
      <c r="M21" s="355"/>
      <c r="N21" s="355"/>
      <c r="O21" s="356"/>
      <c r="P21" s="355"/>
      <c r="Q21" s="355"/>
      <c r="R21" s="355"/>
      <c r="S21" s="355"/>
      <c r="T21" s="355"/>
      <c r="U21" s="355"/>
      <c r="V21" s="356"/>
      <c r="W21" s="355"/>
      <c r="X21" s="355"/>
      <c r="Y21" s="355"/>
      <c r="Z21" s="355"/>
      <c r="AA21" s="355"/>
      <c r="AB21" s="355"/>
      <c r="AC21" s="356"/>
      <c r="AD21" s="355"/>
      <c r="AE21" s="355"/>
      <c r="AF21" s="355"/>
      <c r="AG21" s="357"/>
      <c r="AH21" s="296"/>
      <c r="AI21" s="402"/>
      <c r="AJ21" s="402"/>
      <c r="AK21" s="402"/>
      <c r="AL21" s="402"/>
      <c r="AM21" s="402"/>
      <c r="AN21" s="402"/>
    </row>
    <row r="22" spans="1:40" ht="15" customHeight="1">
      <c r="B22" s="23" t="s">
        <v>37</v>
      </c>
      <c r="C22" s="349"/>
      <c r="D22" s="349"/>
      <c r="E22" s="349"/>
      <c r="F22" s="349"/>
      <c r="G22" s="349"/>
      <c r="H22" s="350"/>
      <c r="I22" s="349" t="s">
        <v>444</v>
      </c>
      <c r="J22" s="349"/>
      <c r="K22" s="349"/>
      <c r="L22" s="349"/>
      <c r="M22" s="349"/>
      <c r="N22" s="349"/>
      <c r="O22" s="350"/>
      <c r="P22" s="349"/>
      <c r="Q22" s="349" t="s">
        <v>384</v>
      </c>
      <c r="R22" s="349" t="s">
        <v>445</v>
      </c>
      <c r="S22" s="349"/>
      <c r="T22" s="349"/>
      <c r="U22" s="349"/>
      <c r="V22" s="350"/>
      <c r="W22" s="349"/>
      <c r="X22" s="349"/>
      <c r="Y22" s="349"/>
      <c r="Z22" s="349"/>
      <c r="AA22" s="349"/>
      <c r="AB22" s="349"/>
      <c r="AC22" s="350"/>
      <c r="AD22" s="349" t="s">
        <v>444</v>
      </c>
      <c r="AE22" s="349"/>
      <c r="AF22" s="349"/>
      <c r="AG22" s="351"/>
      <c r="AH22" s="293" t="s">
        <v>37</v>
      </c>
      <c r="AI22" s="402"/>
      <c r="AJ22" s="402"/>
      <c r="AK22" s="402"/>
      <c r="AL22" s="402"/>
      <c r="AM22" s="402"/>
      <c r="AN22" s="402"/>
    </row>
    <row r="23" spans="1:40" ht="15" customHeight="1">
      <c r="B23" s="24"/>
      <c r="C23" s="355"/>
      <c r="D23" s="355"/>
      <c r="E23" s="355"/>
      <c r="F23" s="355"/>
      <c r="G23" s="355"/>
      <c r="H23" s="356"/>
      <c r="I23" s="355" t="s">
        <v>446</v>
      </c>
      <c r="J23" s="355"/>
      <c r="K23" s="355"/>
      <c r="L23" s="355"/>
      <c r="M23" s="355"/>
      <c r="N23" s="355"/>
      <c r="O23" s="356"/>
      <c r="P23" s="355"/>
      <c r="Q23" s="355"/>
      <c r="R23" s="355"/>
      <c r="S23" s="355"/>
      <c r="T23" s="355"/>
      <c r="U23" s="355"/>
      <c r="V23" s="356"/>
      <c r="W23" s="355"/>
      <c r="X23" s="355"/>
      <c r="Y23" s="355"/>
      <c r="Z23" s="355"/>
      <c r="AA23" s="355"/>
      <c r="AB23" s="355"/>
      <c r="AC23" s="356"/>
      <c r="AD23" s="355" t="s">
        <v>446</v>
      </c>
      <c r="AE23" s="355"/>
      <c r="AF23" s="355"/>
      <c r="AG23" s="357"/>
      <c r="AH23" s="296"/>
      <c r="AI23" s="402"/>
      <c r="AJ23" s="402"/>
      <c r="AK23" s="402"/>
      <c r="AL23" s="402"/>
      <c r="AM23" s="402"/>
      <c r="AN23" s="402"/>
    </row>
    <row r="24" spans="1:40" ht="15" customHeight="1">
      <c r="B24" s="23"/>
      <c r="C24" s="349"/>
      <c r="D24" s="349"/>
      <c r="E24" s="349"/>
      <c r="F24" s="349" t="s">
        <v>447</v>
      </c>
      <c r="G24" s="349"/>
      <c r="H24" s="350"/>
      <c r="I24" s="349"/>
      <c r="J24" s="349"/>
      <c r="K24" s="349"/>
      <c r="L24" s="349"/>
      <c r="M24" s="349" t="s">
        <v>447</v>
      </c>
      <c r="N24" s="349"/>
      <c r="O24" s="350"/>
      <c r="P24" s="349"/>
      <c r="Q24" s="349"/>
      <c r="R24" s="349"/>
      <c r="S24" s="349"/>
      <c r="T24" s="349" t="s">
        <v>447</v>
      </c>
      <c r="U24" s="349"/>
      <c r="V24" s="350"/>
      <c r="W24" s="349"/>
      <c r="X24" s="349"/>
      <c r="Y24" s="349"/>
      <c r="Z24" s="349"/>
      <c r="AA24" s="349" t="s">
        <v>447</v>
      </c>
      <c r="AB24" s="349"/>
      <c r="AC24" s="350"/>
      <c r="AD24" s="349"/>
      <c r="AE24" s="349"/>
      <c r="AF24" s="349"/>
      <c r="AG24" s="351"/>
      <c r="AH24" s="293"/>
      <c r="AI24" s="402"/>
      <c r="AJ24" s="402"/>
      <c r="AK24" s="402"/>
      <c r="AL24" s="402"/>
      <c r="AM24" s="402"/>
      <c r="AN24" s="402"/>
    </row>
    <row r="25" spans="1:40" ht="15" customHeight="1">
      <c r="B25" s="23" t="s">
        <v>42</v>
      </c>
      <c r="C25" s="349"/>
      <c r="D25" s="349"/>
      <c r="E25" s="349" t="s">
        <v>448</v>
      </c>
      <c r="F25" s="349" t="s">
        <v>435</v>
      </c>
      <c r="G25" s="349"/>
      <c r="H25" s="350"/>
      <c r="I25" s="349"/>
      <c r="J25" s="349"/>
      <c r="K25" s="349"/>
      <c r="L25" s="349"/>
      <c r="M25" s="349" t="s">
        <v>449</v>
      </c>
      <c r="N25" s="349"/>
      <c r="O25" s="350" t="s">
        <v>438</v>
      </c>
      <c r="P25" s="349"/>
      <c r="Q25" s="349"/>
      <c r="R25" s="349"/>
      <c r="S25" s="349"/>
      <c r="T25" s="349" t="s">
        <v>450</v>
      </c>
      <c r="U25" s="349"/>
      <c r="V25" s="350"/>
      <c r="W25" s="349"/>
      <c r="X25" s="349" t="s">
        <v>451</v>
      </c>
      <c r="Y25" s="349"/>
      <c r="Z25" s="349"/>
      <c r="AA25" s="349" t="s">
        <v>435</v>
      </c>
      <c r="AB25" s="349"/>
      <c r="AC25" s="350"/>
      <c r="AD25" s="349"/>
      <c r="AE25" s="349"/>
      <c r="AF25" s="349" t="s">
        <v>452</v>
      </c>
      <c r="AG25" s="351"/>
      <c r="AH25" s="293" t="s">
        <v>42</v>
      </c>
      <c r="AI25" s="402"/>
      <c r="AJ25" s="402"/>
      <c r="AK25" s="402"/>
      <c r="AL25" s="402"/>
      <c r="AM25" s="402"/>
      <c r="AN25" s="402"/>
    </row>
    <row r="26" spans="1:40" ht="15" customHeight="1">
      <c r="B26" s="430"/>
      <c r="C26" s="464"/>
      <c r="D26" s="464"/>
      <c r="E26" s="464" t="s">
        <v>453</v>
      </c>
      <c r="F26" s="464"/>
      <c r="G26" s="464"/>
      <c r="H26" s="465"/>
      <c r="I26" s="464"/>
      <c r="J26" s="464"/>
      <c r="K26" s="464"/>
      <c r="L26" s="464"/>
      <c r="M26" s="464"/>
      <c r="N26" s="464"/>
      <c r="O26" s="465" t="s">
        <v>439</v>
      </c>
      <c r="P26" s="464"/>
      <c r="Q26" s="464"/>
      <c r="R26" s="464"/>
      <c r="S26" s="464"/>
      <c r="T26" s="464" t="s">
        <v>454</v>
      </c>
      <c r="U26" s="464"/>
      <c r="V26" s="465"/>
      <c r="W26" s="464"/>
      <c r="X26" s="464" t="s">
        <v>455</v>
      </c>
      <c r="Y26" s="464"/>
      <c r="Z26" s="464"/>
      <c r="AA26" s="464" t="s">
        <v>456</v>
      </c>
      <c r="AB26" s="464"/>
      <c r="AC26" s="465"/>
      <c r="AD26" s="464"/>
      <c r="AE26" s="464" t="s">
        <v>457</v>
      </c>
      <c r="AF26" s="464" t="s">
        <v>443</v>
      </c>
      <c r="AG26" s="466"/>
      <c r="AH26" s="437"/>
      <c r="AI26" s="402"/>
      <c r="AJ26" s="402"/>
      <c r="AK26" s="402"/>
      <c r="AL26" s="402"/>
      <c r="AM26" s="402"/>
      <c r="AN26" s="402"/>
    </row>
    <row r="27" spans="1:40" ht="15" customHeight="1">
      <c r="A27" s="347">
        <f>COUNTIF(C27:AG27,"★★")</f>
        <v>4</v>
      </c>
      <c r="B27" s="518" t="str">
        <f>IF(一覧!B39="","",一覧!B39)</f>
        <v>窪内　誠</v>
      </c>
      <c r="C27" s="349" t="str">
        <f>IF(一覧!C39="","",一覧!C39)</f>
        <v/>
      </c>
      <c r="D27" s="349" t="str">
        <f>IF(一覧!D39="","",一覧!D39)</f>
        <v>ミヤネ屋</v>
      </c>
      <c r="E27" s="349" t="str">
        <f>IF(一覧!E39="","",一覧!E39)</f>
        <v>じゅっと</v>
      </c>
      <c r="F27" s="349" t="str">
        <f>IF(一覧!F39="","",一覧!F39)</f>
        <v>VEレク</v>
      </c>
      <c r="G27" s="349" t="str">
        <f>IF(一覧!G39="","",一覧!G39)</f>
        <v>VEレク</v>
      </c>
      <c r="H27" s="350" t="str">
        <f>IF(一覧!H39="","",一覧!H39)</f>
        <v>★</v>
      </c>
      <c r="I27" s="349" t="str">
        <f>IF(一覧!I39="","",一覧!I39)</f>
        <v>★★</v>
      </c>
      <c r="J27" s="349" t="str">
        <f>IF(一覧!J39="","",一覧!J39)</f>
        <v>　　　━</v>
      </c>
      <c r="K27" s="349" t="str">
        <f>IF(一覧!K39="","",一覧!K39)</f>
        <v>━　　　</v>
      </c>
      <c r="L27" s="349" t="str">
        <f>IF(一覧!L39="","",一覧!L39)</f>
        <v/>
      </c>
      <c r="M27" s="349" t="str">
        <f>IF(一覧!M39="","",一覧!M39)</f>
        <v>音道楽</v>
      </c>
      <c r="N27" s="349" t="str">
        <f>IF(一覧!N39="","",一覧!N39)</f>
        <v>委員会</v>
      </c>
      <c r="O27" s="350" t="str">
        <f>IF(一覧!O39="","",一覧!O39)</f>
        <v>★</v>
      </c>
      <c r="P27" s="349" t="str">
        <f>IF(一覧!P39="","",一覧!P39)</f>
        <v>★★</v>
      </c>
      <c r="Q27" s="349" t="str">
        <f>IF(一覧!Q39="","",一覧!Q39)</f>
        <v>　　　━</v>
      </c>
      <c r="R27" s="349" t="str">
        <f>IF(一覧!R39="","",一覧!R39)</f>
        <v>━　　　</v>
      </c>
      <c r="S27" s="349" t="str">
        <f>IF(一覧!S39="","",一覧!S39)</f>
        <v>ミヤネ屋</v>
      </c>
      <c r="T27" s="349" t="str">
        <f>IF(一覧!T39="","",一覧!T39)</f>
        <v>吉田粗品</v>
      </c>
      <c r="U27" s="349" t="str">
        <f>IF(一覧!U39="","",一覧!U39)</f>
        <v>機材整備</v>
      </c>
      <c r="V27" s="350" t="str">
        <f>IF(一覧!V39="","",一覧!V39)</f>
        <v>★</v>
      </c>
      <c r="W27" s="349" t="str">
        <f>IF(一覧!W39="","",一覧!W39)</f>
        <v>★★</v>
      </c>
      <c r="X27" s="349" t="str">
        <f>IF(一覧!X39="","",一覧!X39)</f>
        <v>ミヤネ屋</v>
      </c>
      <c r="Y27" s="349" t="str">
        <f>IF(一覧!Y39="","",一覧!Y39)</f>
        <v>ほんわか</v>
      </c>
      <c r="Z27" s="349" t="str">
        <f>IF(一覧!Z39="","",一覧!Z39)</f>
        <v>VEG会議</v>
      </c>
      <c r="AA27" s="349" t="str">
        <f>IF(一覧!AA39="","",一覧!AA39)</f>
        <v>じゅっと</v>
      </c>
      <c r="AB27" s="349" t="str">
        <f>IF(一覧!AB39="","",一覧!AB39)</f>
        <v/>
      </c>
      <c r="AC27" s="350" t="str">
        <f>IF(一覧!AC39="","",一覧!AC39)</f>
        <v>★</v>
      </c>
      <c r="AD27" s="349" t="str">
        <f>IF(一覧!AD39="","",一覧!AD39)</f>
        <v>★★</v>
      </c>
      <c r="AE27" s="349" t="str">
        <f>IF(一覧!AE39="","",一覧!AE39)</f>
        <v>土ダメ</v>
      </c>
      <c r="AF27" s="349" t="str">
        <f>IF(一覧!AF39="","",一覧!AF39)</f>
        <v>登録</v>
      </c>
      <c r="AG27" s="351" t="str">
        <f>IF(一覧!AG39="","",一覧!AG39)</f>
        <v/>
      </c>
      <c r="AH27" s="382" t="str">
        <f>IF(一覧!AH39="","",一覧!AH39)</f>
        <v>窪内</v>
      </c>
      <c r="AI27" s="402"/>
      <c r="AJ27" s="402"/>
      <c r="AK27" s="402"/>
      <c r="AL27" s="402"/>
      <c r="AM27" s="402"/>
      <c r="AN27" s="402"/>
    </row>
    <row r="28" spans="1:40" ht="15" customHeight="1">
      <c r="A28" s="347">
        <f>COUNTIF(C27:AG27,"★")</f>
        <v>4</v>
      </c>
      <c r="B28" s="303" t="str">
        <f>IF(一覧!B40="","",一覧!B40)</f>
        <v/>
      </c>
      <c r="C28" s="355" t="str">
        <f>IF(一覧!C40="","",一覧!C40)</f>
        <v>局会</v>
      </c>
      <c r="D28" s="355" t="str">
        <f>IF(一覧!D40="","",一覧!D40)</f>
        <v>ＴＤ</v>
      </c>
      <c r="E28" s="355" t="str">
        <f>IF(一覧!E40="","",一覧!E40)</f>
        <v>ＶＥ</v>
      </c>
      <c r="F28" s="355" t="str">
        <f>IF(一覧!F40="","",一覧!F40)</f>
        <v/>
      </c>
      <c r="G28" s="355" t="str">
        <f>IF(一覧!G40="","",一覧!G40)</f>
        <v/>
      </c>
      <c r="H28" s="356" t="str">
        <f>IF(一覧!H40="","",一覧!H40)</f>
        <v/>
      </c>
      <c r="I28" s="355" t="str">
        <f>IF(一覧!I40="","",一覧!I40)</f>
        <v/>
      </c>
      <c r="J28" s="355" t="str">
        <f>IF(一覧!J40="","",一覧!J40)</f>
        <v/>
      </c>
      <c r="K28" s="355" t="str">
        <f>IF(一覧!K40="","",一覧!K40)</f>
        <v>中継車WG</v>
      </c>
      <c r="L28" s="355" t="str">
        <f>IF(一覧!L40="","",一覧!L40)</f>
        <v>照明G</v>
      </c>
      <c r="M28" s="355" t="str">
        <f>IF(一覧!M40="","",一覧!M40)</f>
        <v>ＶＥ</v>
      </c>
      <c r="N28" s="355" t="str">
        <f>IF(一覧!N40="","",一覧!N40)</f>
        <v>ＶＥ</v>
      </c>
      <c r="O28" s="356" t="str">
        <f>IF(一覧!O40="","",一覧!O40)</f>
        <v/>
      </c>
      <c r="P28" s="355" t="str">
        <f>IF(一覧!P40="","",一覧!P40)</f>
        <v/>
      </c>
      <c r="Q28" s="355" t="str">
        <f>IF(一覧!Q40="","",一覧!Q40)</f>
        <v/>
      </c>
      <c r="R28" s="355" t="str">
        <f>IF(一覧!R40="","",一覧!R40)</f>
        <v/>
      </c>
      <c r="S28" s="355" t="str">
        <f>IF(一覧!S40="","",一覧!S40)</f>
        <v>ＴＤ</v>
      </c>
      <c r="T28" s="355" t="str">
        <f>IF(一覧!T40="","",一覧!T40)</f>
        <v>ＴＤ</v>
      </c>
      <c r="U28" s="355" t="str">
        <f>IF(一覧!U40="","",一覧!U40)</f>
        <v/>
      </c>
      <c r="V28" s="356" t="str">
        <f>IF(一覧!V40="","",一覧!V40)</f>
        <v/>
      </c>
      <c r="W28" s="355" t="str">
        <f>IF(一覧!W40="","",一覧!W40)</f>
        <v/>
      </c>
      <c r="X28" s="355" t="str">
        <f>IF(一覧!X40="","",一覧!X40)</f>
        <v>ＬＤ</v>
      </c>
      <c r="Y28" s="355" t="str">
        <f>IF(一覧!Y40="","",一覧!Y40)</f>
        <v>ＶＥ</v>
      </c>
      <c r="Z28" s="355" t="str">
        <f>IF(一覧!Z40="","",一覧!Z40)</f>
        <v/>
      </c>
      <c r="AA28" s="355" t="str">
        <f>IF(一覧!AA40="","",一覧!AA40)</f>
        <v>ＴＤ</v>
      </c>
      <c r="AB28" s="355" t="str">
        <f>IF(一覧!AB40="","",一覧!AB40)</f>
        <v>技術会議</v>
      </c>
      <c r="AC28" s="356" t="str">
        <f>IF(一覧!AC40="","",一覧!AC40)</f>
        <v/>
      </c>
      <c r="AD28" s="355" t="str">
        <f>IF(一覧!AD40="","",一覧!AD40)</f>
        <v/>
      </c>
      <c r="AE28" s="355" t="str">
        <f>IF(一覧!AE40="","",一覧!AE40)</f>
        <v>ＶＥ</v>
      </c>
      <c r="AF28" s="355" t="str">
        <f>IF(一覧!AF40="","",一覧!AF40)</f>
        <v/>
      </c>
      <c r="AG28" s="357" t="str">
        <f>IF(一覧!AG40="","",一覧!AG40)</f>
        <v/>
      </c>
      <c r="AH28" s="383" t="str">
        <f>IF(一覧!AH40="","",一覧!AH40)</f>
        <v/>
      </c>
      <c r="AI28" s="402"/>
      <c r="AJ28" s="402"/>
      <c r="AK28" s="402"/>
      <c r="AL28" s="402"/>
      <c r="AM28" s="402"/>
      <c r="AN28" s="402"/>
    </row>
    <row r="29" spans="1:40" ht="15" customHeight="1">
      <c r="A29" s="347">
        <f t="shared" ref="A29" si="0">COUNTIF(C29:AG29,"★★")</f>
        <v>4</v>
      </c>
      <c r="B29" s="518" t="str">
        <f>IF(一覧!B47="","",一覧!B47)</f>
        <v>菊地　健</v>
      </c>
      <c r="C29" s="349" t="str">
        <f>IF(一覧!C47="","",一覧!C47)</f>
        <v>ミヤネ屋</v>
      </c>
      <c r="D29" s="349" t="str">
        <f>IF(一覧!D47="","",一覧!D47)</f>
        <v/>
      </c>
      <c r="E29" s="349" t="str">
        <f>IF(一覧!E47="","",一覧!E47)</f>
        <v>うさかめ</v>
      </c>
      <c r="F29" s="349" t="str">
        <f>IF(一覧!F47="","",一覧!F47)</f>
        <v>機材整備</v>
      </c>
      <c r="G29" s="349" t="str">
        <f>IF(一覧!G47="","",一覧!G47)</f>
        <v>吉田粗品</v>
      </c>
      <c r="H29" s="350" t="str">
        <f>IF(一覧!H47="","",一覧!H47)</f>
        <v>★</v>
      </c>
      <c r="I29" s="349" t="str">
        <f>IF(一覧!I47="","",一覧!I47)</f>
        <v>★★</v>
      </c>
      <c r="J29" s="349" t="str">
        <f>IF(一覧!J47="","",一覧!J47)</f>
        <v>吉田粗品</v>
      </c>
      <c r="K29" s="349" t="str">
        <f>IF(一覧!K47="","",一覧!K47)</f>
        <v>中継車WG</v>
      </c>
      <c r="L29" s="349" t="str">
        <f>IF(一覧!L47="","",一覧!L47)</f>
        <v>声</v>
      </c>
      <c r="M29" s="349" t="str">
        <f>IF(一覧!M47="","",一覧!M47)</f>
        <v>ミヤネ屋</v>
      </c>
      <c r="N29" s="349" t="str">
        <f>IF(一覧!N47="","",一覧!N47)</f>
        <v>ミヤネ屋</v>
      </c>
      <c r="O29" s="350" t="str">
        <f>IF(一覧!O47="","",一覧!O47)</f>
        <v>ジグザグ</v>
      </c>
      <c r="P29" s="349" t="str">
        <f>IF(一覧!P47="","",一覧!P47)</f>
        <v>★★</v>
      </c>
      <c r="Q29" s="349" t="str">
        <f>IF(一覧!Q47="","",一覧!Q47)</f>
        <v>★</v>
      </c>
      <c r="R29" s="349" t="str">
        <f>IF(一覧!R47="","",一覧!R47)</f>
        <v>ミヤネ屋</v>
      </c>
      <c r="S29" s="349" t="str">
        <f>IF(一覧!S47="","",一覧!S47)</f>
        <v>ｔｅｎ！</v>
      </c>
      <c r="T29" s="349" t="str">
        <f>IF(一覧!T47="","",一覧!T47)</f>
        <v>吉田粗品</v>
      </c>
      <c r="U29" s="349" t="str">
        <f>IF(一覧!U47="","",一覧!U47)</f>
        <v>機材整備</v>
      </c>
      <c r="V29" s="350" t="str">
        <f>IF(一覧!V47="","",一覧!V47)</f>
        <v>★</v>
      </c>
      <c r="W29" s="349" t="str">
        <f>IF(一覧!W47="","",一覧!W47)</f>
        <v>★★</v>
      </c>
      <c r="X29" s="349" t="str">
        <f>IF(一覧!X47="","",一覧!X47)</f>
        <v>ノビしろ</v>
      </c>
      <c r="Y29" s="349" t="str">
        <f>IF(一覧!Y47="","",一覧!Y47)</f>
        <v>ミヤネ屋</v>
      </c>
      <c r="Z29" s="349" t="str">
        <f>IF(一覧!Z47="","",一覧!Z47)</f>
        <v>VEG会議</v>
      </c>
      <c r="AA29" s="349" t="str">
        <f>IF(一覧!AA47="","",一覧!AA47)</f>
        <v>　　　━</v>
      </c>
      <c r="AB29" s="349" t="str">
        <f>IF(一覧!AB47="","",一覧!AB47)</f>
        <v>━　　　</v>
      </c>
      <c r="AC29" s="350" t="str">
        <f>IF(一覧!AC47="","",一覧!AC47)</f>
        <v>★</v>
      </c>
      <c r="AD29" s="349" t="str">
        <f>IF(一覧!AD47="","",一覧!AD47)</f>
        <v>★★</v>
      </c>
      <c r="AE29" s="349" t="str">
        <f>IF(一覧!AE47="","",一覧!AE47)</f>
        <v>ミヤネ屋</v>
      </c>
      <c r="AF29" s="349" t="str">
        <f>IF(一覧!AF47="","",一覧!AF47)</f>
        <v>X準備</v>
      </c>
      <c r="AG29" s="351" t="str">
        <f>IF(一覧!AG47="","",一覧!AG47)</f>
        <v/>
      </c>
      <c r="AH29" s="519" t="str">
        <f>IF(一覧!AH47="","",一覧!AH47)</f>
        <v>菊地</v>
      </c>
      <c r="AI29" s="402"/>
      <c r="AJ29" s="402"/>
      <c r="AK29" s="402"/>
      <c r="AL29" s="402"/>
      <c r="AM29" s="402"/>
      <c r="AN29" s="402"/>
    </row>
    <row r="30" spans="1:40" ht="15" customHeight="1">
      <c r="A30" s="347">
        <f t="shared" ref="A30" si="1">COUNTIF(C29:AG29,"★")</f>
        <v>4</v>
      </c>
      <c r="B30" s="303" t="str">
        <f>IF(一覧!B48="","",一覧!B48)</f>
        <v/>
      </c>
      <c r="C30" s="355" t="str">
        <f>IF(一覧!C48="","",一覧!C48)</f>
        <v>ＴＤ</v>
      </c>
      <c r="D30" s="355" t="str">
        <f>IF(一覧!D48="","",一覧!D48)</f>
        <v/>
      </c>
      <c r="E30" s="355" t="str">
        <f>IF(一覧!E48="","",一覧!E48)</f>
        <v>ＶＥ</v>
      </c>
      <c r="F30" s="355" t="str">
        <f>IF(一覧!F48="","",一覧!F48)</f>
        <v/>
      </c>
      <c r="G30" s="355" t="str">
        <f>IF(一覧!G48="","",一覧!G48)</f>
        <v>ＶＥ</v>
      </c>
      <c r="H30" s="356" t="str">
        <f>IF(一覧!H48="","",一覧!H48)</f>
        <v/>
      </c>
      <c r="I30" s="355" t="str">
        <f>IF(一覧!I48="","",一覧!I48)</f>
        <v/>
      </c>
      <c r="J30" s="355" t="str">
        <f>IF(一覧!J48="","",一覧!J48)</f>
        <v>打合せ</v>
      </c>
      <c r="K30" s="355" t="str">
        <f>IF(一覧!K48="","",一覧!K48)</f>
        <v/>
      </c>
      <c r="L30" s="355" t="str">
        <f>IF(一覧!L48="","",一覧!L48)</f>
        <v>ＶＥ</v>
      </c>
      <c r="M30" s="355" t="str">
        <f>IF(一覧!M48="","",一覧!M48)</f>
        <v>ＴＤ</v>
      </c>
      <c r="N30" s="355" t="str">
        <f>IF(一覧!N48="","",一覧!N48)</f>
        <v>ＶＥ</v>
      </c>
      <c r="O30" s="356" t="str">
        <f>IF(一覧!O48="","",一覧!O48)</f>
        <v>ＶＥ</v>
      </c>
      <c r="P30" s="355" t="str">
        <f>IF(一覧!P48="","",一覧!P48)</f>
        <v/>
      </c>
      <c r="Q30" s="355" t="str">
        <f>IF(一覧!Q48="","",一覧!Q48)</f>
        <v/>
      </c>
      <c r="R30" s="355" t="str">
        <f>IF(一覧!R48="","",一覧!R48)</f>
        <v>ＴＤ</v>
      </c>
      <c r="S30" s="355" t="str">
        <f>IF(一覧!S48="","",一覧!S48)</f>
        <v>ＴＤ</v>
      </c>
      <c r="T30" s="355" t="str">
        <f>IF(一覧!T48="","",一覧!T48)</f>
        <v>ＶＥ</v>
      </c>
      <c r="U30" s="355" t="str">
        <f>IF(一覧!U48="","",一覧!U48)</f>
        <v/>
      </c>
      <c r="V30" s="356" t="str">
        <f>IF(一覧!V48="","",一覧!V48)</f>
        <v/>
      </c>
      <c r="W30" s="355" t="str">
        <f>IF(一覧!W48="","",一覧!W48)</f>
        <v/>
      </c>
      <c r="X30" s="355" t="str">
        <f>IF(一覧!X48="","",一覧!X48)</f>
        <v>ＶＥ</v>
      </c>
      <c r="Y30" s="355" t="str">
        <f>IF(一覧!Y48="","",一覧!Y48)</f>
        <v>ＶＥ</v>
      </c>
      <c r="Z30" s="355" t="str">
        <f>IF(一覧!Z48="","",一覧!Z48)</f>
        <v/>
      </c>
      <c r="AA30" s="355" t="str">
        <f>IF(一覧!AA48="","",一覧!AA48)</f>
        <v/>
      </c>
      <c r="AB30" s="355" t="str">
        <f>IF(一覧!AB48="","",一覧!AB48)</f>
        <v/>
      </c>
      <c r="AC30" s="356" t="str">
        <f>IF(一覧!AC48="","",一覧!AC48)</f>
        <v/>
      </c>
      <c r="AD30" s="355" t="str">
        <f>IF(一覧!AD48="","",一覧!AD48)</f>
        <v/>
      </c>
      <c r="AE30" s="355" t="str">
        <f>IF(一覧!AE48="","",一覧!AE48)</f>
        <v>ＶＥ</v>
      </c>
      <c r="AF30" s="355" t="str">
        <f>IF(一覧!AF48="","",一覧!AF48)</f>
        <v/>
      </c>
      <c r="AG30" s="357" t="str">
        <f>IF(一覧!AG48="","",一覧!AG48)</f>
        <v/>
      </c>
      <c r="AH30" s="304" t="str">
        <f>IF(一覧!AH48="","",一覧!AH48)</f>
        <v/>
      </c>
      <c r="AI30" s="402"/>
      <c r="AJ30" s="402"/>
      <c r="AK30" s="402"/>
      <c r="AL30" s="402"/>
      <c r="AM30" s="402"/>
      <c r="AN30" s="402"/>
    </row>
    <row r="31" spans="1:40" ht="15" customHeight="1">
      <c r="A31" s="347">
        <f>COUNTIF(C31:AG31,"★★")</f>
        <v>4</v>
      </c>
      <c r="B31" s="518" t="str">
        <f>IF(一覧!B69="","",一覧!B69)</f>
        <v>古門　優弥</v>
      </c>
      <c r="C31" s="349" t="str">
        <f>IF(一覧!C69="","",一覧!C69)</f>
        <v>木ドラ</v>
      </c>
      <c r="D31" s="349" t="str">
        <f>IF(一覧!D69="","",一覧!D69)</f>
        <v>代休</v>
      </c>
      <c r="E31" s="349" t="str">
        <f>IF(一覧!E69="","",一覧!E69)</f>
        <v>代休</v>
      </c>
      <c r="F31" s="349" t="str">
        <f>IF(一覧!F69="","",一覧!F69)</f>
        <v>ｔｅｎ！</v>
      </c>
      <c r="G31" s="349" t="str">
        <f>IF(一覧!G69="","",一覧!G69)</f>
        <v>ミヤネ屋</v>
      </c>
      <c r="H31" s="350" t="str">
        <f>IF(一覧!H69="","",一覧!H69)</f>
        <v>★</v>
      </c>
      <c r="I31" s="349" t="str">
        <f>IF(一覧!I69="","",一覧!I69)</f>
        <v>★★</v>
      </c>
      <c r="J31" s="349" t="str">
        <f>IF(一覧!J69="","",一覧!J69)</f>
        <v>年休</v>
      </c>
      <c r="K31" s="349" t="str">
        <f>IF(一覧!K69="","",一覧!K69)</f>
        <v>Interop</v>
      </c>
      <c r="L31" s="349" t="str">
        <f>IF(一覧!L69="","",一覧!L69)</f>
        <v>Interop</v>
      </c>
      <c r="M31" s="349" t="str">
        <f>IF(一覧!M69="","",一覧!M69)</f>
        <v>Interop</v>
      </c>
      <c r="N31" s="349" t="str">
        <f>IF(一覧!N69="","",一覧!N69)</f>
        <v>X準備</v>
      </c>
      <c r="O31" s="350" t="str">
        <f>IF(一覧!O69="","",一覧!O69)</f>
        <v>★</v>
      </c>
      <c r="P31" s="349" t="str">
        <f>IF(一覧!P69="","",一覧!P69)</f>
        <v>★★</v>
      </c>
      <c r="Q31" s="349" t="str">
        <f>IF(一覧!Q69="","",一覧!Q69)</f>
        <v>土ダメ</v>
      </c>
      <c r="R31" s="349" t="str">
        <f>IF(一覧!R69="","",一覧!R69)</f>
        <v>X準備</v>
      </c>
      <c r="S31" s="349" t="str">
        <f>IF(一覧!S69="","",一覧!S69)</f>
        <v>じゅっと</v>
      </c>
      <c r="T31" s="349" t="str">
        <f>IF(一覧!T69="","",一覧!T69)</f>
        <v>X準備</v>
      </c>
      <c r="U31" s="349" t="str">
        <f>IF(一覧!U69="","",一覧!U69)</f>
        <v>音道楽</v>
      </c>
      <c r="V31" s="350" t="str">
        <f>IF(一覧!V69="","",一覧!V69)</f>
        <v>★★</v>
      </c>
      <c r="W31" s="349" t="str">
        <f>IF(一覧!W69="","",一覧!W69)</f>
        <v>音道楽</v>
      </c>
      <c r="X31" s="349" t="str">
        <f>IF(一覧!X69="","",一覧!X69)</f>
        <v>音道楽</v>
      </c>
      <c r="Y31" s="349" t="str">
        <f>IF(一覧!Y69="","",一覧!Y69)</f>
        <v>★</v>
      </c>
      <c r="Z31" s="349" t="str">
        <f>IF(一覧!Z69="","",一覧!Z69)</f>
        <v>VEG会議</v>
      </c>
      <c r="AA31" s="349" t="str">
        <f>IF(一覧!AA69="","",一覧!AA69)</f>
        <v>X準備</v>
      </c>
      <c r="AB31" s="349" t="str">
        <f>IF(一覧!AB69="","",一覧!AB69)</f>
        <v>委員会</v>
      </c>
      <c r="AC31" s="350" t="str">
        <f>IF(一覧!AC69="","",一覧!AC69)</f>
        <v>★</v>
      </c>
      <c r="AD31" s="349" t="str">
        <f>IF(一覧!AD69="","",一覧!AD69)</f>
        <v>★★</v>
      </c>
      <c r="AE31" s="349" t="str">
        <f>IF(一覧!AE69="","",一覧!AE69)</f>
        <v>X準備</v>
      </c>
      <c r="AF31" s="349" t="str">
        <f>IF(一覧!AF69="","",一覧!AF69)</f>
        <v>X準備</v>
      </c>
      <c r="AG31" s="351" t="str">
        <f>IF(一覧!AG69="","",一覧!AG69)</f>
        <v/>
      </c>
      <c r="AH31" s="519" t="str">
        <f>IF(一覧!AH69="","",一覧!AH69)</f>
        <v>古門</v>
      </c>
      <c r="AI31" s="402"/>
      <c r="AJ31" s="402"/>
      <c r="AK31" s="402"/>
      <c r="AL31" s="402"/>
      <c r="AM31" s="402"/>
      <c r="AN31" s="402"/>
    </row>
    <row r="32" spans="1:40" ht="15" customHeight="1">
      <c r="A32" s="347">
        <f>COUNTIF(C31:AG31,"★")</f>
        <v>4</v>
      </c>
      <c r="B32" s="303" t="str">
        <f>IF(一覧!B70="","",一覧!B70)</f>
        <v/>
      </c>
      <c r="C32" s="355" t="str">
        <f>IF(一覧!C70="","",一覧!C70)</f>
        <v>ＶＥ</v>
      </c>
      <c r="D32" s="355" t="str">
        <f>IF(一覧!D70="","",一覧!D70)</f>
        <v>5/30分</v>
      </c>
      <c r="E32" s="355" t="str">
        <f>IF(一覧!E70="","",一覧!E70)</f>
        <v>5/31分</v>
      </c>
      <c r="F32" s="355" t="str">
        <f>IF(一覧!F70="","",一覧!F70)</f>
        <v>ＶＥ</v>
      </c>
      <c r="G32" s="355" t="str">
        <f>IF(一覧!G70="","",一覧!G70)</f>
        <v>ＶＥ</v>
      </c>
      <c r="H32" s="356" t="str">
        <f>IF(一覧!H70="","",一覧!H70)</f>
        <v/>
      </c>
      <c r="I32" s="355" t="str">
        <f>IF(一覧!I70="","",一覧!I70)</f>
        <v/>
      </c>
      <c r="J32" s="355" t="str">
        <f>IF(一覧!J70="","",一覧!J70)</f>
        <v>※</v>
      </c>
      <c r="K32" s="355" t="str">
        <f>IF(一覧!K70="","",一覧!K70)</f>
        <v>準備</v>
      </c>
      <c r="L32" s="355" t="str">
        <f>IF(一覧!L70="","",一覧!L70)</f>
        <v/>
      </c>
      <c r="M32" s="355" t="str">
        <f>IF(一覧!M70="","",一覧!M70)</f>
        <v/>
      </c>
      <c r="N32" s="355" t="str">
        <f>IF(一覧!N70="","",一覧!N70)</f>
        <v/>
      </c>
      <c r="O32" s="356" t="str">
        <f>IF(一覧!O70="","",一覧!O70)</f>
        <v/>
      </c>
      <c r="P32" s="355" t="str">
        <f>IF(一覧!P70="","",一覧!P70)</f>
        <v/>
      </c>
      <c r="Q32" s="355" t="str">
        <f>IF(一覧!Q70="","",一覧!Q70)</f>
        <v>ＶＥ</v>
      </c>
      <c r="R32" s="355" t="str">
        <f>IF(一覧!R70="","",一覧!R70)</f>
        <v/>
      </c>
      <c r="S32" s="355" t="str">
        <f>IF(一覧!S70="","",一覧!S70)</f>
        <v>ＶＥ</v>
      </c>
      <c r="T32" s="355" t="str">
        <f>IF(一覧!T70="","",一覧!T70)</f>
        <v/>
      </c>
      <c r="U32" s="355" t="str">
        <f>IF(一覧!U70="","",一覧!U70)</f>
        <v>準備</v>
      </c>
      <c r="V32" s="356" t="str">
        <f>IF(一覧!V70="","",一覧!V70)</f>
        <v/>
      </c>
      <c r="W32" s="355" t="str">
        <f>IF(一覧!W70="","",一覧!W70)</f>
        <v>準備</v>
      </c>
      <c r="X32" s="355" t="str">
        <f>IF(一覧!X70="","",一覧!X70)</f>
        <v>ＶＥ</v>
      </c>
      <c r="Y32" s="355" t="str">
        <f>IF(一覧!Y70="","",一覧!Y70)</f>
        <v/>
      </c>
      <c r="Z32" s="355" t="str">
        <f>IF(一覧!Z70="","",一覧!Z70)</f>
        <v/>
      </c>
      <c r="AA32" s="355" t="str">
        <f>IF(一覧!AA70="","",一覧!AA70)</f>
        <v/>
      </c>
      <c r="AB32" s="355" t="str">
        <f>IF(一覧!AB70="","",一覧!AB70)</f>
        <v>ＶＥ</v>
      </c>
      <c r="AC32" s="356" t="str">
        <f>IF(一覧!AC70="","",一覧!AC70)</f>
        <v/>
      </c>
      <c r="AD32" s="355" t="str">
        <f>IF(一覧!AD70="","",一覧!AD70)</f>
        <v/>
      </c>
      <c r="AE32" s="355" t="str">
        <f>IF(一覧!AE70="","",一覧!AE70)</f>
        <v/>
      </c>
      <c r="AF32" s="355" t="str">
        <f>IF(一覧!AF70="","",一覧!AF70)</f>
        <v/>
      </c>
      <c r="AG32" s="357" t="str">
        <f>IF(一覧!AG70="","",一覧!AG70)</f>
        <v/>
      </c>
      <c r="AH32" s="304" t="str">
        <f>IF(一覧!AH70="","",一覧!AH70)</f>
        <v/>
      </c>
      <c r="AI32" s="402"/>
      <c r="AJ32" s="402"/>
      <c r="AK32" s="402"/>
      <c r="AL32" s="402"/>
      <c r="AM32" s="402"/>
      <c r="AN32" s="402"/>
    </row>
    <row r="33" spans="1:40" ht="15" customHeight="1">
      <c r="A33" s="347">
        <f>COUNTIF(C33:AG33,"★★")</f>
        <v>4</v>
      </c>
      <c r="B33" s="518" t="str">
        <f>IF(一覧!B83="","",一覧!B83)</f>
        <v>矢野　鼓子</v>
      </c>
      <c r="C33" s="349" t="str">
        <f>IF(一覧!C83="","",一覧!C83)</f>
        <v>　　──</v>
      </c>
      <c r="D33" s="349" t="str">
        <f>IF(一覧!D83="","",一覧!D83)</f>
        <v>────</v>
      </c>
      <c r="E33" s="349" t="str">
        <f>IF(一覧!E83="","",一覧!E83)</f>
        <v>Interop</v>
      </c>
      <c r="F33" s="349" t="str">
        <f>IF(一覧!F83="","",一覧!F83)</f>
        <v>────</v>
      </c>
      <c r="G33" s="349" t="str">
        <f>IF(一覧!G83="","",一覧!G83)</f>
        <v>────</v>
      </c>
      <c r="H33" s="350" t="str">
        <f>IF(一覧!H83="","",一覧!H83)</f>
        <v>★</v>
      </c>
      <c r="I33" s="349" t="str">
        <f>IF(一覧!I83="","",一覧!I83)</f>
        <v>★★</v>
      </c>
      <c r="J33" s="349" t="str">
        <f>IF(一覧!J83="","",一覧!J83)</f>
        <v>────</v>
      </c>
      <c r="K33" s="349" t="str">
        <f>IF(一覧!K83="","",一覧!K83)</f>
        <v>────</v>
      </c>
      <c r="L33" s="349" t="str">
        <f>IF(一覧!L83="","",一覧!L83)</f>
        <v>────</v>
      </c>
      <c r="M33" s="349" t="str">
        <f>IF(一覧!M83="","",一覧!M83)</f>
        <v>────</v>
      </c>
      <c r="N33" s="349" t="str">
        <f>IF(一覧!N83="","",一覧!N83)</f>
        <v>──　　</v>
      </c>
      <c r="O33" s="350" t="str">
        <f>IF(一覧!O83="","",一覧!O83)</f>
        <v>★</v>
      </c>
      <c r="P33" s="349" t="str">
        <f>IF(一覧!P83="","",一覧!P83)</f>
        <v>★★</v>
      </c>
      <c r="Q33" s="349" t="str">
        <f>IF(一覧!Q83="","",一覧!Q83)</f>
        <v>ミヤネ屋</v>
      </c>
      <c r="R33" s="349" t="str">
        <f>IF(一覧!R83="","",一覧!R83)</f>
        <v>じゅっと</v>
      </c>
      <c r="S33" s="349" t="str">
        <f>IF(一覧!S83="","",一覧!S83)</f>
        <v>読響</v>
      </c>
      <c r="T33" s="349" t="str">
        <f>IF(一覧!T83="","",一覧!T83)</f>
        <v>ミヤネ屋</v>
      </c>
      <c r="U33" s="349" t="str">
        <f>IF(一覧!U83="","",一覧!U83)</f>
        <v>音道楽</v>
      </c>
      <c r="V33" s="350" t="str">
        <f>IF(一覧!V83="","",一覧!V83)</f>
        <v>★★</v>
      </c>
      <c r="W33" s="349" t="str">
        <f>IF(一覧!W83="","",一覧!W83)</f>
        <v>音道楽</v>
      </c>
      <c r="X33" s="349" t="str">
        <f>IF(一覧!X83="","",一覧!X83)</f>
        <v>音道楽</v>
      </c>
      <c r="Y33" s="349" t="str">
        <f>IF(一覧!Y83="","",一覧!Y83)</f>
        <v>★</v>
      </c>
      <c r="Z33" s="349" t="str">
        <f>IF(一覧!Z83="","",一覧!Z83)</f>
        <v>VEG会議</v>
      </c>
      <c r="AA33" s="349" t="str">
        <f>IF(一覧!AA83="","",一覧!AA83)</f>
        <v>人事配信</v>
      </c>
      <c r="AB33" s="349" t="str">
        <f>IF(一覧!AB83="","",一覧!AB83)</f>
        <v>機材整備</v>
      </c>
      <c r="AC33" s="350" t="str">
        <f>IF(一覧!AC83="","",一覧!AC83)</f>
        <v>クギズケ</v>
      </c>
      <c r="AD33" s="349" t="str">
        <f>IF(一覧!AD83="","",一覧!AD83)</f>
        <v>★★</v>
      </c>
      <c r="AE33" s="349" t="str">
        <f>IF(一覧!AE83="","",一覧!AE83)</f>
        <v>★</v>
      </c>
      <c r="AF33" s="349" t="str">
        <f>IF(一覧!AF83="","",一覧!AF83)</f>
        <v>年休</v>
      </c>
      <c r="AG33" s="351" t="str">
        <f>IF(一覧!AG83="","",一覧!AG83)</f>
        <v/>
      </c>
      <c r="AH33" s="519" t="str">
        <f>IF(一覧!AH83="","",一覧!AH83)</f>
        <v>矢野</v>
      </c>
      <c r="AI33" s="402"/>
      <c r="AJ33" s="402"/>
      <c r="AK33" s="402"/>
      <c r="AL33" s="402"/>
      <c r="AM33" s="402"/>
      <c r="AN33" s="402"/>
    </row>
    <row r="34" spans="1:40" ht="15" customHeight="1">
      <c r="A34" s="347">
        <f>COUNTIF(C33:AG33,"★")</f>
        <v>4</v>
      </c>
      <c r="B34" s="303" t="str">
        <f>IF(一覧!B84="","",一覧!B84)</f>
        <v/>
      </c>
      <c r="C34" s="355" t="str">
        <f>IF(一覧!C84="","",一覧!C84)</f>
        <v/>
      </c>
      <c r="D34" s="355" t="str">
        <f>IF(一覧!D84="","",一覧!D84)</f>
        <v/>
      </c>
      <c r="E34" s="355" t="str">
        <f>IF(一覧!E84="","",一覧!E84)</f>
        <v/>
      </c>
      <c r="F34" s="355" t="str">
        <f>IF(一覧!F84="","",一覧!F84)</f>
        <v/>
      </c>
      <c r="G34" s="355" t="str">
        <f>IF(一覧!G84="","",一覧!G84)</f>
        <v/>
      </c>
      <c r="H34" s="356" t="str">
        <f>IF(一覧!H84="","",一覧!H84)</f>
        <v/>
      </c>
      <c r="I34" s="355" t="str">
        <f>IF(一覧!I84="","",一覧!I84)</f>
        <v/>
      </c>
      <c r="J34" s="355" t="str">
        <f>IF(一覧!J84="","",一覧!J84)</f>
        <v/>
      </c>
      <c r="K34" s="355" t="str">
        <f>IF(一覧!K84="","",一覧!K84)</f>
        <v/>
      </c>
      <c r="L34" s="355" t="str">
        <f>IF(一覧!L84="","",一覧!L84)</f>
        <v/>
      </c>
      <c r="M34" s="355" t="str">
        <f>IF(一覧!M84="","",一覧!M84)</f>
        <v/>
      </c>
      <c r="N34" s="355" t="str">
        <f>IF(一覧!N84="","",一覧!N84)</f>
        <v/>
      </c>
      <c r="O34" s="356" t="str">
        <f>IF(一覧!O84="","",一覧!O84)</f>
        <v/>
      </c>
      <c r="P34" s="355" t="str">
        <f>IF(一覧!P84="","",一覧!P84)</f>
        <v/>
      </c>
      <c r="Q34" s="355" t="str">
        <f>IF(一覧!Q84="","",一覧!Q84)</f>
        <v>ＶＥ</v>
      </c>
      <c r="R34" s="355" t="str">
        <f>IF(一覧!R84="","",一覧!R84)</f>
        <v>ＶＥ</v>
      </c>
      <c r="S34" s="355" t="str">
        <f>IF(一覧!S84="","",一覧!S84)</f>
        <v>ＶＥ</v>
      </c>
      <c r="T34" s="355" t="str">
        <f>IF(一覧!T84="","",一覧!T84)</f>
        <v>ＶＥ</v>
      </c>
      <c r="U34" s="355" t="str">
        <f>IF(一覧!U84="","",一覧!U84)</f>
        <v>準備</v>
      </c>
      <c r="V34" s="356" t="str">
        <f>IF(一覧!V84="","",一覧!V84)</f>
        <v/>
      </c>
      <c r="W34" s="355" t="str">
        <f>IF(一覧!W84="","",一覧!W84)</f>
        <v/>
      </c>
      <c r="X34" s="355" t="str">
        <f>IF(一覧!X84="","",一覧!X84)</f>
        <v>ＶＥ</v>
      </c>
      <c r="Y34" s="355" t="str">
        <f>IF(一覧!Y84="","",一覧!Y84)</f>
        <v/>
      </c>
      <c r="Z34" s="355" t="str">
        <f>IF(一覧!Z84="","",一覧!Z84)</f>
        <v/>
      </c>
      <c r="AA34" s="355" t="str">
        <f>IF(一覧!AA84="","",一覧!AA84)</f>
        <v/>
      </c>
      <c r="AB34" s="355" t="str">
        <f>IF(一覧!AB84="","",一覧!AB84)</f>
        <v/>
      </c>
      <c r="AC34" s="356" t="str">
        <f>IF(一覧!AC84="","",一覧!AC84)</f>
        <v>ＶＥ</v>
      </c>
      <c r="AD34" s="355" t="str">
        <f>IF(一覧!AD84="","",一覧!AD84)</f>
        <v/>
      </c>
      <c r="AE34" s="355" t="str">
        <f>IF(一覧!AE84="","",一覧!AE84)</f>
        <v/>
      </c>
      <c r="AF34" s="355" t="str">
        <f>IF(一覧!AF84="","",一覧!AF84)</f>
        <v>※</v>
      </c>
      <c r="AG34" s="357" t="str">
        <f>IF(一覧!AG84="","",一覧!AG84)</f>
        <v/>
      </c>
      <c r="AH34" s="304" t="str">
        <f>IF(一覧!AH84="","",一覧!AH84)</f>
        <v/>
      </c>
      <c r="AI34" s="402"/>
      <c r="AJ34" s="402"/>
      <c r="AK34" s="402"/>
      <c r="AL34" s="402"/>
      <c r="AM34" s="402"/>
      <c r="AN34" s="402"/>
    </row>
    <row r="35" spans="1:40" ht="15" customHeight="1">
      <c r="A35" s="347">
        <f>COUNTIF(C35:AG35,"★★")</f>
        <v>4</v>
      </c>
      <c r="B35" s="518" t="str">
        <f>IF(一覧!B91="","",一覧!B91)</f>
        <v>柴田　涼平</v>
      </c>
      <c r="C35" s="349" t="str">
        <f>IF(一覧!C91="","",一覧!C91)</f>
        <v/>
      </c>
      <c r="D35" s="349" t="str">
        <f>IF(一覧!D91="","",一覧!D91)</f>
        <v/>
      </c>
      <c r="E35" s="349" t="str">
        <f>IF(一覧!E91="","",一覧!E91)</f>
        <v>うさかめ</v>
      </c>
      <c r="F35" s="349" t="str">
        <f>IF(一覧!F91="","",一覧!F91)</f>
        <v>VEレク</v>
      </c>
      <c r="G35" s="349" t="str">
        <f>IF(一覧!G91="","",一覧!G91)</f>
        <v>VEレク</v>
      </c>
      <c r="H35" s="350" t="str">
        <f>IF(一覧!H91="","",一覧!H91)</f>
        <v>★</v>
      </c>
      <c r="I35" s="349" t="str">
        <f>IF(一覧!I91="","",一覧!I91)</f>
        <v>★★</v>
      </c>
      <c r="J35" s="349" t="str">
        <f>IF(一覧!J91="","",一覧!J91)</f>
        <v/>
      </c>
      <c r="K35" s="349"/>
      <c r="L35" s="349" t="str">
        <f>IF(一覧!L91="","",一覧!L91)</f>
        <v>声</v>
      </c>
      <c r="M35" s="349" t="str">
        <f>IF(一覧!M91="","",一覧!M91)</f>
        <v>音道楽</v>
      </c>
      <c r="N35" s="349" t="str">
        <f>IF(一覧!N91="","",一覧!N91)</f>
        <v>委員会</v>
      </c>
      <c r="O35" s="350" t="str">
        <f>IF(一覧!O91="","",一覧!O91)</f>
        <v>★</v>
      </c>
      <c r="P35" s="349" t="str">
        <f>IF(一覧!P91="","",一覧!P91)</f>
        <v>★★</v>
      </c>
      <c r="Q35" s="349" t="str">
        <f>IF(一覧!Q91="","",一覧!Q91)</f>
        <v>土ダメ</v>
      </c>
      <c r="R35" s="349" t="str">
        <f>IF(一覧!R91="","",一覧!R91)</f>
        <v/>
      </c>
      <c r="S35" s="349" t="str">
        <f>IF(一覧!S91="","",一覧!S91)</f>
        <v>読響</v>
      </c>
      <c r="T35" s="349" t="str">
        <f>IF(一覧!T91="","",一覧!T91)</f>
        <v>吉田粗品</v>
      </c>
      <c r="U35" s="349" t="str">
        <f>IF(一覧!U91="","",一覧!U91)</f>
        <v>機材整備</v>
      </c>
      <c r="V35" s="350" t="str">
        <f>IF(一覧!V91="","",一覧!V91)</f>
        <v>★</v>
      </c>
      <c r="W35" s="349" t="str">
        <f>IF(一覧!W91="","",一覧!W91)</f>
        <v>★★</v>
      </c>
      <c r="X35" s="349" t="str">
        <f>IF(一覧!X91="","",一覧!X91)</f>
        <v/>
      </c>
      <c r="Y35" s="349" t="str">
        <f>IF(一覧!Y91="","",一覧!Y91)</f>
        <v>ほんわか</v>
      </c>
      <c r="Z35" s="349" t="str">
        <f>IF(一覧!Z91="","",一覧!Z91)</f>
        <v>VEG会議</v>
      </c>
      <c r="AA35" s="349" t="str">
        <f>IF(一覧!AA91="","",一覧!AA91)</f>
        <v>人事配信</v>
      </c>
      <c r="AB35" s="349" t="str">
        <f>IF(一覧!AB91="","",一覧!AB91)</f>
        <v>委員会</v>
      </c>
      <c r="AC35" s="350" t="str">
        <f>IF(一覧!AC91="","",一覧!AC91)</f>
        <v>★</v>
      </c>
      <c r="AD35" s="349" t="str">
        <f>IF(一覧!AD91="","",一覧!AD91)</f>
        <v>★★</v>
      </c>
      <c r="AE35" s="349" t="str">
        <f>IF(一覧!AE91="","",一覧!AE91)</f>
        <v>土ダメ</v>
      </c>
      <c r="AF35" s="349" t="str">
        <f>IF(一覧!AF91="","",一覧!AF91)</f>
        <v/>
      </c>
      <c r="AG35" s="351" t="str">
        <f>IF(一覧!AG91="","",一覧!AG91)</f>
        <v/>
      </c>
      <c r="AH35" s="519" t="str">
        <f>IF(一覧!AH91="","",一覧!AH91)</f>
        <v>柴田</v>
      </c>
      <c r="AI35" s="402"/>
      <c r="AJ35" s="402"/>
      <c r="AK35" s="402"/>
      <c r="AL35" s="402"/>
      <c r="AM35" s="402"/>
      <c r="AN35" s="402"/>
    </row>
    <row r="36" spans="1:40" ht="15" customHeight="1" thickBot="1">
      <c r="A36" s="347">
        <f>COUNTIF(C35:AG35,"★")</f>
        <v>4</v>
      </c>
      <c r="B36" s="424" t="str">
        <f>IF(一覧!B92="","",一覧!B92)</f>
        <v/>
      </c>
      <c r="C36" s="464" t="str">
        <f>IF(一覧!C92="","",一覧!C92)</f>
        <v>局会</v>
      </c>
      <c r="D36" s="464" t="str">
        <f>IF(一覧!D92="","",一覧!D92)</f>
        <v/>
      </c>
      <c r="E36" s="464" t="str">
        <f>IF(一覧!E92="","",一覧!E92)</f>
        <v>ＶＥ′</v>
      </c>
      <c r="F36" s="464" t="str">
        <f>IF(一覧!F92="","",一覧!F92)</f>
        <v/>
      </c>
      <c r="G36" s="464" t="str">
        <f>IF(一覧!G92="","",一覧!G92)</f>
        <v/>
      </c>
      <c r="H36" s="465" t="str">
        <f>IF(一覧!H92="","",一覧!H92)</f>
        <v/>
      </c>
      <c r="I36" s="464" t="str">
        <f>IF(一覧!I92="","",一覧!I92)</f>
        <v/>
      </c>
      <c r="J36" s="464" t="str">
        <f>IF(一覧!J92="","",一覧!J92)</f>
        <v/>
      </c>
      <c r="K36" s="464"/>
      <c r="L36" s="464" t="str">
        <f>IF(一覧!L92="","",一覧!L92)</f>
        <v>ＶＥ′</v>
      </c>
      <c r="M36" s="464" t="str">
        <f>IF(一覧!M92="","",一覧!M92)</f>
        <v>ＶＥ′</v>
      </c>
      <c r="N36" s="464" t="str">
        <f>IF(一覧!N92="","",一覧!N92)</f>
        <v>座談会</v>
      </c>
      <c r="O36" s="465" t="str">
        <f>IF(一覧!O92="","",一覧!O92)</f>
        <v/>
      </c>
      <c r="P36" s="464" t="str">
        <f>IF(一覧!P92="","",一覧!P92)</f>
        <v/>
      </c>
      <c r="Q36" s="464" t="str">
        <f>IF(一覧!Q92="","",一覧!Q92)</f>
        <v>ＶＥ′</v>
      </c>
      <c r="R36" s="464" t="str">
        <f>IF(一覧!R92="","",一覧!R92)</f>
        <v/>
      </c>
      <c r="S36" s="464" t="str">
        <f>IF(一覧!S92="","",一覧!S92)</f>
        <v>ＶＥ′</v>
      </c>
      <c r="T36" s="464" t="str">
        <f>IF(一覧!T92="","",一覧!T92)</f>
        <v>ＶＥ′</v>
      </c>
      <c r="U36" s="464" t="str">
        <f>IF(一覧!U92="","",一覧!U92)</f>
        <v/>
      </c>
      <c r="V36" s="465" t="str">
        <f>IF(一覧!V92="","",一覧!V92)</f>
        <v/>
      </c>
      <c r="W36" s="464" t="str">
        <f>IF(一覧!W92="","",一覧!W92)</f>
        <v/>
      </c>
      <c r="X36" s="464" t="str">
        <f>IF(一覧!X92="","",一覧!X92)</f>
        <v/>
      </c>
      <c r="Y36" s="464" t="str">
        <f>IF(一覧!Y92="","",一覧!Y92)</f>
        <v>ＶＥ′</v>
      </c>
      <c r="Z36" s="464" t="str">
        <f>IF(一覧!Z92="","",一覧!Z92)</f>
        <v/>
      </c>
      <c r="AA36" s="464" t="str">
        <f>IF(一覧!AA92="","",一覧!AA92)</f>
        <v>′</v>
      </c>
      <c r="AB36" s="464" t="str">
        <f>IF(一覧!AB92="","",一覧!AB92)</f>
        <v>ＶＥ′</v>
      </c>
      <c r="AC36" s="465" t="str">
        <f>IF(一覧!AC92="","",一覧!AC92)</f>
        <v/>
      </c>
      <c r="AD36" s="464" t="str">
        <f>IF(一覧!AD92="","",一覧!AD92)</f>
        <v/>
      </c>
      <c r="AE36" s="464" t="str">
        <f>IF(一覧!AE92="","",一覧!AE92)</f>
        <v>ＶＥ′</v>
      </c>
      <c r="AF36" s="464" t="str">
        <f>IF(一覧!AF92="","",一覧!AF92)</f>
        <v/>
      </c>
      <c r="AG36" s="466" t="str">
        <f>IF(一覧!AG92="","",一覧!AG92)</f>
        <v/>
      </c>
      <c r="AH36" s="425" t="str">
        <f>IF(一覧!AH92="","",一覧!AH92)</f>
        <v/>
      </c>
      <c r="AI36" s="402"/>
      <c r="AJ36" s="402"/>
      <c r="AK36" s="402"/>
      <c r="AL36" s="402"/>
      <c r="AM36" s="402"/>
      <c r="AN36" s="402"/>
    </row>
    <row r="37" spans="1:40" ht="15" customHeight="1">
      <c r="A37" s="347">
        <f>COUNTIF(C37:AG37,"★★")</f>
        <v>4</v>
      </c>
      <c r="B37" s="518" t="str">
        <f>IF(一覧!B97="","",一覧!B97)</f>
        <v>松下　英男</v>
      </c>
      <c r="C37" s="349" t="str">
        <f>IF(一覧!C97="","",一覧!C97)</f>
        <v>ミヤネ屋</v>
      </c>
      <c r="D37" s="349" t="str">
        <f>IF(一覧!D97="","",一覧!D97)</f>
        <v>ミヤネ屋</v>
      </c>
      <c r="E37" s="349" t="str">
        <f>IF(一覧!E97="","",一覧!E97)</f>
        <v>年休</v>
      </c>
      <c r="F37" s="349" t="str">
        <f>IF(一覧!F97="","",一覧!F97)</f>
        <v>ミヤネ屋</v>
      </c>
      <c r="G37" s="349" t="str">
        <f>IF(一覧!G97="","",一覧!G97)</f>
        <v>ミヤネ屋</v>
      </c>
      <c r="H37" s="350" t="str">
        <f>IF(一覧!H97="","",一覧!H97)</f>
        <v>★</v>
      </c>
      <c r="I37" s="349" t="str">
        <f>IF(一覧!I97="","",一覧!I97)</f>
        <v>★★</v>
      </c>
      <c r="J37" s="349" t="str">
        <f>IF(一覧!J97="","",一覧!J97)</f>
        <v>昼NTD</v>
      </c>
      <c r="K37" s="349" t="str">
        <f>IF(一覧!K97="","",一覧!K97)</f>
        <v>ミヤネ屋</v>
      </c>
      <c r="L37" s="349" t="str">
        <f>IF(一覧!L97="","",一覧!L97)</f>
        <v>じゅっと</v>
      </c>
      <c r="M37" s="349" t="str">
        <f>IF(一覧!M97="","",一覧!M97)</f>
        <v>ｔｅｎ！</v>
      </c>
      <c r="N37" s="349" t="str">
        <f>IF(一覧!N97="","",一覧!N97)</f>
        <v>ミヤネ屋</v>
      </c>
      <c r="O37" s="350" t="str">
        <f>IF(一覧!O97="","",一覧!O97)</f>
        <v>★★</v>
      </c>
      <c r="P37" s="349" t="str">
        <f>IF(一覧!P97="","",一覧!P97)</f>
        <v>ﾍﾘ訓練VE</v>
      </c>
      <c r="Q37" s="349" t="str">
        <f>IF(一覧!Q97="","",一覧!Q97)</f>
        <v>★</v>
      </c>
      <c r="R37" s="349" t="str">
        <f>IF(一覧!R97="","",一覧!R97)</f>
        <v>じゅっと</v>
      </c>
      <c r="S37" s="349" t="str">
        <f>IF(一覧!S97="","",一覧!S97)</f>
        <v>年休</v>
      </c>
      <c r="T37" s="349" t="str">
        <f>IF(一覧!T97="","",一覧!T97)</f>
        <v>ｔｅｎ！</v>
      </c>
      <c r="U37" s="349" t="str">
        <f>IF(一覧!U97="","",一覧!U97)</f>
        <v>ｔｅｎ！</v>
      </c>
      <c r="V37" s="350" t="str">
        <f>IF(一覧!V97="","",一覧!V97)</f>
        <v>★</v>
      </c>
      <c r="W37" s="349" t="str">
        <f>IF(一覧!W97="","",一覧!W97)</f>
        <v>★★</v>
      </c>
      <c r="X37" s="349" t="str">
        <f>IF(一覧!X97="","",一覧!X97)</f>
        <v>昼NTD</v>
      </c>
      <c r="Y37" s="349" t="str">
        <f>IF(一覧!Y97="","",一覧!Y97)</f>
        <v>ｔｅｎ！</v>
      </c>
      <c r="Z37" s="349" t="str">
        <f>IF(一覧!Z97="","",一覧!Z97)</f>
        <v>じゅっと</v>
      </c>
      <c r="AA37" s="349" t="str">
        <f>IF(一覧!AA97="","",一覧!AA97)</f>
        <v>ｔｅｎ！</v>
      </c>
      <c r="AB37" s="349" t="str">
        <f>IF(一覧!AB97="","",一覧!AB97)</f>
        <v>ミヤネ屋</v>
      </c>
      <c r="AC37" s="350" t="str">
        <f>IF(一覧!AC97="","",一覧!AC97)</f>
        <v>★</v>
      </c>
      <c r="AD37" s="349" t="str">
        <f>IF(一覧!AD97="","",一覧!AD97)</f>
        <v>★★</v>
      </c>
      <c r="AE37" s="349" t="str">
        <f>IF(一覧!AE97="","",一覧!AE97)</f>
        <v>昼NTD</v>
      </c>
      <c r="AF37" s="349" t="str">
        <f>IF(一覧!AF97="","",一覧!AF97)</f>
        <v>じゅっと</v>
      </c>
      <c r="AG37" s="351" t="str">
        <f>IF(一覧!AG97="","",一覧!AG97)</f>
        <v/>
      </c>
      <c r="AH37" s="519" t="str">
        <f>IF(一覧!AH97="","",一覧!AH97)</f>
        <v>松下</v>
      </c>
      <c r="AI37" s="402"/>
      <c r="AJ37" s="402"/>
      <c r="AK37" s="402"/>
      <c r="AL37" s="402"/>
      <c r="AM37" s="402"/>
      <c r="AN37" s="402"/>
    </row>
    <row r="38" spans="1:40" ht="15" customHeight="1" thickBot="1">
      <c r="A38" s="347">
        <f>COUNTIF(C37:AG37,"★")</f>
        <v>4</v>
      </c>
      <c r="B38" s="424" t="str">
        <f>IF(一覧!B98="","",一覧!B98)</f>
        <v/>
      </c>
      <c r="C38" s="464" t="str">
        <f>IF(一覧!C98="","",一覧!C98)</f>
        <v>ＶＥ</v>
      </c>
      <c r="D38" s="464" t="str">
        <f>IF(一覧!D98="","",一覧!D98)</f>
        <v>ＶＥ</v>
      </c>
      <c r="E38" s="464" t="str">
        <f>IF(一覧!E98="","",一覧!E98)</f>
        <v>※</v>
      </c>
      <c r="F38" s="464" t="str">
        <f>IF(一覧!F98="","",一覧!F98)</f>
        <v>ＶＥ</v>
      </c>
      <c r="G38" s="464" t="str">
        <f>IF(一覧!G98="","",一覧!G98)</f>
        <v>ＴＤ</v>
      </c>
      <c r="H38" s="465" t="str">
        <f>IF(一覧!H98="","",一覧!H98)</f>
        <v/>
      </c>
      <c r="I38" s="464" t="str">
        <f>IF(一覧!I98="","",一覧!I98)</f>
        <v/>
      </c>
      <c r="J38" s="464" t="str">
        <f>IF(一覧!J98="","",一覧!J98)</f>
        <v/>
      </c>
      <c r="K38" s="464" t="str">
        <f>IF(一覧!K98="","",一覧!K98)</f>
        <v>ＴＤ</v>
      </c>
      <c r="L38" s="464" t="str">
        <f>IF(一覧!L98="","",一覧!L98)</f>
        <v>ＴＤ</v>
      </c>
      <c r="M38" s="464" t="str">
        <f>IF(一覧!M98="","",一覧!M98)</f>
        <v>ＶＥ</v>
      </c>
      <c r="N38" s="464" t="str">
        <f>IF(一覧!N98="","",一覧!N98)</f>
        <v>ＴＤ</v>
      </c>
      <c r="O38" s="465" t="str">
        <f>IF(一覧!O98="","",一覧!O98)</f>
        <v>ﾍﾘ訓練VE</v>
      </c>
      <c r="P38" s="464" t="str">
        <f>IF(一覧!P98="","",一覧!P98)</f>
        <v/>
      </c>
      <c r="Q38" s="464" t="str">
        <f>IF(一覧!Q98="","",一覧!Q98)</f>
        <v/>
      </c>
      <c r="R38" s="464" t="str">
        <f>IF(一覧!R98="","",一覧!R98)</f>
        <v>ＴＤ</v>
      </c>
      <c r="S38" s="464" t="str">
        <f>IF(一覧!S98="","",一覧!S98)</f>
        <v>※</v>
      </c>
      <c r="T38" s="464" t="str">
        <f>IF(一覧!T98="","",一覧!T98)</f>
        <v>ＶＥ</v>
      </c>
      <c r="U38" s="464" t="str">
        <f>IF(一覧!U98="","",一覧!U98)</f>
        <v>ＴＤ</v>
      </c>
      <c r="V38" s="465" t="str">
        <f>IF(一覧!V98="","",一覧!V98)</f>
        <v/>
      </c>
      <c r="W38" s="464" t="str">
        <f>IF(一覧!W98="","",一覧!W98)</f>
        <v/>
      </c>
      <c r="X38" s="464" t="str">
        <f>IF(一覧!X98="","",一覧!X98)</f>
        <v/>
      </c>
      <c r="Y38" s="464" t="str">
        <f>IF(一覧!Y98="","",一覧!Y98)</f>
        <v>ＴＤ</v>
      </c>
      <c r="Z38" s="464" t="str">
        <f>IF(一覧!Z98="","",一覧!Z98)</f>
        <v>TD/VEG</v>
      </c>
      <c r="AA38" s="464" t="str">
        <f>IF(一覧!AA98="","",一覧!AA98)</f>
        <v>ＶＥ</v>
      </c>
      <c r="AB38" s="464" t="str">
        <f>IF(一覧!AB98="","",一覧!AB98)</f>
        <v>ＶＥ</v>
      </c>
      <c r="AC38" s="465" t="str">
        <f>IF(一覧!AC98="","",一覧!AC98)</f>
        <v/>
      </c>
      <c r="AD38" s="464" t="str">
        <f>IF(一覧!AD98="","",一覧!AD98)</f>
        <v/>
      </c>
      <c r="AE38" s="464" t="str">
        <f>IF(一覧!AE98="","",一覧!AE98)</f>
        <v/>
      </c>
      <c r="AF38" s="464" t="str">
        <f>IF(一覧!AF98="","",一覧!AF98)</f>
        <v>ＶＥ</v>
      </c>
      <c r="AG38" s="466" t="str">
        <f>IF(一覧!AG98="","",一覧!AG98)</f>
        <v/>
      </c>
      <c r="AH38" s="425" t="str">
        <f>IF(一覧!AH98="","",一覧!AH98)</f>
        <v/>
      </c>
      <c r="AI38" s="402"/>
      <c r="AJ38" s="402"/>
      <c r="AK38" s="402"/>
      <c r="AL38" s="402"/>
      <c r="AM38" s="402"/>
      <c r="AN38" s="402"/>
    </row>
    <row r="39" spans="1:40" ht="15" customHeight="1">
      <c r="A39" s="347">
        <f t="shared" ref="A39:A41" si="2">COUNTIF(C39:AG39,"★★")</f>
        <v>4</v>
      </c>
      <c r="B39" s="518" t="str">
        <f>IF(一覧!B27="","",一覧!B27)</f>
        <v>小池　一暢</v>
      </c>
      <c r="C39" s="349" t="str">
        <f>IF(一覧!C27="","",一覧!C27)</f>
        <v>局会</v>
      </c>
      <c r="D39" s="349" t="str">
        <f>IF(一覧!D27="","",一覧!D27)</f>
        <v/>
      </c>
      <c r="E39" s="349" t="str">
        <f>IF(一覧!E27="","",一覧!E27)</f>
        <v/>
      </c>
      <c r="F39" s="349" t="str">
        <f>IF(一覧!F27="","",一覧!F27)</f>
        <v/>
      </c>
      <c r="G39" s="349" t="str">
        <f>IF(一覧!G27="","",一覧!G27)</f>
        <v>ＲＤ</v>
      </c>
      <c r="H39" s="350" t="str">
        <f>IF(一覧!H27="","",一覧!H27)</f>
        <v>★</v>
      </c>
      <c r="I39" s="349" t="str">
        <f>IF(一覧!I27="","",一覧!I27)</f>
        <v>★★</v>
      </c>
      <c r="J39" s="349" t="str">
        <f>IF(一覧!J27="","",一覧!J27)</f>
        <v/>
      </c>
      <c r="K39" s="349" t="str">
        <f>IF(一覧!K27="","",一覧!K27)</f>
        <v/>
      </c>
      <c r="L39" s="349" t="str">
        <f>IF(一覧!L27="","",一覧!L27)</f>
        <v/>
      </c>
      <c r="M39" s="349" t="str">
        <f>IF(一覧!M27="","",一覧!M27)</f>
        <v>じゅっと</v>
      </c>
      <c r="N39" s="349" t="str">
        <f>IF(一覧!N27="","",一覧!N27)</f>
        <v/>
      </c>
      <c r="O39" s="350" t="str">
        <f>IF(一覧!O27="","",一覧!O27)</f>
        <v>★</v>
      </c>
      <c r="P39" s="349" t="str">
        <f>IF(一覧!P27="","",一覧!P27)</f>
        <v>★★</v>
      </c>
      <c r="Q39" s="349" t="str">
        <f>IF(一覧!Q27="","",一覧!Q27)</f>
        <v/>
      </c>
      <c r="R39" s="349" t="str">
        <f>IF(一覧!R27="","",一覧!R27)</f>
        <v>年休</v>
      </c>
      <c r="S39" s="349" t="str">
        <f>IF(一覧!S27="","",一覧!S27)</f>
        <v>ＲＤ</v>
      </c>
      <c r="T39" s="349" t="str">
        <f>IF(一覧!T27="","",一覧!T27)</f>
        <v>じゅっと</v>
      </c>
      <c r="U39" s="349" t="str">
        <f>IF(一覧!U27="","",一覧!U27)</f>
        <v>ｶﾒﾗG会</v>
      </c>
      <c r="V39" s="350" t="str">
        <f>IF(一覧!V27="","",一覧!V27)</f>
        <v>★</v>
      </c>
      <c r="W39" s="349" t="str">
        <f>IF(一覧!W27="","",一覧!W27)</f>
        <v>★★</v>
      </c>
      <c r="X39" s="349" t="str">
        <f>IF(一覧!X27="","",一覧!X27)</f>
        <v>ＲＤ</v>
      </c>
      <c r="Y39" s="349" t="str">
        <f>IF(一覧!Y27="","",一覧!Y27)</f>
        <v/>
      </c>
      <c r="Z39" s="349" t="str">
        <f>IF(一覧!Z27="","",一覧!Z27)</f>
        <v>音G/VEG</v>
      </c>
      <c r="AA39" s="349" t="str">
        <f>IF(一覧!AA27="","",一覧!AA27)</f>
        <v/>
      </c>
      <c r="AB39" s="349" t="str">
        <f>IF(一覧!AB27="","",一覧!AB27)</f>
        <v>技術会議</v>
      </c>
      <c r="AC39" s="350" t="str">
        <f>IF(一覧!AC27="","",一覧!AC27)</f>
        <v>★</v>
      </c>
      <c r="AD39" s="349" t="str">
        <f>IF(一覧!AD27="","",一覧!AD27)</f>
        <v>★★</v>
      </c>
      <c r="AE39" s="349" t="str">
        <f>IF(一覧!AE27="","",一覧!AE27)</f>
        <v>　　　━</v>
      </c>
      <c r="AF39" s="349" t="str">
        <f>IF(一覧!AF27="","",一覧!AF27)</f>
        <v>━　　　</v>
      </c>
      <c r="AG39" s="351" t="str">
        <f>IF(一覧!AG27="","",一覧!AG27)</f>
        <v/>
      </c>
      <c r="AH39" s="519" t="str">
        <f>IF(一覧!AH27="","",一覧!AH27)</f>
        <v>小池</v>
      </c>
      <c r="AI39" s="402"/>
      <c r="AJ39" s="402"/>
      <c r="AK39" s="402"/>
      <c r="AL39" s="402"/>
      <c r="AM39" s="402"/>
      <c r="AN39" s="402"/>
    </row>
    <row r="40" spans="1:40" ht="15" customHeight="1">
      <c r="A40" s="347">
        <f t="shared" ref="A40:A42" si="3">COUNTIF(C39:AG39,"★")</f>
        <v>4</v>
      </c>
      <c r="B40" s="303" t="str">
        <f>IF(一覧!B28="","",一覧!B28)</f>
        <v/>
      </c>
      <c r="C40" s="355" t="str">
        <f>IF(一覧!C28="","",一覧!C28)</f>
        <v>部長会</v>
      </c>
      <c r="D40" s="355" t="str">
        <f>IF(一覧!D28="","",一覧!D28)</f>
        <v>車両会議</v>
      </c>
      <c r="E40" s="355" t="str">
        <f>IF(一覧!E28="","",一覧!E28)</f>
        <v/>
      </c>
      <c r="F40" s="355" t="str">
        <f>IF(一覧!F28="","",一覧!F28)</f>
        <v/>
      </c>
      <c r="G40" s="355" t="str">
        <f>IF(一覧!G28="","",一覧!G28)</f>
        <v/>
      </c>
      <c r="H40" s="356" t="str">
        <f>IF(一覧!H28="","",一覧!H28)</f>
        <v/>
      </c>
      <c r="I40" s="355" t="str">
        <f>IF(一覧!I28="","",一覧!I28)</f>
        <v/>
      </c>
      <c r="J40" s="355" t="str">
        <f>IF(一覧!J28="","",一覧!J28)</f>
        <v>部長会</v>
      </c>
      <c r="K40" s="355" t="str">
        <f>IF(一覧!K28="","",一覧!K28)</f>
        <v/>
      </c>
      <c r="L40" s="355" t="str">
        <f>IF(一覧!L28="","",一覧!L28)</f>
        <v>照明G</v>
      </c>
      <c r="M40" s="355" t="str">
        <f>IF(一覧!M28="","",一覧!M28)</f>
        <v>ＴＤ</v>
      </c>
      <c r="N40" s="355" t="str">
        <f>IF(一覧!N28="","",一覧!N28)</f>
        <v/>
      </c>
      <c r="O40" s="356" t="str">
        <f>IF(一覧!O28="","",一覧!O28)</f>
        <v/>
      </c>
      <c r="P40" s="355" t="str">
        <f>IF(一覧!P28="","",一覧!P28)</f>
        <v/>
      </c>
      <c r="Q40" s="355" t="str">
        <f>IF(一覧!Q28="","",一覧!Q28)</f>
        <v>部長会</v>
      </c>
      <c r="R40" s="355" t="str">
        <f>IF(一覧!R28="","",一覧!R28)</f>
        <v/>
      </c>
      <c r="S40" s="355" t="str">
        <f>IF(一覧!S28="","",一覧!S28)</f>
        <v/>
      </c>
      <c r="T40" s="355" t="str">
        <f>IF(一覧!T28="","",一覧!T28)</f>
        <v>ＴＤ</v>
      </c>
      <c r="U40" s="355" t="str">
        <f>IF(一覧!U28="","",一覧!U28)</f>
        <v>回線Ｇ</v>
      </c>
      <c r="V40" s="356" t="str">
        <f>IF(一覧!V28="","",一覧!V28)</f>
        <v/>
      </c>
      <c r="W40" s="355" t="str">
        <f>IF(一覧!W28="","",一覧!W28)</f>
        <v/>
      </c>
      <c r="X40" s="355" t="str">
        <f>IF(一覧!X28="","",一覧!X28)</f>
        <v>部長会</v>
      </c>
      <c r="Y40" s="355" t="str">
        <f>IF(一覧!Y28="","",一覧!Y28)</f>
        <v/>
      </c>
      <c r="Z40" s="355" t="str">
        <f>IF(一覧!Z28="","",一覧!Z28)</f>
        <v>制作費会議</v>
      </c>
      <c r="AA40" s="355" t="str">
        <f>IF(一覧!AA28="","",一覧!AA28)</f>
        <v/>
      </c>
      <c r="AB40" s="355" t="str">
        <f>IF(一覧!AB28="","",一覧!AB28)</f>
        <v>NT会議</v>
      </c>
      <c r="AC40" s="356" t="str">
        <f>IF(一覧!AC28="","",一覧!AC28)</f>
        <v/>
      </c>
      <c r="AD40" s="355" t="str">
        <f>IF(一覧!AD28="","",一覧!AD28)</f>
        <v/>
      </c>
      <c r="AE40" s="355" t="str">
        <f>IF(一覧!AE28="","",一覧!AE28)</f>
        <v>部長会</v>
      </c>
      <c r="AF40" s="355" t="str">
        <f>IF(一覧!AF28="","",一覧!AF28)</f>
        <v/>
      </c>
      <c r="AG40" s="357" t="str">
        <f>IF(一覧!AG28="","",一覧!AG28)</f>
        <v/>
      </c>
      <c r="AH40" s="304" t="str">
        <f>IF(一覧!AH28="","",一覧!AH28)</f>
        <v/>
      </c>
      <c r="AI40" s="402"/>
      <c r="AJ40" s="402"/>
      <c r="AK40" s="402"/>
      <c r="AL40" s="402"/>
      <c r="AM40" s="402"/>
      <c r="AN40" s="402"/>
    </row>
    <row r="41" spans="1:40" ht="15" customHeight="1">
      <c r="A41" s="347">
        <f t="shared" si="2"/>
        <v>0</v>
      </c>
      <c r="B41" s="518" t="str">
        <f>IF(一覧!B113="","",一覧!B113)</f>
        <v>池見　憲一</v>
      </c>
      <c r="C41" s="349" t="str">
        <f>IF(一覧!C113="","",一覧!C113)</f>
        <v/>
      </c>
      <c r="D41" s="349" t="str">
        <f>IF(一覧!D113="","",一覧!D113)</f>
        <v/>
      </c>
      <c r="E41" s="349" t="str">
        <f>IF(一覧!E113="","",一覧!E113)</f>
        <v/>
      </c>
      <c r="F41" s="349" t="str">
        <f>IF(一覧!F113="","",一覧!F113)</f>
        <v/>
      </c>
      <c r="G41" s="349" t="str">
        <f>IF(一覧!G113="","",一覧!G113)</f>
        <v/>
      </c>
      <c r="H41" s="350" t="str">
        <f>IF(一覧!H113="","",一覧!H113)</f>
        <v>ジグザグ</v>
      </c>
      <c r="I41" s="349" t="str">
        <f>IF(一覧!I113="","",一覧!I113)</f>
        <v/>
      </c>
      <c r="J41" s="349" t="str">
        <f>IF(一覧!J113="","",一覧!J113)</f>
        <v/>
      </c>
      <c r="K41" s="349" t="str">
        <f>IF(一覧!K113="","",一覧!K113)</f>
        <v/>
      </c>
      <c r="L41" s="349" t="str">
        <f>IF(一覧!L113="","",一覧!L113)</f>
        <v/>
      </c>
      <c r="M41" s="349" t="str">
        <f>IF(一覧!M113="","",一覧!M113)</f>
        <v/>
      </c>
      <c r="N41" s="349" t="str">
        <f>IF(一覧!N113="","",一覧!N113)</f>
        <v/>
      </c>
      <c r="O41" s="350" t="str">
        <f>IF(一覧!O113="","",一覧!O113)</f>
        <v/>
      </c>
      <c r="P41" s="349" t="str">
        <f>IF(一覧!P113="","",一覧!P113)</f>
        <v/>
      </c>
      <c r="Q41" s="349" t="str">
        <f>IF(一覧!Q113="","",一覧!Q113)</f>
        <v/>
      </c>
      <c r="R41" s="349" t="str">
        <f>IF(一覧!R113="","",一覧!R113)</f>
        <v/>
      </c>
      <c r="S41" s="349" t="str">
        <f>IF(一覧!S113="","",一覧!S113)</f>
        <v/>
      </c>
      <c r="T41" s="349" t="str">
        <f>IF(一覧!T113="","",一覧!T113)</f>
        <v/>
      </c>
      <c r="U41" s="349" t="str">
        <f>IF(一覧!U113="","",一覧!U113)</f>
        <v/>
      </c>
      <c r="V41" s="350" t="str">
        <f>IF(一覧!V113="","",一覧!V113)</f>
        <v/>
      </c>
      <c r="W41" s="349" t="str">
        <f>IF(一覧!W113="","",一覧!W113)</f>
        <v/>
      </c>
      <c r="X41" s="349" t="str">
        <f>IF(一覧!X113="","",一覧!X113)</f>
        <v/>
      </c>
      <c r="Y41" s="349" t="str">
        <f>IF(一覧!Y113="","",一覧!Y113)</f>
        <v/>
      </c>
      <c r="Z41" s="349" t="str">
        <f>IF(一覧!Z113="","",一覧!Z113)</f>
        <v/>
      </c>
      <c r="AA41" s="349" t="str">
        <f>IF(一覧!AA113="","",一覧!AA113)</f>
        <v/>
      </c>
      <c r="AB41" s="349" t="str">
        <f>IF(一覧!AB113="","",一覧!AB113)</f>
        <v/>
      </c>
      <c r="AC41" s="350" t="str">
        <f>IF(一覧!AC113="","",一覧!AC113)</f>
        <v/>
      </c>
      <c r="AD41" s="349" t="str">
        <f>IF(一覧!AD113="","",一覧!AD113)</f>
        <v/>
      </c>
      <c r="AE41" s="349" t="str">
        <f>IF(一覧!AE113="","",一覧!AE113)</f>
        <v/>
      </c>
      <c r="AF41" s="349" t="str">
        <f>IF(一覧!AF113="","",一覧!AF113)</f>
        <v/>
      </c>
      <c r="AG41" s="351" t="str">
        <f>IF(一覧!AG113="","",一覧!AG113)</f>
        <v/>
      </c>
      <c r="AH41" s="519" t="str">
        <f>IF(一覧!AH113="","",一覧!AH113)</f>
        <v>池見</v>
      </c>
      <c r="AI41" s="402"/>
      <c r="AJ41" s="402"/>
      <c r="AK41" s="402"/>
      <c r="AL41" s="402"/>
      <c r="AM41" s="402"/>
      <c r="AN41" s="402"/>
    </row>
    <row r="42" spans="1:40" ht="15" customHeight="1" thickBot="1">
      <c r="A42" s="347">
        <f t="shared" si="3"/>
        <v>0</v>
      </c>
      <c r="B42" s="424" t="str">
        <f>IF(一覧!B114="","",一覧!B114)</f>
        <v/>
      </c>
      <c r="C42" s="464" t="str">
        <f>IF(一覧!C114="","",一覧!C114)</f>
        <v/>
      </c>
      <c r="D42" s="464" t="str">
        <f>IF(一覧!D114="","",一覧!D114)</f>
        <v/>
      </c>
      <c r="E42" s="464" t="str">
        <f>IF(一覧!E114="","",一覧!E114)</f>
        <v/>
      </c>
      <c r="F42" s="464" t="str">
        <f>IF(一覧!F114="","",一覧!F114)</f>
        <v/>
      </c>
      <c r="G42" s="464" t="str">
        <f>IF(一覧!G114="","",一覧!G114)</f>
        <v/>
      </c>
      <c r="H42" s="465" t="str">
        <f>IF(一覧!H114="","",一覧!H114)</f>
        <v>ＶＥ</v>
      </c>
      <c r="I42" s="464" t="str">
        <f>IF(一覧!I114="","",一覧!I114)</f>
        <v/>
      </c>
      <c r="J42" s="464" t="str">
        <f>IF(一覧!J114="","",一覧!J114)</f>
        <v/>
      </c>
      <c r="K42" s="464" t="str">
        <f>IF(一覧!K114="","",一覧!K114)</f>
        <v/>
      </c>
      <c r="L42" s="464" t="str">
        <f>IF(一覧!L114="","",一覧!L114)</f>
        <v/>
      </c>
      <c r="M42" s="464" t="str">
        <f>IF(一覧!M114="","",一覧!M114)</f>
        <v/>
      </c>
      <c r="N42" s="464" t="str">
        <f>IF(一覧!N114="","",一覧!N114)</f>
        <v/>
      </c>
      <c r="O42" s="465" t="str">
        <f>IF(一覧!O114="","",一覧!O114)</f>
        <v/>
      </c>
      <c r="P42" s="464" t="str">
        <f>IF(一覧!P114="","",一覧!P114)</f>
        <v/>
      </c>
      <c r="Q42" s="464" t="str">
        <f>IF(一覧!Q114="","",一覧!Q114)</f>
        <v/>
      </c>
      <c r="R42" s="464" t="str">
        <f>IF(一覧!R114="","",一覧!R114)</f>
        <v/>
      </c>
      <c r="S42" s="464" t="str">
        <f>IF(一覧!S114="","",一覧!S114)</f>
        <v/>
      </c>
      <c r="T42" s="464" t="str">
        <f>IF(一覧!T114="","",一覧!T114)</f>
        <v/>
      </c>
      <c r="U42" s="464" t="str">
        <f>IF(一覧!U114="","",一覧!U114)</f>
        <v/>
      </c>
      <c r="V42" s="465" t="str">
        <f>IF(一覧!V114="","",一覧!V114)</f>
        <v/>
      </c>
      <c r="W42" s="464" t="str">
        <f>IF(一覧!W114="","",一覧!W114)</f>
        <v/>
      </c>
      <c r="X42" s="464" t="str">
        <f>IF(一覧!X114="","",一覧!X114)</f>
        <v/>
      </c>
      <c r="Y42" s="464" t="str">
        <f>IF(一覧!Y114="","",一覧!Y114)</f>
        <v/>
      </c>
      <c r="Z42" s="464" t="str">
        <f>IF(一覧!Z114="","",一覧!Z114)</f>
        <v/>
      </c>
      <c r="AA42" s="464" t="str">
        <f>IF(一覧!AA114="","",一覧!AA114)</f>
        <v/>
      </c>
      <c r="AB42" s="464" t="str">
        <f>IF(一覧!AB114="","",一覧!AB114)</f>
        <v/>
      </c>
      <c r="AC42" s="465" t="str">
        <f>IF(一覧!AC114="","",一覧!AC114)</f>
        <v/>
      </c>
      <c r="AD42" s="464" t="str">
        <f>IF(一覧!AD114="","",一覧!AD114)</f>
        <v/>
      </c>
      <c r="AE42" s="464" t="str">
        <f>IF(一覧!AE114="","",一覧!AE114)</f>
        <v/>
      </c>
      <c r="AF42" s="464" t="str">
        <f>IF(一覧!AF114="","",一覧!AF114)</f>
        <v/>
      </c>
      <c r="AG42" s="466" t="str">
        <f>IF(一覧!AG114="","",一覧!AG114)</f>
        <v/>
      </c>
      <c r="AH42" s="425" t="str">
        <f>IF(一覧!AH114="","",一覧!AH114)</f>
        <v/>
      </c>
      <c r="AI42" s="402"/>
      <c r="AJ42" s="402"/>
      <c r="AK42" s="402"/>
      <c r="AL42" s="402"/>
      <c r="AM42" s="402"/>
      <c r="AN42" s="402"/>
    </row>
    <row r="43" spans="1:40" ht="15" customHeight="1">
      <c r="A43" s="347"/>
      <c r="B43" s="518"/>
      <c r="C43" s="349"/>
      <c r="D43" s="349"/>
      <c r="E43" s="349"/>
      <c r="F43" s="349"/>
      <c r="G43" s="349"/>
      <c r="H43" s="350"/>
      <c r="I43" s="349"/>
      <c r="J43" s="349"/>
      <c r="K43" s="349"/>
      <c r="L43" s="349"/>
      <c r="M43" s="349"/>
      <c r="N43" s="349"/>
      <c r="O43" s="350"/>
      <c r="P43" s="349"/>
      <c r="Q43" s="349"/>
      <c r="R43" s="349"/>
      <c r="S43" s="349"/>
      <c r="T43" s="349"/>
      <c r="U43" s="349"/>
      <c r="V43" s="350"/>
      <c r="W43" s="349"/>
      <c r="X43" s="349"/>
      <c r="Y43" s="349"/>
      <c r="Z43" s="349"/>
      <c r="AA43" s="349"/>
      <c r="AB43" s="349"/>
      <c r="AC43" s="350"/>
      <c r="AD43" s="349"/>
      <c r="AE43" s="349"/>
      <c r="AF43" s="349"/>
      <c r="AG43" s="351"/>
      <c r="AH43" s="519"/>
      <c r="AI43" s="402"/>
      <c r="AJ43" s="402"/>
      <c r="AK43" s="402"/>
      <c r="AL43" s="402"/>
      <c r="AM43" s="402"/>
      <c r="AN43" s="402"/>
    </row>
    <row r="44" spans="1:40" ht="15" customHeight="1" thickBot="1">
      <c r="A44" s="347"/>
      <c r="B44" s="424"/>
      <c r="C44" s="464"/>
      <c r="D44" s="464"/>
      <c r="E44" s="464"/>
      <c r="F44" s="464"/>
      <c r="G44" s="464"/>
      <c r="H44" s="465"/>
      <c r="I44" s="464"/>
      <c r="J44" s="464"/>
      <c r="K44" s="464"/>
      <c r="L44" s="464"/>
      <c r="M44" s="464"/>
      <c r="N44" s="464"/>
      <c r="O44" s="465"/>
      <c r="P44" s="464"/>
      <c r="Q44" s="464"/>
      <c r="R44" s="464"/>
      <c r="S44" s="464"/>
      <c r="T44" s="464"/>
      <c r="U44" s="464"/>
      <c r="V44" s="465"/>
      <c r="W44" s="464"/>
      <c r="X44" s="464"/>
      <c r="Y44" s="464"/>
      <c r="Z44" s="464"/>
      <c r="AA44" s="464"/>
      <c r="AB44" s="464"/>
      <c r="AC44" s="465"/>
      <c r="AD44" s="464"/>
      <c r="AE44" s="464"/>
      <c r="AF44" s="464"/>
      <c r="AG44" s="466"/>
      <c r="AH44" s="425"/>
      <c r="AI44" s="402"/>
      <c r="AJ44" s="402"/>
      <c r="AK44" s="402"/>
      <c r="AL44" s="402"/>
      <c r="AM44" s="402"/>
      <c r="AN44" s="402"/>
    </row>
    <row r="45" spans="1:40" ht="15" customHeight="1">
      <c r="B45" s="518"/>
      <c r="C45" s="130" t="s">
        <v>4</v>
      </c>
      <c r="D45" s="130" t="s">
        <v>4</v>
      </c>
      <c r="E45" s="130"/>
      <c r="F45" s="130" t="s">
        <v>4</v>
      </c>
      <c r="G45" s="130" t="s">
        <v>4</v>
      </c>
      <c r="H45" s="172"/>
      <c r="I45" s="130"/>
      <c r="J45" s="130" t="s">
        <v>4</v>
      </c>
      <c r="K45" s="130" t="s">
        <v>4</v>
      </c>
      <c r="L45" s="130" t="s">
        <v>4</v>
      </c>
      <c r="M45" s="130" t="s">
        <v>4</v>
      </c>
      <c r="N45" s="130" t="s">
        <v>4</v>
      </c>
      <c r="O45" s="172" t="s">
        <v>19</v>
      </c>
      <c r="P45" s="130"/>
      <c r="Q45" s="130" t="s">
        <v>4</v>
      </c>
      <c r="R45" s="130"/>
      <c r="S45" s="130" t="s">
        <v>177</v>
      </c>
      <c r="T45" s="130" t="s">
        <v>4</v>
      </c>
      <c r="U45" s="130" t="s">
        <v>4</v>
      </c>
      <c r="V45" s="172"/>
      <c r="W45" s="130"/>
      <c r="X45" s="130" t="s">
        <v>4</v>
      </c>
      <c r="Y45" s="130" t="s">
        <v>4</v>
      </c>
      <c r="Z45" s="130" t="s">
        <v>4</v>
      </c>
      <c r="AA45" s="130" t="s">
        <v>4</v>
      </c>
      <c r="AB45" s="130" t="s">
        <v>4</v>
      </c>
      <c r="AC45" s="172"/>
      <c r="AD45" s="130"/>
      <c r="AE45" s="130" t="s">
        <v>4</v>
      </c>
      <c r="AF45" s="130"/>
      <c r="AG45" s="260"/>
      <c r="AH45" s="519"/>
      <c r="AI45" s="402"/>
      <c r="AJ45" s="402"/>
      <c r="AK45" s="402"/>
      <c r="AL45" s="402"/>
      <c r="AM45" s="402"/>
      <c r="AN45" s="402"/>
    </row>
    <row r="46" spans="1:40" ht="15" customHeight="1">
      <c r="B46" s="518"/>
      <c r="C46" s="132" t="s">
        <v>458</v>
      </c>
      <c r="D46" s="132" t="s">
        <v>391</v>
      </c>
      <c r="E46" s="132"/>
      <c r="F46" s="132" t="s">
        <v>458</v>
      </c>
      <c r="G46" s="132" t="s">
        <v>458</v>
      </c>
      <c r="H46" s="173"/>
      <c r="I46" s="132"/>
      <c r="J46" s="132" t="s">
        <v>458</v>
      </c>
      <c r="K46" s="132" t="s">
        <v>391</v>
      </c>
      <c r="L46" s="132" t="s">
        <v>459</v>
      </c>
      <c r="M46" s="132" t="s">
        <v>458</v>
      </c>
      <c r="N46" s="132" t="s">
        <v>458</v>
      </c>
      <c r="O46" s="173" t="s">
        <v>459</v>
      </c>
      <c r="P46" s="132"/>
      <c r="Q46" s="132" t="s">
        <v>458</v>
      </c>
      <c r="R46" s="132"/>
      <c r="S46" s="132" t="s">
        <v>435</v>
      </c>
      <c r="T46" s="132" t="s">
        <v>458</v>
      </c>
      <c r="U46" s="132" t="s">
        <v>458</v>
      </c>
      <c r="V46" s="173"/>
      <c r="W46" s="132"/>
      <c r="X46" s="132" t="s">
        <v>458</v>
      </c>
      <c r="Y46" s="132" t="s">
        <v>391</v>
      </c>
      <c r="Z46" s="132" t="s">
        <v>459</v>
      </c>
      <c r="AA46" s="132" t="s">
        <v>458</v>
      </c>
      <c r="AB46" s="132" t="s">
        <v>458</v>
      </c>
      <c r="AC46" s="173"/>
      <c r="AD46" s="132"/>
      <c r="AE46" s="132" t="s">
        <v>458</v>
      </c>
      <c r="AF46" s="132"/>
      <c r="AG46" s="261"/>
      <c r="AH46" s="519"/>
      <c r="AI46" s="402"/>
      <c r="AJ46" s="402"/>
      <c r="AK46" s="402"/>
      <c r="AL46" s="402"/>
      <c r="AM46" s="402"/>
      <c r="AN46" s="402"/>
    </row>
    <row r="47" spans="1:40" ht="15" customHeight="1">
      <c r="B47" s="518" t="s">
        <v>460</v>
      </c>
      <c r="C47" s="130"/>
      <c r="D47" s="130"/>
      <c r="E47" s="130" t="s">
        <v>461</v>
      </c>
      <c r="F47" s="130"/>
      <c r="G47" s="130"/>
      <c r="H47" s="172"/>
      <c r="I47" s="130"/>
      <c r="J47" s="130" t="s">
        <v>461</v>
      </c>
      <c r="K47" s="130" t="s">
        <v>461</v>
      </c>
      <c r="L47" s="130" t="s">
        <v>461</v>
      </c>
      <c r="M47" s="130" t="s">
        <v>461</v>
      </c>
      <c r="N47" s="130"/>
      <c r="O47" s="172"/>
      <c r="P47" s="130"/>
      <c r="Q47" s="130"/>
      <c r="R47" s="130" t="s">
        <v>461</v>
      </c>
      <c r="S47" s="130" t="s">
        <v>461</v>
      </c>
      <c r="T47" s="130"/>
      <c r="U47" s="130" t="s">
        <v>461</v>
      </c>
      <c r="V47" s="172"/>
      <c r="W47" s="130"/>
      <c r="X47" s="130" t="s">
        <v>461</v>
      </c>
      <c r="Y47" s="130"/>
      <c r="Z47" s="130" t="s">
        <v>461</v>
      </c>
      <c r="AA47" s="130" t="s">
        <v>461</v>
      </c>
      <c r="AB47" s="130"/>
      <c r="AC47" s="172"/>
      <c r="AD47" s="130"/>
      <c r="AE47" s="130"/>
      <c r="AF47" s="130" t="s">
        <v>461</v>
      </c>
      <c r="AG47" s="260"/>
      <c r="AH47" s="519" t="s">
        <v>460</v>
      </c>
      <c r="AI47" s="402"/>
      <c r="AJ47" s="402"/>
      <c r="AK47" s="402"/>
      <c r="AL47" s="402"/>
      <c r="AM47" s="402"/>
      <c r="AN47" s="402"/>
    </row>
    <row r="48" spans="1:40" ht="15" customHeight="1">
      <c r="B48" s="518"/>
      <c r="C48" s="132"/>
      <c r="D48" s="132"/>
      <c r="E48" s="132" t="s">
        <v>458</v>
      </c>
      <c r="F48" s="132"/>
      <c r="G48" s="132"/>
      <c r="H48" s="173"/>
      <c r="I48" s="132"/>
      <c r="J48" s="132" t="s">
        <v>391</v>
      </c>
      <c r="K48" s="132" t="s">
        <v>458</v>
      </c>
      <c r="L48" s="132" t="s">
        <v>458</v>
      </c>
      <c r="M48" s="132" t="s">
        <v>459</v>
      </c>
      <c r="N48" s="132"/>
      <c r="O48" s="173"/>
      <c r="P48" s="132"/>
      <c r="Q48" s="132"/>
      <c r="R48" s="132" t="s">
        <v>458</v>
      </c>
      <c r="S48" s="132" t="s">
        <v>458</v>
      </c>
      <c r="T48" s="132"/>
      <c r="U48" s="132" t="s">
        <v>391</v>
      </c>
      <c r="V48" s="173"/>
      <c r="W48" s="132"/>
      <c r="X48" s="132" t="s">
        <v>391</v>
      </c>
      <c r="Y48" s="132"/>
      <c r="Z48" s="132" t="s">
        <v>458</v>
      </c>
      <c r="AA48" s="132" t="s">
        <v>459</v>
      </c>
      <c r="AB48" s="132"/>
      <c r="AC48" s="173"/>
      <c r="AD48" s="132"/>
      <c r="AE48" s="132"/>
      <c r="AF48" s="132" t="s">
        <v>458</v>
      </c>
      <c r="AG48" s="261"/>
      <c r="AH48" s="519"/>
      <c r="AI48" s="402"/>
      <c r="AJ48" s="402"/>
      <c r="AK48" s="402"/>
      <c r="AL48" s="402"/>
      <c r="AM48" s="402"/>
      <c r="AN48" s="402"/>
    </row>
    <row r="49" spans="2:40" ht="15" customHeight="1">
      <c r="B49" s="518"/>
      <c r="C49" s="130" t="s">
        <v>16</v>
      </c>
      <c r="D49" s="130" t="s">
        <v>16</v>
      </c>
      <c r="E49" s="130" t="s">
        <v>16</v>
      </c>
      <c r="F49" s="130"/>
      <c r="G49" s="130" t="s">
        <v>16</v>
      </c>
      <c r="H49" s="172"/>
      <c r="I49" s="130"/>
      <c r="J49" s="130" t="s">
        <v>16</v>
      </c>
      <c r="K49" s="130" t="s">
        <v>16</v>
      </c>
      <c r="L49" s="130" t="s">
        <v>16</v>
      </c>
      <c r="M49" s="130"/>
      <c r="N49" s="130" t="s">
        <v>16</v>
      </c>
      <c r="O49" s="172"/>
      <c r="P49" s="130"/>
      <c r="Q49" s="130" t="s">
        <v>16</v>
      </c>
      <c r="R49" s="130" t="s">
        <v>16</v>
      </c>
      <c r="S49" s="130" t="s">
        <v>16</v>
      </c>
      <c r="T49" s="130"/>
      <c r="U49" s="130" t="s">
        <v>16</v>
      </c>
      <c r="V49" s="172" t="s">
        <v>26</v>
      </c>
      <c r="W49" s="130"/>
      <c r="X49" s="130" t="s">
        <v>16</v>
      </c>
      <c r="Y49" s="130" t="s">
        <v>16</v>
      </c>
      <c r="Z49" s="130" t="s">
        <v>16</v>
      </c>
      <c r="AA49" s="130"/>
      <c r="AB49" s="130" t="s">
        <v>16</v>
      </c>
      <c r="AC49" s="172"/>
      <c r="AD49" s="130"/>
      <c r="AE49" s="130" t="s">
        <v>16</v>
      </c>
      <c r="AF49" s="130" t="s">
        <v>16</v>
      </c>
      <c r="AG49" s="260"/>
      <c r="AH49" s="519"/>
      <c r="AI49" s="402"/>
      <c r="AJ49" s="402"/>
      <c r="AK49" s="402"/>
      <c r="AL49" s="402"/>
      <c r="AM49" s="402"/>
      <c r="AN49" s="402"/>
    </row>
    <row r="50" spans="2:40" ht="15" customHeight="1">
      <c r="B50" s="518"/>
      <c r="C50" s="132" t="s">
        <v>458</v>
      </c>
      <c r="D50" s="132" t="s">
        <v>391</v>
      </c>
      <c r="E50" s="132" t="s">
        <v>459</v>
      </c>
      <c r="F50" s="132"/>
      <c r="G50" s="132" t="s">
        <v>458</v>
      </c>
      <c r="H50" s="173"/>
      <c r="I50" s="132"/>
      <c r="J50" s="132" t="s">
        <v>458</v>
      </c>
      <c r="K50" s="132" t="s">
        <v>391</v>
      </c>
      <c r="L50" s="132" t="s">
        <v>459</v>
      </c>
      <c r="M50" s="132"/>
      <c r="N50" s="132" t="s">
        <v>458</v>
      </c>
      <c r="O50" s="173"/>
      <c r="P50" s="132"/>
      <c r="Q50" s="132" t="s">
        <v>458</v>
      </c>
      <c r="R50" s="132" t="s">
        <v>391</v>
      </c>
      <c r="S50" s="132" t="s">
        <v>459</v>
      </c>
      <c r="T50" s="132"/>
      <c r="U50" s="132" t="s">
        <v>458</v>
      </c>
      <c r="V50" s="173" t="s">
        <v>458</v>
      </c>
      <c r="W50" s="132"/>
      <c r="X50" s="132" t="s">
        <v>458</v>
      </c>
      <c r="Y50" s="132" t="s">
        <v>391</v>
      </c>
      <c r="Z50" s="132" t="s">
        <v>459</v>
      </c>
      <c r="AA50" s="132"/>
      <c r="AB50" s="132" t="s">
        <v>458</v>
      </c>
      <c r="AC50" s="173"/>
      <c r="AD50" s="132"/>
      <c r="AE50" s="132" t="s">
        <v>458</v>
      </c>
      <c r="AF50" s="132" t="s">
        <v>391</v>
      </c>
      <c r="AG50" s="261"/>
      <c r="AH50" s="519"/>
    </row>
    <row r="51" spans="2:40" ht="15" customHeight="1">
      <c r="B51" s="518"/>
      <c r="C51" s="130"/>
      <c r="D51" s="130"/>
      <c r="E51" s="130"/>
      <c r="F51" s="130"/>
      <c r="G51" s="130"/>
      <c r="H51" s="172"/>
      <c r="I51" s="130"/>
      <c r="J51" s="130"/>
      <c r="K51" s="130" t="s">
        <v>27</v>
      </c>
      <c r="L51" s="130"/>
      <c r="M51" s="130"/>
      <c r="N51" s="130"/>
      <c r="O51" s="172"/>
      <c r="P51" s="130"/>
      <c r="Q51" s="130"/>
      <c r="R51" s="130"/>
      <c r="S51" s="130" t="s">
        <v>25</v>
      </c>
      <c r="T51" s="130"/>
      <c r="U51" s="130"/>
      <c r="V51" s="172"/>
      <c r="W51" s="130"/>
      <c r="X51" s="130"/>
      <c r="Y51" s="130"/>
      <c r="Z51" s="130"/>
      <c r="AA51" s="130"/>
      <c r="AB51" s="130"/>
      <c r="AC51" s="172"/>
      <c r="AD51" s="130"/>
      <c r="AE51" s="130"/>
      <c r="AF51" s="130"/>
      <c r="AG51" s="260"/>
      <c r="AH51" s="519"/>
    </row>
    <row r="52" spans="2:40" ht="15" customHeight="1">
      <c r="B52" s="518"/>
      <c r="C52" s="132"/>
      <c r="D52" s="132"/>
      <c r="E52" s="132"/>
      <c r="F52" s="132"/>
      <c r="G52" s="132"/>
      <c r="H52" s="173"/>
      <c r="I52" s="132"/>
      <c r="J52" s="132"/>
      <c r="K52" s="132" t="s">
        <v>458</v>
      </c>
      <c r="L52" s="132"/>
      <c r="M52" s="132"/>
      <c r="N52" s="132"/>
      <c r="O52" s="173"/>
      <c r="P52" s="132"/>
      <c r="Q52" s="132"/>
      <c r="R52" s="132"/>
      <c r="S52" s="132" t="s">
        <v>458</v>
      </c>
      <c r="T52" s="132"/>
      <c r="U52" s="132"/>
      <c r="V52" s="173"/>
      <c r="W52" s="132"/>
      <c r="X52" s="132"/>
      <c r="Y52" s="132"/>
      <c r="Z52" s="132"/>
      <c r="AA52" s="132"/>
      <c r="AB52" s="132"/>
      <c r="AC52" s="173"/>
      <c r="AD52" s="132"/>
      <c r="AE52" s="132"/>
      <c r="AF52" s="132"/>
      <c r="AG52" s="261"/>
      <c r="AH52" s="519"/>
    </row>
    <row r="53" spans="2:40" ht="15" customHeight="1">
      <c r="B53" s="518"/>
      <c r="C53" s="130"/>
      <c r="D53" s="130"/>
      <c r="E53" s="130"/>
      <c r="F53" s="130" t="s">
        <v>251</v>
      </c>
      <c r="G53" s="130"/>
      <c r="H53" s="172"/>
      <c r="I53" s="130"/>
      <c r="J53" s="130"/>
      <c r="K53" s="130"/>
      <c r="L53" s="130"/>
      <c r="M53" s="130" t="s">
        <v>251</v>
      </c>
      <c r="N53" s="130"/>
      <c r="O53" s="172"/>
      <c r="P53" s="130"/>
      <c r="Q53" s="130"/>
      <c r="R53" s="130"/>
      <c r="S53" s="130"/>
      <c r="T53" s="130" t="s">
        <v>251</v>
      </c>
      <c r="U53" s="130"/>
      <c r="V53" s="172"/>
      <c r="W53" s="130"/>
      <c r="X53" s="130"/>
      <c r="Y53" s="130"/>
      <c r="Z53" s="130"/>
      <c r="AA53" s="130" t="s">
        <v>251</v>
      </c>
      <c r="AB53" s="130"/>
      <c r="AC53" s="172"/>
      <c r="AD53" s="130"/>
      <c r="AE53" s="130"/>
      <c r="AF53" s="130"/>
      <c r="AG53" s="260"/>
      <c r="AH53" s="519"/>
    </row>
    <row r="54" spans="2:40" ht="15" customHeight="1" thickBot="1">
      <c r="B54" s="424"/>
      <c r="C54" s="475"/>
      <c r="D54" s="475"/>
      <c r="E54" s="475"/>
      <c r="F54" s="475" t="s">
        <v>458</v>
      </c>
      <c r="G54" s="475"/>
      <c r="H54" s="476"/>
      <c r="I54" s="475"/>
      <c r="J54" s="475"/>
      <c r="K54" s="475"/>
      <c r="L54" s="475"/>
      <c r="M54" s="475" t="s">
        <v>391</v>
      </c>
      <c r="N54" s="475"/>
      <c r="O54" s="476"/>
      <c r="P54" s="475"/>
      <c r="Q54" s="475"/>
      <c r="R54" s="475"/>
      <c r="S54" s="475"/>
      <c r="T54" s="475" t="s">
        <v>392</v>
      </c>
      <c r="U54" s="475"/>
      <c r="V54" s="476"/>
      <c r="W54" s="475"/>
      <c r="X54" s="475"/>
      <c r="Y54" s="475"/>
      <c r="Z54" s="475"/>
      <c r="AA54" s="475" t="s">
        <v>458</v>
      </c>
      <c r="AB54" s="475"/>
      <c r="AC54" s="476"/>
      <c r="AD54" s="475"/>
      <c r="AE54" s="475"/>
      <c r="AF54" s="475"/>
      <c r="AG54" s="477"/>
      <c r="AH54" s="425"/>
    </row>
    <row r="55" spans="2:40" ht="15" customHeight="1">
      <c r="B55" s="518"/>
      <c r="C55" s="130"/>
      <c r="D55" s="130"/>
      <c r="E55" s="130"/>
      <c r="F55" s="130"/>
      <c r="G55" s="130"/>
      <c r="H55" s="172"/>
      <c r="I55" s="130"/>
      <c r="J55" s="130"/>
      <c r="K55" s="130"/>
      <c r="L55" s="130"/>
      <c r="M55" s="130"/>
      <c r="N55" s="130"/>
      <c r="O55" s="172"/>
      <c r="P55" s="130"/>
      <c r="Q55" s="130"/>
      <c r="R55" s="130"/>
      <c r="S55" s="130"/>
      <c r="T55" s="130"/>
      <c r="U55" s="130"/>
      <c r="V55" s="172"/>
      <c r="W55" s="130"/>
      <c r="X55" s="130"/>
      <c r="Y55" s="130"/>
      <c r="Z55" s="130"/>
      <c r="AA55" s="130"/>
      <c r="AB55" s="130"/>
      <c r="AC55" s="172"/>
      <c r="AD55" s="130"/>
      <c r="AE55" s="130"/>
      <c r="AF55" s="130"/>
      <c r="AG55" s="260"/>
      <c r="AH55" s="519"/>
    </row>
    <row r="56" spans="2:40" ht="15" customHeight="1">
      <c r="B56" s="518" t="s">
        <v>462</v>
      </c>
      <c r="C56" s="130"/>
      <c r="D56" s="130"/>
      <c r="E56" s="130"/>
      <c r="F56" s="130"/>
      <c r="G56" s="130"/>
      <c r="H56" s="172"/>
      <c r="I56" s="130"/>
      <c r="J56" s="130"/>
      <c r="K56" s="130"/>
      <c r="L56" s="130"/>
      <c r="M56" s="130"/>
      <c r="N56" s="130"/>
      <c r="O56" s="172"/>
      <c r="P56" s="130"/>
      <c r="Q56" s="130"/>
      <c r="R56" s="130"/>
      <c r="S56" s="130"/>
      <c r="T56" s="130"/>
      <c r="U56" s="130"/>
      <c r="V56" s="172"/>
      <c r="W56" s="130"/>
      <c r="X56" s="130"/>
      <c r="Y56" s="130"/>
      <c r="Z56" s="130"/>
      <c r="AA56" s="130"/>
      <c r="AB56" s="130"/>
      <c r="AC56" s="172"/>
      <c r="AD56" s="130"/>
      <c r="AE56" s="130"/>
      <c r="AF56" s="130"/>
      <c r="AG56" s="260"/>
      <c r="AH56" s="519" t="s">
        <v>462</v>
      </c>
    </row>
    <row r="57" spans="2:40" ht="15" customHeight="1">
      <c r="B57" s="518"/>
      <c r="C57" s="130"/>
      <c r="D57" s="130"/>
      <c r="E57" s="130"/>
      <c r="F57" s="130"/>
      <c r="G57" s="130"/>
      <c r="H57" s="172"/>
      <c r="I57" s="130"/>
      <c r="J57" s="130"/>
      <c r="K57" s="130"/>
      <c r="L57" s="130"/>
      <c r="M57" s="130"/>
      <c r="N57" s="130"/>
      <c r="O57" s="172"/>
      <c r="P57" s="130"/>
      <c r="Q57" s="130"/>
      <c r="R57" s="130"/>
      <c r="S57" s="130"/>
      <c r="T57" s="130"/>
      <c r="U57" s="130"/>
      <c r="V57" s="172"/>
      <c r="W57" s="130"/>
      <c r="X57" s="130"/>
      <c r="Y57" s="130"/>
      <c r="Z57" s="130"/>
      <c r="AA57" s="130"/>
      <c r="AB57" s="130"/>
      <c r="AC57" s="172"/>
      <c r="AD57" s="130"/>
      <c r="AE57" s="130"/>
      <c r="AF57" s="130"/>
      <c r="AG57" s="260"/>
      <c r="AH57" s="519"/>
    </row>
    <row r="58" spans="2:40" ht="15" customHeight="1" thickBot="1">
      <c r="B58" s="372"/>
      <c r="C58" s="131"/>
      <c r="D58" s="131"/>
      <c r="E58" s="131"/>
      <c r="F58" s="131"/>
      <c r="G58" s="131"/>
      <c r="H58" s="174"/>
      <c r="I58" s="131"/>
      <c r="J58" s="131"/>
      <c r="K58" s="131"/>
      <c r="L58" s="131"/>
      <c r="M58" s="131"/>
      <c r="N58" s="131"/>
      <c r="O58" s="174"/>
      <c r="P58" s="131"/>
      <c r="Q58" s="131"/>
      <c r="R58" s="131"/>
      <c r="S58" s="131"/>
      <c r="T58" s="131"/>
      <c r="U58" s="131"/>
      <c r="V58" s="174"/>
      <c r="W58" s="131"/>
      <c r="X58" s="131"/>
      <c r="Y58" s="131"/>
      <c r="Z58" s="131"/>
      <c r="AA58" s="131"/>
      <c r="AB58" s="131"/>
      <c r="AC58" s="174"/>
      <c r="AD58" s="131"/>
      <c r="AE58" s="131"/>
      <c r="AF58" s="131"/>
      <c r="AG58" s="262"/>
      <c r="AH58" s="371"/>
    </row>
    <row r="59" spans="2:40" ht="15" customHeight="1" thickTop="1"/>
  </sheetData>
  <sheetProtection sheet="1" objects="1" scenarios="1"/>
  <customSheetViews>
    <customSheetView guid="{48D17560-CF9A-4AC4-87A5-512F1C94B1E6}" fitToPage="1" showRuler="0">
      <pane xSplit="2" ySplit="22" topLeftCell="C23" activePane="bottomRight" state="frozen"/>
      <selection pane="bottomRight"/>
      <pageMargins left="0" right="0" top="0" bottom="0" header="0" footer="0"/>
      <pageSetup paperSize="8" scale="85" orientation="landscape" blackAndWhite="1" horizontalDpi="4294967292" verticalDpi="4294967292"/>
      <headerFooter alignWithMargins="0">
        <oddHeader>&amp;R&amp;"Osaka,標準"&amp;D　&amp;T</oddHeader>
      </headerFooter>
    </customSheetView>
  </customSheetViews>
  <phoneticPr fontId="6"/>
  <printOptions horizontalCentered="1"/>
  <pageMargins left="0.3" right="0.27" top="0.39370078740157483" bottom="0.39370078740157483" header="0.39370078740157483" footer="0.39370078740157483"/>
  <pageSetup paperSize="8" scale="92" orientation="landscape" blackAndWhite="1" horizontalDpi="300" verticalDpi="300" r:id="rId1"/>
  <headerFooter alignWithMargins="0">
    <oddHeader>&amp;R&amp;"Osaka,標準"&amp;D　&amp;T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Line="0" autoPict="0" macro="[0]!調整罫線2">
                <anchor moveWithCells="1" sizeWithCells="1">
                  <from>
                    <xdr:col>1</xdr:col>
                    <xdr:colOff>76200</xdr:colOff>
                    <xdr:row>0</xdr:row>
                    <xdr:rowOff>38100</xdr:rowOff>
                  </from>
                  <to>
                    <xdr:col>1</xdr:col>
                    <xdr:colOff>533400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2:AN54"/>
  <sheetViews>
    <sheetView topLeftCell="B16" zoomScaleNormal="100" workbookViewId="0">
      <selection activeCell="I19" sqref="I19"/>
    </sheetView>
  </sheetViews>
  <sheetFormatPr defaultColWidth="9" defaultRowHeight="15" customHeight="1"/>
  <cols>
    <col min="1" max="1" width="2.453125" style="347" customWidth="1"/>
    <col min="2" max="2" width="11.453125" style="347" bestFit="1" customWidth="1"/>
    <col min="3" max="33" width="6.453125" style="367" customWidth="1"/>
    <col min="34" max="34" width="7.453125" style="347" customWidth="1"/>
    <col min="35" max="35" width="2.453125" style="347" customWidth="1"/>
    <col min="36" max="38" width="5.453125" style="347" customWidth="1"/>
    <col min="39" max="39" width="7.453125" style="347" customWidth="1"/>
    <col min="40" max="40" width="2.453125" style="384" customWidth="1"/>
    <col min="41" max="16384" width="9" style="347"/>
  </cols>
  <sheetData>
    <row r="2" spans="2:40" ht="15" customHeight="1" thickBot="1"/>
    <row r="3" spans="2:40" ht="15" customHeight="1" thickTop="1">
      <c r="B3" s="348" t="str">
        <f>月間設定!C1&amp;"年"</f>
        <v>2026年</v>
      </c>
      <c r="C3" s="352">
        <v>1</v>
      </c>
      <c r="D3" s="352">
        <v>2</v>
      </c>
      <c r="E3" s="352">
        <v>3</v>
      </c>
      <c r="F3" s="352">
        <v>4</v>
      </c>
      <c r="G3" s="352">
        <v>5</v>
      </c>
      <c r="H3" s="353">
        <v>6</v>
      </c>
      <c r="I3" s="352">
        <v>7</v>
      </c>
      <c r="J3" s="352">
        <v>8</v>
      </c>
      <c r="K3" s="352">
        <v>9</v>
      </c>
      <c r="L3" s="352">
        <v>10</v>
      </c>
      <c r="M3" s="352">
        <v>11</v>
      </c>
      <c r="N3" s="352">
        <v>12</v>
      </c>
      <c r="O3" s="353">
        <v>13</v>
      </c>
      <c r="P3" s="352">
        <v>14</v>
      </c>
      <c r="Q3" s="352">
        <v>15</v>
      </c>
      <c r="R3" s="352">
        <v>16</v>
      </c>
      <c r="S3" s="352">
        <v>17</v>
      </c>
      <c r="T3" s="352">
        <v>18</v>
      </c>
      <c r="U3" s="352">
        <v>19</v>
      </c>
      <c r="V3" s="353">
        <v>20</v>
      </c>
      <c r="W3" s="352">
        <v>21</v>
      </c>
      <c r="X3" s="352">
        <v>22</v>
      </c>
      <c r="Y3" s="352">
        <v>23</v>
      </c>
      <c r="Z3" s="352">
        <v>24</v>
      </c>
      <c r="AA3" s="352">
        <v>25</v>
      </c>
      <c r="AB3" s="352">
        <v>26</v>
      </c>
      <c r="AC3" s="353">
        <v>27</v>
      </c>
      <c r="AD3" s="352">
        <v>28</v>
      </c>
      <c r="AE3" s="352">
        <f>月間設定!AE3</f>
        <v>29</v>
      </c>
      <c r="AF3" s="352">
        <f>月間設定!AF3</f>
        <v>30</v>
      </c>
      <c r="AG3" s="354" t="str">
        <f>月間設定!AG3</f>
        <v/>
      </c>
      <c r="AH3" s="370" t="s">
        <v>17</v>
      </c>
      <c r="AI3" s="366"/>
      <c r="AJ3" s="366"/>
      <c r="AK3" s="366"/>
      <c r="AL3" s="366"/>
      <c r="AM3" s="366"/>
      <c r="AN3" s="366"/>
    </row>
    <row r="4" spans="2:40" ht="15" customHeight="1" thickBot="1">
      <c r="B4" s="459" t="str">
        <f>月間設定!E1&amp;"月"</f>
        <v>6月</v>
      </c>
      <c r="C4" s="460">
        <f>月間設定!C4</f>
        <v>2</v>
      </c>
      <c r="D4" s="460">
        <f>月間設定!D4</f>
        <v>3</v>
      </c>
      <c r="E4" s="460">
        <f>月間設定!E4</f>
        <v>4</v>
      </c>
      <c r="F4" s="460">
        <f>月間設定!F4</f>
        <v>5</v>
      </c>
      <c r="G4" s="460">
        <f>月間設定!G4</f>
        <v>6</v>
      </c>
      <c r="H4" s="461">
        <f>月間設定!H4</f>
        <v>7</v>
      </c>
      <c r="I4" s="460">
        <f>月間設定!I4</f>
        <v>1</v>
      </c>
      <c r="J4" s="460">
        <f>月間設定!J4</f>
        <v>2</v>
      </c>
      <c r="K4" s="460">
        <f>月間設定!K4</f>
        <v>3</v>
      </c>
      <c r="L4" s="460">
        <f>月間設定!L4</f>
        <v>4</v>
      </c>
      <c r="M4" s="460">
        <f>月間設定!M4</f>
        <v>5</v>
      </c>
      <c r="N4" s="460">
        <f>月間設定!N4</f>
        <v>6</v>
      </c>
      <c r="O4" s="461">
        <f>月間設定!O4</f>
        <v>7</v>
      </c>
      <c r="P4" s="460">
        <f>月間設定!P4</f>
        <v>1</v>
      </c>
      <c r="Q4" s="460">
        <f>月間設定!Q4</f>
        <v>2</v>
      </c>
      <c r="R4" s="460">
        <f>月間設定!R4</f>
        <v>3</v>
      </c>
      <c r="S4" s="460">
        <f>月間設定!S4</f>
        <v>4</v>
      </c>
      <c r="T4" s="460">
        <f>月間設定!T4</f>
        <v>5</v>
      </c>
      <c r="U4" s="460">
        <f>月間設定!U4</f>
        <v>6</v>
      </c>
      <c r="V4" s="461">
        <f>月間設定!V4</f>
        <v>7</v>
      </c>
      <c r="W4" s="460">
        <f>月間設定!W4</f>
        <v>1</v>
      </c>
      <c r="X4" s="460">
        <f>月間設定!X4</f>
        <v>2</v>
      </c>
      <c r="Y4" s="460">
        <f>月間設定!Y4</f>
        <v>3</v>
      </c>
      <c r="Z4" s="460">
        <f>月間設定!Z4</f>
        <v>4</v>
      </c>
      <c r="AA4" s="460">
        <f>月間設定!AA4</f>
        <v>5</v>
      </c>
      <c r="AB4" s="460">
        <f>月間設定!AB4</f>
        <v>6</v>
      </c>
      <c r="AC4" s="461">
        <f>月間設定!AC4</f>
        <v>7</v>
      </c>
      <c r="AD4" s="460">
        <f>月間設定!AD4</f>
        <v>1</v>
      </c>
      <c r="AE4" s="460">
        <f>月間設定!AE4</f>
        <v>2</v>
      </c>
      <c r="AF4" s="460">
        <f>月間設定!AF4</f>
        <v>3</v>
      </c>
      <c r="AG4" s="462" t="str">
        <f>月間設定!AG4</f>
        <v/>
      </c>
      <c r="AH4" s="463" t="str">
        <f>月間設定!I1&amp;"日"</f>
        <v>8日</v>
      </c>
      <c r="AI4" s="366"/>
      <c r="AJ4" s="366"/>
      <c r="AK4" s="366"/>
      <c r="AL4" s="366"/>
      <c r="AM4" s="366"/>
      <c r="AN4" s="366"/>
    </row>
    <row r="5" spans="2:40" ht="15" customHeight="1">
      <c r="B5" s="23"/>
      <c r="C5" s="349" t="s">
        <v>350</v>
      </c>
      <c r="D5" s="349" t="s">
        <v>350</v>
      </c>
      <c r="E5" s="349" t="s">
        <v>350</v>
      </c>
      <c r="F5" s="349" t="s">
        <v>350</v>
      </c>
      <c r="G5" s="349" t="s">
        <v>350</v>
      </c>
      <c r="H5" s="350"/>
      <c r="I5" s="349"/>
      <c r="J5" s="349" t="s">
        <v>350</v>
      </c>
      <c r="K5" s="349" t="s">
        <v>350</v>
      </c>
      <c r="L5" s="349" t="s">
        <v>350</v>
      </c>
      <c r="M5" s="349" t="s">
        <v>350</v>
      </c>
      <c r="N5" s="349" t="s">
        <v>350</v>
      </c>
      <c r="O5" s="350" t="s">
        <v>351</v>
      </c>
      <c r="P5" s="349"/>
      <c r="Q5" s="349" t="s">
        <v>350</v>
      </c>
      <c r="R5" s="349" t="s">
        <v>350</v>
      </c>
      <c r="S5" s="349" t="s">
        <v>350</v>
      </c>
      <c r="T5" s="349" t="s">
        <v>350</v>
      </c>
      <c r="U5" s="349" t="s">
        <v>350</v>
      </c>
      <c r="V5" s="350"/>
      <c r="W5" s="349"/>
      <c r="X5" s="349" t="s">
        <v>350</v>
      </c>
      <c r="Y5" s="349" t="s">
        <v>350</v>
      </c>
      <c r="Z5" s="349" t="s">
        <v>350</v>
      </c>
      <c r="AA5" s="349" t="s">
        <v>350</v>
      </c>
      <c r="AB5" s="349" t="s">
        <v>350</v>
      </c>
      <c r="AC5" s="350" t="s">
        <v>351</v>
      </c>
      <c r="AD5" s="349"/>
      <c r="AE5" s="349" t="s">
        <v>350</v>
      </c>
      <c r="AF5" s="349" t="s">
        <v>350</v>
      </c>
      <c r="AG5" s="351"/>
      <c r="AH5" s="293"/>
      <c r="AI5" s="385"/>
      <c r="AJ5" s="385"/>
      <c r="AK5" s="385"/>
      <c r="AL5" s="385"/>
      <c r="AM5" s="385"/>
      <c r="AN5" s="385"/>
    </row>
    <row r="6" spans="2:40" ht="15" customHeight="1">
      <c r="B6" s="23" t="s">
        <v>6</v>
      </c>
      <c r="C6" s="349" t="s">
        <v>352</v>
      </c>
      <c r="D6" s="349" t="s">
        <v>352</v>
      </c>
      <c r="E6" s="349" t="s">
        <v>352</v>
      </c>
      <c r="F6" s="349" t="s">
        <v>352</v>
      </c>
      <c r="G6" s="349" t="s">
        <v>352</v>
      </c>
      <c r="H6" s="350"/>
      <c r="I6" s="349"/>
      <c r="J6" s="349" t="s">
        <v>352</v>
      </c>
      <c r="K6" s="349" t="s">
        <v>352</v>
      </c>
      <c r="L6" s="349" t="s">
        <v>352</v>
      </c>
      <c r="M6" s="349" t="s">
        <v>352</v>
      </c>
      <c r="N6" s="349" t="s">
        <v>352</v>
      </c>
      <c r="O6" s="350"/>
      <c r="P6" s="349"/>
      <c r="Q6" s="349" t="s">
        <v>352</v>
      </c>
      <c r="R6" s="349" t="s">
        <v>352</v>
      </c>
      <c r="S6" s="349" t="s">
        <v>352</v>
      </c>
      <c r="T6" s="349" t="s">
        <v>352</v>
      </c>
      <c r="U6" s="349" t="s">
        <v>352</v>
      </c>
      <c r="V6" s="350"/>
      <c r="W6" s="349"/>
      <c r="X6" s="349" t="s">
        <v>352</v>
      </c>
      <c r="Y6" s="349" t="s">
        <v>352</v>
      </c>
      <c r="Z6" s="349" t="s">
        <v>352</v>
      </c>
      <c r="AA6" s="349" t="s">
        <v>352</v>
      </c>
      <c r="AB6" s="349" t="s">
        <v>352</v>
      </c>
      <c r="AC6" s="350"/>
      <c r="AD6" s="349"/>
      <c r="AE6" s="349" t="s">
        <v>352</v>
      </c>
      <c r="AF6" s="349" t="s">
        <v>352</v>
      </c>
      <c r="AG6" s="351"/>
      <c r="AH6" s="293" t="s">
        <v>6</v>
      </c>
      <c r="AI6" s="385"/>
      <c r="AJ6" s="385"/>
      <c r="AK6" s="385"/>
      <c r="AL6" s="385"/>
      <c r="AM6" s="385"/>
      <c r="AN6" s="385"/>
    </row>
    <row r="7" spans="2:40" ht="15" customHeight="1">
      <c r="B7" s="24"/>
      <c r="C7" s="355"/>
      <c r="D7" s="355"/>
      <c r="E7" s="355"/>
      <c r="F7" s="355"/>
      <c r="G7" s="355"/>
      <c r="H7" s="356"/>
      <c r="I7" s="355"/>
      <c r="J7" s="355"/>
      <c r="K7" s="355"/>
      <c r="L7" s="355"/>
      <c r="M7" s="355"/>
      <c r="N7" s="355"/>
      <c r="O7" s="356"/>
      <c r="P7" s="355"/>
      <c r="Q7" s="355"/>
      <c r="R7" s="355"/>
      <c r="S7" s="355"/>
      <c r="T7" s="355"/>
      <c r="U7" s="355"/>
      <c r="V7" s="356"/>
      <c r="W7" s="355"/>
      <c r="X7" s="355"/>
      <c r="Y7" s="355"/>
      <c r="Z7" s="355"/>
      <c r="AA7" s="355"/>
      <c r="AB7" s="355"/>
      <c r="AC7" s="356"/>
      <c r="AD7" s="355"/>
      <c r="AE7" s="355"/>
      <c r="AF7" s="355"/>
      <c r="AG7" s="357"/>
      <c r="AH7" s="296"/>
      <c r="AI7" s="385"/>
      <c r="AJ7" s="385"/>
      <c r="AK7" s="385"/>
      <c r="AL7" s="385"/>
      <c r="AM7" s="385"/>
      <c r="AN7" s="385"/>
    </row>
    <row r="8" spans="2:40" ht="15" customHeight="1">
      <c r="B8" s="23"/>
      <c r="C8" s="349"/>
      <c r="D8" s="349"/>
      <c r="E8" s="349"/>
      <c r="F8" s="349"/>
      <c r="G8" s="349" t="s">
        <v>353</v>
      </c>
      <c r="H8" s="350"/>
      <c r="I8" s="349"/>
      <c r="J8" s="349"/>
      <c r="K8" s="349"/>
      <c r="L8" s="349" t="s">
        <v>354</v>
      </c>
      <c r="M8" s="349"/>
      <c r="N8" s="349"/>
      <c r="O8" s="350"/>
      <c r="P8" s="349"/>
      <c r="Q8" s="349"/>
      <c r="R8" s="349"/>
      <c r="S8" s="349"/>
      <c r="T8" s="349" t="s">
        <v>353</v>
      </c>
      <c r="U8" s="349"/>
      <c r="V8" s="350"/>
      <c r="W8" s="349"/>
      <c r="X8" s="349" t="s">
        <v>355</v>
      </c>
      <c r="Y8" s="349"/>
      <c r="Z8" s="349"/>
      <c r="AA8" s="349"/>
      <c r="AB8" s="349"/>
      <c r="AC8" s="350"/>
      <c r="AD8" s="349"/>
      <c r="AE8" s="349"/>
      <c r="AF8" s="349"/>
      <c r="AG8" s="351"/>
      <c r="AH8" s="293"/>
      <c r="AI8" s="385"/>
      <c r="AJ8" s="385"/>
      <c r="AK8" s="385"/>
      <c r="AL8" s="385"/>
      <c r="AM8" s="385"/>
      <c r="AN8" s="385"/>
    </row>
    <row r="9" spans="2:40" ht="15" customHeight="1">
      <c r="B9" s="23" t="s">
        <v>8</v>
      </c>
      <c r="C9" s="349"/>
      <c r="D9" s="349"/>
      <c r="E9" s="349"/>
      <c r="F9" s="349"/>
      <c r="G9" s="349"/>
      <c r="H9" s="350"/>
      <c r="I9" s="349"/>
      <c r="J9" s="349"/>
      <c r="K9" s="349"/>
      <c r="L9" s="349"/>
      <c r="M9" s="349"/>
      <c r="N9" s="349"/>
      <c r="O9" s="350"/>
      <c r="P9" s="349"/>
      <c r="Q9" s="349"/>
      <c r="R9" s="349"/>
      <c r="S9" s="349"/>
      <c r="T9" s="349" t="s">
        <v>356</v>
      </c>
      <c r="U9" s="349"/>
      <c r="V9" s="350"/>
      <c r="W9" s="349"/>
      <c r="X9" s="349"/>
      <c r="Y9" s="349"/>
      <c r="Z9" s="349"/>
      <c r="AA9" s="349"/>
      <c r="AB9" s="349"/>
      <c r="AC9" s="350"/>
      <c r="AD9" s="349"/>
      <c r="AE9" s="349"/>
      <c r="AF9" s="349"/>
      <c r="AG9" s="351"/>
      <c r="AH9" s="293" t="s">
        <v>8</v>
      </c>
      <c r="AI9" s="385"/>
      <c r="AJ9" s="385"/>
      <c r="AK9" s="385"/>
      <c r="AL9" s="385"/>
      <c r="AM9" s="385"/>
      <c r="AN9" s="385"/>
    </row>
    <row r="10" spans="2:40" ht="15" customHeight="1">
      <c r="B10" s="24"/>
      <c r="C10" s="355"/>
      <c r="D10" s="355"/>
      <c r="E10" s="355"/>
      <c r="F10" s="355"/>
      <c r="G10" s="355"/>
      <c r="H10" s="356"/>
      <c r="I10" s="355"/>
      <c r="J10" s="355"/>
      <c r="K10" s="355"/>
      <c r="L10" s="355"/>
      <c r="M10" s="355"/>
      <c r="N10" s="355"/>
      <c r="O10" s="356"/>
      <c r="P10" s="355"/>
      <c r="Q10" s="355"/>
      <c r="R10" s="355"/>
      <c r="S10" s="355"/>
      <c r="T10" s="355"/>
      <c r="U10" s="355"/>
      <c r="V10" s="356"/>
      <c r="W10" s="355"/>
      <c r="X10" s="355"/>
      <c r="Y10" s="355"/>
      <c r="Z10" s="355"/>
      <c r="AA10" s="355"/>
      <c r="AB10" s="355"/>
      <c r="AC10" s="356"/>
      <c r="AD10" s="355"/>
      <c r="AE10" s="355"/>
      <c r="AF10" s="355"/>
      <c r="AG10" s="357"/>
      <c r="AH10" s="296"/>
      <c r="AI10" s="385"/>
      <c r="AJ10" s="385"/>
      <c r="AK10" s="385"/>
      <c r="AL10" s="385"/>
      <c r="AM10" s="385"/>
      <c r="AN10" s="385"/>
    </row>
    <row r="11" spans="2:40" ht="15" customHeight="1">
      <c r="B11" s="23"/>
      <c r="C11" s="349"/>
      <c r="D11" s="349"/>
      <c r="E11" s="349" t="s">
        <v>357</v>
      </c>
      <c r="F11" s="349"/>
      <c r="G11" s="349"/>
      <c r="H11" s="350" t="s">
        <v>358</v>
      </c>
      <c r="I11" s="349"/>
      <c r="J11" s="349"/>
      <c r="K11" s="349" t="s">
        <v>359</v>
      </c>
      <c r="L11" s="349"/>
      <c r="M11" s="349" t="s">
        <v>360</v>
      </c>
      <c r="N11" s="349" t="s">
        <v>361</v>
      </c>
      <c r="O11" s="350" t="s">
        <v>358</v>
      </c>
      <c r="P11" s="349"/>
      <c r="Q11" s="349" t="s">
        <v>362</v>
      </c>
      <c r="R11" s="349"/>
      <c r="S11" s="349" t="s">
        <v>357</v>
      </c>
      <c r="T11" s="349"/>
      <c r="U11" s="349"/>
      <c r="V11" s="350" t="s">
        <v>358</v>
      </c>
      <c r="W11" s="349"/>
      <c r="X11" s="349" t="s">
        <v>360</v>
      </c>
      <c r="Y11" s="349" t="s">
        <v>359</v>
      </c>
      <c r="Z11" s="349"/>
      <c r="AA11" s="349"/>
      <c r="AB11" s="349" t="s">
        <v>361</v>
      </c>
      <c r="AC11" s="350"/>
      <c r="AD11" s="349"/>
      <c r="AE11" s="349" t="s">
        <v>362</v>
      </c>
      <c r="AF11" s="349"/>
      <c r="AG11" s="351"/>
      <c r="AH11" s="293"/>
      <c r="AI11" s="385"/>
      <c r="AJ11" s="385"/>
      <c r="AK11" s="385"/>
      <c r="AL11" s="385"/>
      <c r="AM11" s="385"/>
      <c r="AN11" s="385"/>
    </row>
    <row r="12" spans="2:40" ht="15" customHeight="1">
      <c r="B12" s="23" t="s">
        <v>14</v>
      </c>
      <c r="C12" s="349"/>
      <c r="D12" s="349"/>
      <c r="E12" s="349"/>
      <c r="F12" s="349"/>
      <c r="G12" s="349"/>
      <c r="H12" s="350"/>
      <c r="I12" s="349"/>
      <c r="J12" s="349"/>
      <c r="K12" s="349"/>
      <c r="L12" s="349"/>
      <c r="M12" s="349"/>
      <c r="N12" s="349"/>
      <c r="O12" s="350"/>
      <c r="P12" s="349"/>
      <c r="Q12" s="349"/>
      <c r="R12" s="349"/>
      <c r="S12" s="349" t="s">
        <v>363</v>
      </c>
      <c r="T12" s="349"/>
      <c r="U12" s="349"/>
      <c r="V12" s="350"/>
      <c r="W12" s="349"/>
      <c r="X12" s="349"/>
      <c r="Y12" s="349"/>
      <c r="Z12" s="349"/>
      <c r="AA12" s="349"/>
      <c r="AB12" s="349"/>
      <c r="AC12" s="350"/>
      <c r="AD12" s="349"/>
      <c r="AE12" s="349"/>
      <c r="AF12" s="349"/>
      <c r="AG12" s="351"/>
      <c r="AH12" s="293" t="s">
        <v>14</v>
      </c>
      <c r="AI12" s="385"/>
      <c r="AJ12" s="385"/>
      <c r="AK12" s="385"/>
      <c r="AL12" s="385"/>
      <c r="AM12" s="385"/>
      <c r="AN12" s="385"/>
    </row>
    <row r="13" spans="2:40" ht="15" customHeight="1">
      <c r="B13" s="24"/>
      <c r="C13" s="355"/>
      <c r="D13" s="355"/>
      <c r="E13" s="355"/>
      <c r="F13" s="355"/>
      <c r="G13" s="355"/>
      <c r="H13" s="356"/>
      <c r="I13" s="355"/>
      <c r="J13" s="355"/>
      <c r="K13" s="355"/>
      <c r="L13" s="355"/>
      <c r="M13" s="355"/>
      <c r="N13" s="355"/>
      <c r="O13" s="356"/>
      <c r="P13" s="355"/>
      <c r="Q13" s="355"/>
      <c r="R13" s="355"/>
      <c r="S13" s="355"/>
      <c r="T13" s="355"/>
      <c r="U13" s="355"/>
      <c r="V13" s="356"/>
      <c r="W13" s="355"/>
      <c r="X13" s="355"/>
      <c r="Y13" s="355"/>
      <c r="Z13" s="355"/>
      <c r="AA13" s="355"/>
      <c r="AB13" s="355"/>
      <c r="AC13" s="356"/>
      <c r="AD13" s="355"/>
      <c r="AE13" s="355"/>
      <c r="AF13" s="355"/>
      <c r="AG13" s="357"/>
      <c r="AH13" s="296"/>
      <c r="AI13" s="385"/>
      <c r="AJ13" s="385"/>
      <c r="AK13" s="385"/>
      <c r="AL13" s="385"/>
      <c r="AM13" s="385"/>
      <c r="AN13" s="385"/>
    </row>
    <row r="14" spans="2:40" ht="15" customHeight="1">
      <c r="B14" s="23" t="s">
        <v>74</v>
      </c>
      <c r="C14" s="349" t="s">
        <v>364</v>
      </c>
      <c r="D14" s="349" t="s">
        <v>364</v>
      </c>
      <c r="E14" s="349" t="s">
        <v>364</v>
      </c>
      <c r="F14" s="349" t="s">
        <v>364</v>
      </c>
      <c r="G14" s="349" t="s">
        <v>364</v>
      </c>
      <c r="H14" s="350"/>
      <c r="I14" s="349"/>
      <c r="J14" s="349" t="s">
        <v>364</v>
      </c>
      <c r="K14" s="349" t="s">
        <v>364</v>
      </c>
      <c r="L14" s="349" t="s">
        <v>364</v>
      </c>
      <c r="M14" s="349" t="s">
        <v>364</v>
      </c>
      <c r="N14" s="349" t="s">
        <v>364</v>
      </c>
      <c r="O14" s="350" t="s">
        <v>365</v>
      </c>
      <c r="P14" s="349"/>
      <c r="Q14" s="349" t="s">
        <v>364</v>
      </c>
      <c r="R14" s="349" t="s">
        <v>364</v>
      </c>
      <c r="S14" s="349" t="s">
        <v>364</v>
      </c>
      <c r="T14" s="349" t="s">
        <v>364</v>
      </c>
      <c r="U14" s="349" t="s">
        <v>364</v>
      </c>
      <c r="V14" s="350"/>
      <c r="W14" s="349"/>
      <c r="X14" s="349" t="s">
        <v>364</v>
      </c>
      <c r="Y14" s="349" t="s">
        <v>364</v>
      </c>
      <c r="Z14" s="349" t="s">
        <v>364</v>
      </c>
      <c r="AA14" s="349" t="s">
        <v>364</v>
      </c>
      <c r="AB14" s="349" t="s">
        <v>364</v>
      </c>
      <c r="AC14" s="350"/>
      <c r="AD14" s="349"/>
      <c r="AE14" s="349" t="s">
        <v>364</v>
      </c>
      <c r="AF14" s="349" t="s">
        <v>364</v>
      </c>
      <c r="AG14" s="351"/>
      <c r="AH14" s="293" t="s">
        <v>74</v>
      </c>
      <c r="AI14" s="385"/>
      <c r="AJ14" s="385"/>
      <c r="AK14" s="385"/>
      <c r="AL14" s="385"/>
      <c r="AM14" s="385"/>
      <c r="AN14" s="385"/>
    </row>
    <row r="15" spans="2:40" ht="15" customHeight="1">
      <c r="B15" s="24"/>
      <c r="C15" s="355"/>
      <c r="D15" s="355"/>
      <c r="E15" s="355"/>
      <c r="F15" s="355"/>
      <c r="G15" s="355"/>
      <c r="H15" s="356"/>
      <c r="I15" s="355"/>
      <c r="J15" s="355"/>
      <c r="K15" s="355"/>
      <c r="L15" s="355"/>
      <c r="M15" s="355"/>
      <c r="N15" s="355"/>
      <c r="O15" s="356" t="s">
        <v>366</v>
      </c>
      <c r="P15" s="355"/>
      <c r="Q15" s="355"/>
      <c r="R15" s="355"/>
      <c r="S15" s="355"/>
      <c r="T15" s="355"/>
      <c r="U15" s="355"/>
      <c r="V15" s="356"/>
      <c r="W15" s="355"/>
      <c r="X15" s="355"/>
      <c r="Y15" s="355"/>
      <c r="Z15" s="355"/>
      <c r="AA15" s="355"/>
      <c r="AB15" s="355"/>
      <c r="AC15" s="356"/>
      <c r="AD15" s="355"/>
      <c r="AE15" s="355"/>
      <c r="AF15" s="355"/>
      <c r="AG15" s="357"/>
      <c r="AH15" s="296"/>
      <c r="AI15" s="385"/>
      <c r="AJ15" s="385"/>
      <c r="AK15" s="385"/>
      <c r="AL15" s="385"/>
      <c r="AM15" s="385"/>
      <c r="AN15" s="385"/>
    </row>
    <row r="16" spans="2:40" ht="15" customHeight="1">
      <c r="B16" s="23" t="s">
        <v>78</v>
      </c>
      <c r="C16" s="349"/>
      <c r="D16" s="349"/>
      <c r="E16" s="349"/>
      <c r="F16" s="349"/>
      <c r="G16" s="349"/>
      <c r="H16" s="350"/>
      <c r="I16" s="349"/>
      <c r="J16" s="349"/>
      <c r="K16" s="349"/>
      <c r="L16" s="349"/>
      <c r="M16" s="349"/>
      <c r="N16" s="349"/>
      <c r="O16" s="350"/>
      <c r="P16" s="349"/>
      <c r="Q16" s="349"/>
      <c r="R16" s="349"/>
      <c r="S16" s="349"/>
      <c r="T16" s="349"/>
      <c r="U16" s="349"/>
      <c r="V16" s="350"/>
      <c r="W16" s="349"/>
      <c r="X16" s="349"/>
      <c r="Y16" s="349"/>
      <c r="Z16" s="349"/>
      <c r="AA16" s="349"/>
      <c r="AB16" s="349"/>
      <c r="AC16" s="350"/>
      <c r="AD16" s="349"/>
      <c r="AE16" s="349"/>
      <c r="AF16" s="349"/>
      <c r="AG16" s="351"/>
      <c r="AH16" s="293" t="s">
        <v>78</v>
      </c>
      <c r="AI16" s="385"/>
      <c r="AJ16" s="385"/>
      <c r="AK16" s="385"/>
      <c r="AL16" s="385"/>
      <c r="AM16" s="385"/>
      <c r="AN16" s="385"/>
    </row>
    <row r="17" spans="1:40" ht="15" customHeight="1">
      <c r="B17" s="24"/>
      <c r="C17" s="355"/>
      <c r="D17" s="355"/>
      <c r="E17" s="355"/>
      <c r="F17" s="355"/>
      <c r="G17" s="355"/>
      <c r="H17" s="356"/>
      <c r="I17" s="355"/>
      <c r="J17" s="355"/>
      <c r="K17" s="355"/>
      <c r="L17" s="355"/>
      <c r="M17" s="355"/>
      <c r="N17" s="355"/>
      <c r="O17" s="356"/>
      <c r="P17" s="355"/>
      <c r="Q17" s="355"/>
      <c r="R17" s="355"/>
      <c r="S17" s="355"/>
      <c r="T17" s="355"/>
      <c r="U17" s="355"/>
      <c r="V17" s="356"/>
      <c r="W17" s="355"/>
      <c r="X17" s="355"/>
      <c r="Y17" s="355"/>
      <c r="Z17" s="355"/>
      <c r="AA17" s="355"/>
      <c r="AB17" s="355"/>
      <c r="AC17" s="356"/>
      <c r="AD17" s="355"/>
      <c r="AE17" s="355"/>
      <c r="AF17" s="355"/>
      <c r="AG17" s="357"/>
      <c r="AH17" s="296"/>
      <c r="AI17" s="385"/>
      <c r="AJ17" s="385"/>
      <c r="AK17" s="385"/>
      <c r="AL17" s="385"/>
      <c r="AM17" s="385"/>
      <c r="AN17" s="385"/>
    </row>
    <row r="18" spans="1:40" ht="15" customHeight="1">
      <c r="B18" s="23" t="s">
        <v>79</v>
      </c>
      <c r="C18" s="349"/>
      <c r="D18" s="349"/>
      <c r="E18" s="349"/>
      <c r="F18" s="349"/>
      <c r="G18" s="349"/>
      <c r="H18" s="350"/>
      <c r="I18" s="349"/>
      <c r="J18" s="349"/>
      <c r="K18" s="349"/>
      <c r="L18" s="349"/>
      <c r="M18" s="349"/>
      <c r="N18" s="349"/>
      <c r="O18" s="350"/>
      <c r="P18" s="349"/>
      <c r="Q18" s="349"/>
      <c r="R18" s="349"/>
      <c r="S18" s="349" t="s">
        <v>367</v>
      </c>
      <c r="T18" s="349"/>
      <c r="U18" s="349"/>
      <c r="V18" s="350"/>
      <c r="W18" s="349"/>
      <c r="X18" s="349"/>
      <c r="Y18" s="349"/>
      <c r="Z18" s="349"/>
      <c r="AA18" s="349"/>
      <c r="AB18" s="349"/>
      <c r="AC18" s="350"/>
      <c r="AD18" s="349"/>
      <c r="AE18" s="349"/>
      <c r="AF18" s="349" t="s">
        <v>368</v>
      </c>
      <c r="AG18" s="351"/>
      <c r="AH18" s="293" t="s">
        <v>79</v>
      </c>
      <c r="AI18" s="385"/>
      <c r="AJ18" s="385"/>
      <c r="AK18" s="385"/>
      <c r="AL18" s="385"/>
      <c r="AM18" s="385"/>
      <c r="AN18" s="385"/>
    </row>
    <row r="19" spans="1:40" ht="15" customHeight="1">
      <c r="B19" s="24"/>
      <c r="C19" s="355"/>
      <c r="D19" s="355"/>
      <c r="E19" s="355"/>
      <c r="F19" s="355"/>
      <c r="G19" s="355"/>
      <c r="H19" s="356"/>
      <c r="I19" s="355"/>
      <c r="J19" s="355"/>
      <c r="K19" s="355"/>
      <c r="L19" s="355"/>
      <c r="M19" s="355"/>
      <c r="N19" s="355"/>
      <c r="O19" s="356"/>
      <c r="P19" s="355"/>
      <c r="Q19" s="355"/>
      <c r="R19" s="355"/>
      <c r="S19" s="355"/>
      <c r="T19" s="355"/>
      <c r="U19" s="355"/>
      <c r="V19" s="356"/>
      <c r="W19" s="355"/>
      <c r="X19" s="355"/>
      <c r="Y19" s="355"/>
      <c r="Z19" s="355"/>
      <c r="AA19" s="355"/>
      <c r="AB19" s="355"/>
      <c r="AC19" s="356"/>
      <c r="AD19" s="355"/>
      <c r="AE19" s="355"/>
      <c r="AF19" s="355" t="s">
        <v>369</v>
      </c>
      <c r="AG19" s="357"/>
      <c r="AH19" s="296"/>
      <c r="AI19" s="385"/>
      <c r="AJ19" s="385"/>
      <c r="AK19" s="385"/>
      <c r="AL19" s="385"/>
      <c r="AM19" s="385"/>
      <c r="AN19" s="385"/>
    </row>
    <row r="20" spans="1:40" ht="15" customHeight="1">
      <c r="B20" s="23" t="s">
        <v>83</v>
      </c>
      <c r="C20" s="349"/>
      <c r="D20" s="349"/>
      <c r="E20" s="349"/>
      <c r="F20" s="349"/>
      <c r="G20" s="349"/>
      <c r="H20" s="350"/>
      <c r="I20" s="349"/>
      <c r="J20" s="349"/>
      <c r="K20" s="349"/>
      <c r="L20" s="349"/>
      <c r="M20" s="349"/>
      <c r="N20" s="349"/>
      <c r="O20" s="350"/>
      <c r="P20" s="349"/>
      <c r="Q20" s="349"/>
      <c r="R20" s="349"/>
      <c r="S20" s="349"/>
      <c r="T20" s="349"/>
      <c r="U20" s="349"/>
      <c r="V20" s="350"/>
      <c r="W20" s="349"/>
      <c r="X20" s="349"/>
      <c r="Y20" s="349"/>
      <c r="Z20" s="349"/>
      <c r="AA20" s="349"/>
      <c r="AB20" s="349"/>
      <c r="AC20" s="350"/>
      <c r="AD20" s="349"/>
      <c r="AE20" s="349"/>
      <c r="AF20" s="349"/>
      <c r="AG20" s="351"/>
      <c r="AH20" s="293" t="s">
        <v>83</v>
      </c>
      <c r="AI20" s="385"/>
      <c r="AJ20" s="385"/>
      <c r="AK20" s="385"/>
      <c r="AL20" s="385"/>
      <c r="AM20" s="385"/>
      <c r="AN20" s="385"/>
    </row>
    <row r="21" spans="1:40" ht="15" customHeight="1">
      <c r="B21" s="24"/>
      <c r="C21" s="355"/>
      <c r="D21" s="355"/>
      <c r="E21" s="355"/>
      <c r="F21" s="355"/>
      <c r="G21" s="355"/>
      <c r="H21" s="356"/>
      <c r="I21" s="355"/>
      <c r="J21" s="355"/>
      <c r="K21" s="355"/>
      <c r="L21" s="355"/>
      <c r="M21" s="355"/>
      <c r="N21" s="355"/>
      <c r="O21" s="356"/>
      <c r="P21" s="355"/>
      <c r="Q21" s="355"/>
      <c r="R21" s="355"/>
      <c r="S21" s="355"/>
      <c r="T21" s="355"/>
      <c r="U21" s="355"/>
      <c r="V21" s="356"/>
      <c r="W21" s="355"/>
      <c r="X21" s="355"/>
      <c r="Y21" s="355"/>
      <c r="Z21" s="355"/>
      <c r="AA21" s="355"/>
      <c r="AB21" s="355"/>
      <c r="AC21" s="356"/>
      <c r="AD21" s="355"/>
      <c r="AE21" s="355"/>
      <c r="AF21" s="355"/>
      <c r="AG21" s="357"/>
      <c r="AH21" s="296"/>
      <c r="AI21" s="385"/>
      <c r="AJ21" s="385"/>
      <c r="AK21" s="385"/>
      <c r="AL21" s="385"/>
      <c r="AM21" s="385"/>
      <c r="AN21" s="385"/>
    </row>
    <row r="22" spans="1:40" ht="15" customHeight="1">
      <c r="B22" s="23" t="s">
        <v>37</v>
      </c>
      <c r="C22" s="349"/>
      <c r="D22" s="349"/>
      <c r="E22" s="349"/>
      <c r="F22" s="349"/>
      <c r="G22" s="349"/>
      <c r="H22" s="350"/>
      <c r="I22" s="349" t="s">
        <v>370</v>
      </c>
      <c r="J22" s="349"/>
      <c r="K22" s="349"/>
      <c r="L22" s="349"/>
      <c r="M22" s="349"/>
      <c r="N22" s="349"/>
      <c r="O22" s="350"/>
      <c r="P22" s="349"/>
      <c r="Q22" s="349" t="s">
        <v>384</v>
      </c>
      <c r="R22" s="349" t="s">
        <v>371</v>
      </c>
      <c r="S22" s="349"/>
      <c r="T22" s="349"/>
      <c r="U22" s="349"/>
      <c r="V22" s="350"/>
      <c r="W22" s="349"/>
      <c r="X22" s="349"/>
      <c r="Y22" s="349"/>
      <c r="Z22" s="349"/>
      <c r="AA22" s="349"/>
      <c r="AB22" s="349"/>
      <c r="AC22" s="350"/>
      <c r="AD22" s="349" t="s">
        <v>370</v>
      </c>
      <c r="AE22" s="349"/>
      <c r="AF22" s="349"/>
      <c r="AG22" s="351"/>
      <c r="AH22" s="293" t="s">
        <v>37</v>
      </c>
      <c r="AI22" s="385"/>
      <c r="AJ22" s="385"/>
      <c r="AK22" s="385"/>
      <c r="AL22" s="385"/>
      <c r="AM22" s="385"/>
      <c r="AN22" s="385"/>
    </row>
    <row r="23" spans="1:40" ht="15" customHeight="1">
      <c r="B23" s="24"/>
      <c r="C23" s="355"/>
      <c r="D23" s="355"/>
      <c r="E23" s="355"/>
      <c r="F23" s="355"/>
      <c r="G23" s="355"/>
      <c r="H23" s="356"/>
      <c r="I23" s="355" t="s">
        <v>372</v>
      </c>
      <c r="J23" s="355"/>
      <c r="K23" s="355"/>
      <c r="L23" s="355"/>
      <c r="M23" s="355"/>
      <c r="N23" s="355"/>
      <c r="O23" s="356"/>
      <c r="P23" s="355"/>
      <c r="Q23" s="355"/>
      <c r="R23" s="355"/>
      <c r="S23" s="355"/>
      <c r="T23" s="355"/>
      <c r="U23" s="355"/>
      <c r="V23" s="356"/>
      <c r="W23" s="355"/>
      <c r="X23" s="355"/>
      <c r="Y23" s="355"/>
      <c r="Z23" s="355"/>
      <c r="AA23" s="355"/>
      <c r="AB23" s="355"/>
      <c r="AC23" s="356"/>
      <c r="AD23" s="355" t="s">
        <v>372</v>
      </c>
      <c r="AE23" s="355"/>
      <c r="AF23" s="355"/>
      <c r="AG23" s="357"/>
      <c r="AH23" s="296"/>
      <c r="AI23" s="385"/>
      <c r="AJ23" s="385"/>
      <c r="AK23" s="385"/>
      <c r="AL23" s="385"/>
      <c r="AM23" s="385"/>
      <c r="AN23" s="385"/>
    </row>
    <row r="24" spans="1:40" ht="15" customHeight="1">
      <c r="B24" s="23"/>
      <c r="C24" s="349"/>
      <c r="D24" s="349"/>
      <c r="E24" s="349"/>
      <c r="F24" s="349" t="s">
        <v>373</v>
      </c>
      <c r="G24" s="349"/>
      <c r="H24" s="350"/>
      <c r="I24" s="349"/>
      <c r="J24" s="349"/>
      <c r="K24" s="349"/>
      <c r="L24" s="349"/>
      <c r="M24" s="349" t="s">
        <v>373</v>
      </c>
      <c r="N24" s="349"/>
      <c r="O24" s="350"/>
      <c r="P24" s="349"/>
      <c r="Q24" s="349"/>
      <c r="R24" s="349"/>
      <c r="S24" s="349"/>
      <c r="T24" s="349" t="s">
        <v>373</v>
      </c>
      <c r="U24" s="349"/>
      <c r="V24" s="350"/>
      <c r="W24" s="349"/>
      <c r="X24" s="349"/>
      <c r="Y24" s="349"/>
      <c r="Z24" s="349"/>
      <c r="AA24" s="349" t="s">
        <v>373</v>
      </c>
      <c r="AB24" s="349"/>
      <c r="AC24" s="350"/>
      <c r="AD24" s="349"/>
      <c r="AE24" s="349"/>
      <c r="AF24" s="349"/>
      <c r="AG24" s="351"/>
      <c r="AH24" s="293"/>
      <c r="AI24" s="385"/>
      <c r="AJ24" s="385"/>
      <c r="AK24" s="385"/>
      <c r="AL24" s="385"/>
      <c r="AM24" s="385"/>
      <c r="AN24" s="385"/>
    </row>
    <row r="25" spans="1:40" ht="15" customHeight="1">
      <c r="B25" s="23" t="s">
        <v>42</v>
      </c>
      <c r="C25" s="349"/>
      <c r="D25" s="349"/>
      <c r="E25" s="349" t="s">
        <v>374</v>
      </c>
      <c r="F25" s="349" t="s">
        <v>363</v>
      </c>
      <c r="G25" s="349"/>
      <c r="H25" s="350"/>
      <c r="I25" s="349"/>
      <c r="J25" s="349"/>
      <c r="K25" s="349"/>
      <c r="L25" s="349"/>
      <c r="M25" s="349" t="s">
        <v>375</v>
      </c>
      <c r="N25" s="349"/>
      <c r="O25" s="350" t="s">
        <v>365</v>
      </c>
      <c r="P25" s="349"/>
      <c r="Q25" s="349"/>
      <c r="R25" s="349"/>
      <c r="S25" s="349"/>
      <c r="T25" s="349" t="s">
        <v>376</v>
      </c>
      <c r="U25" s="349"/>
      <c r="V25" s="350"/>
      <c r="W25" s="349"/>
      <c r="X25" s="349" t="s">
        <v>377</v>
      </c>
      <c r="Y25" s="349"/>
      <c r="Z25" s="349"/>
      <c r="AA25" s="349" t="s">
        <v>363</v>
      </c>
      <c r="AB25" s="349"/>
      <c r="AC25" s="350"/>
      <c r="AD25" s="349"/>
      <c r="AE25" s="349"/>
      <c r="AF25" s="349" t="s">
        <v>378</v>
      </c>
      <c r="AG25" s="351"/>
      <c r="AH25" s="293" t="s">
        <v>42</v>
      </c>
      <c r="AI25" s="385"/>
      <c r="AJ25" s="385"/>
      <c r="AK25" s="385"/>
      <c r="AL25" s="385"/>
      <c r="AM25" s="385"/>
      <c r="AN25" s="385"/>
    </row>
    <row r="26" spans="1:40" ht="15" customHeight="1">
      <c r="B26" s="430"/>
      <c r="C26" s="464"/>
      <c r="D26" s="464"/>
      <c r="E26" s="464" t="s">
        <v>379</v>
      </c>
      <c r="F26" s="464"/>
      <c r="G26" s="464"/>
      <c r="H26" s="465"/>
      <c r="I26" s="464"/>
      <c r="J26" s="464"/>
      <c r="K26" s="464"/>
      <c r="L26" s="464"/>
      <c r="M26" s="464"/>
      <c r="N26" s="464"/>
      <c r="O26" s="465" t="s">
        <v>366</v>
      </c>
      <c r="P26" s="464"/>
      <c r="Q26" s="464"/>
      <c r="R26" s="464"/>
      <c r="S26" s="464"/>
      <c r="T26" s="464" t="s">
        <v>380</v>
      </c>
      <c r="U26" s="464"/>
      <c r="V26" s="465"/>
      <c r="W26" s="464"/>
      <c r="X26" s="464" t="s">
        <v>381</v>
      </c>
      <c r="Y26" s="464"/>
      <c r="Z26" s="464"/>
      <c r="AA26" s="464" t="s">
        <v>382</v>
      </c>
      <c r="AB26" s="464"/>
      <c r="AC26" s="465"/>
      <c r="AD26" s="464"/>
      <c r="AE26" s="464" t="s">
        <v>383</v>
      </c>
      <c r="AF26" s="464" t="s">
        <v>369</v>
      </c>
      <c r="AG26" s="466"/>
      <c r="AH26" s="437"/>
      <c r="AI26" s="385"/>
      <c r="AJ26" s="385"/>
      <c r="AK26" s="385"/>
      <c r="AL26" s="385"/>
      <c r="AM26" s="385"/>
      <c r="AN26" s="385"/>
    </row>
    <row r="27" spans="1:40" ht="15" customHeight="1">
      <c r="A27" s="347">
        <f>COUNTIF(C27:AG27,"★★")</f>
        <v>4</v>
      </c>
      <c r="B27" s="518" t="str">
        <f>IF(一覧!B41="","",一覧!B41)</f>
        <v>河戸　将克</v>
      </c>
      <c r="C27" s="349" t="str">
        <f>IF(一覧!C41="","",一覧!C41)</f>
        <v>ミヤネ屋</v>
      </c>
      <c r="D27" s="349" t="str">
        <f>IF(一覧!D41="","",一覧!D41)</f>
        <v>年休</v>
      </c>
      <c r="E27" s="349" t="str">
        <f>IF(一覧!E41="","",一覧!E41)</f>
        <v>うさかめ</v>
      </c>
      <c r="F27" s="349" t="str">
        <f>IF(一覧!F41="","",一覧!F41)</f>
        <v>ミヤネ屋</v>
      </c>
      <c r="G27" s="349" t="str">
        <f>IF(一覧!G41="","",一覧!G41)</f>
        <v>じゅっと</v>
      </c>
      <c r="H27" s="350" t="str">
        <f>IF(一覧!H41="","",一覧!H41)</f>
        <v>★</v>
      </c>
      <c r="I27" s="349" t="str">
        <f>IF(一覧!I41="","",一覧!I41)</f>
        <v>★★</v>
      </c>
      <c r="J27" s="349" t="str">
        <f>IF(一覧!J41="","",一覧!J41)</f>
        <v>ミヤネ屋</v>
      </c>
      <c r="K27" s="349" t="str">
        <f>IF(一覧!K41="","",一覧!K41)</f>
        <v>ミヤネ屋</v>
      </c>
      <c r="L27" s="349" t="str">
        <f>IF(一覧!L41="","",一覧!L41)</f>
        <v/>
      </c>
      <c r="M27" s="349" t="str">
        <f>IF(一覧!M41="","",一覧!M41)</f>
        <v>年休</v>
      </c>
      <c r="N27" s="349" t="str">
        <f>IF(一覧!N41="","",一覧!N41)</f>
        <v>ミヤネ屋</v>
      </c>
      <c r="O27" s="350" t="str">
        <f>IF(一覧!O41="","",一覧!O41)</f>
        <v>クギズケ</v>
      </c>
      <c r="P27" s="349" t="str">
        <f>IF(一覧!P41="","",一覧!P41)</f>
        <v>★★</v>
      </c>
      <c r="Q27" s="349" t="str">
        <f>IF(一覧!Q41="","",一覧!Q41)</f>
        <v>土ダメ</v>
      </c>
      <c r="R27" s="349" t="str">
        <f>IF(一覧!R41="","",一覧!R41)</f>
        <v>電波</v>
      </c>
      <c r="S27" s="349" t="str">
        <f>IF(一覧!S41="","",一覧!S41)</f>
        <v>読響</v>
      </c>
      <c r="T27" s="349" t="str">
        <f>IF(一覧!T41="","",一覧!T41)</f>
        <v>★</v>
      </c>
      <c r="U27" s="349" t="str">
        <f>IF(一覧!U41="","",一覧!U41)</f>
        <v>ミヤネ屋</v>
      </c>
      <c r="V27" s="350" t="str">
        <f>IF(一覧!V41="","",一覧!V41)</f>
        <v>★</v>
      </c>
      <c r="W27" s="349" t="str">
        <f>IF(一覧!W41="","",一覧!W41)</f>
        <v>★★</v>
      </c>
      <c r="X27" s="349" t="str">
        <f>IF(一覧!X41="","",一覧!X41)</f>
        <v>じゅっと</v>
      </c>
      <c r="Y27" s="349" t="str">
        <f>IF(一覧!Y41="","",一覧!Y41)</f>
        <v>ミヤネ屋</v>
      </c>
      <c r="Z27" s="349" t="str">
        <f>IF(一覧!Z41="","",一覧!Z41)</f>
        <v>ミヤネ屋</v>
      </c>
      <c r="AA27" s="349" t="str">
        <f>IF(一覧!AA41="","",一覧!AA41)</f>
        <v>ミヤネ屋</v>
      </c>
      <c r="AB27" s="349" t="str">
        <f>IF(一覧!AB41="","",一覧!AB41)</f>
        <v/>
      </c>
      <c r="AC27" s="350" t="str">
        <f>IF(一覧!AC41="","",一覧!AC41)</f>
        <v>★</v>
      </c>
      <c r="AD27" s="349" t="str">
        <f>IF(一覧!AD41="","",一覧!AD41)</f>
        <v>★★</v>
      </c>
      <c r="AE27" s="349" t="str">
        <f>IF(一覧!AE41="","",一覧!AE41)</f>
        <v>土ダメ</v>
      </c>
      <c r="AF27" s="349" t="str">
        <f>IF(一覧!AF41="","",一覧!AF41)</f>
        <v>ミヤネ屋</v>
      </c>
      <c r="AG27" s="351" t="str">
        <f>IF(一覧!AG41="","",一覧!AG41)</f>
        <v/>
      </c>
      <c r="AH27" s="519" t="str">
        <f>IF(一覧!AH41="","",一覧!AH41)</f>
        <v>河戸</v>
      </c>
      <c r="AI27" s="385"/>
      <c r="AJ27" s="385"/>
      <c r="AK27" s="385"/>
      <c r="AL27" s="385"/>
      <c r="AM27" s="385"/>
      <c r="AN27" s="385"/>
    </row>
    <row r="28" spans="1:40" ht="15" customHeight="1">
      <c r="A28" s="347">
        <f>COUNTIF(C27:AG27,"★")</f>
        <v>4</v>
      </c>
      <c r="B28" s="303" t="str">
        <f>IF(一覧!B42="","",一覧!B42)</f>
        <v/>
      </c>
      <c r="C28" s="355" t="str">
        <f>IF(一覧!C42="","",一覧!C42)</f>
        <v>ＬＤ</v>
      </c>
      <c r="D28" s="355" t="str">
        <f>IF(一覧!D42="","",一覧!D42)</f>
        <v/>
      </c>
      <c r="E28" s="355" t="str">
        <f>IF(一覧!E42="","",一覧!E42)</f>
        <v>ＬＤ</v>
      </c>
      <c r="F28" s="355" t="str">
        <f>IF(一覧!F42="","",一覧!F42)</f>
        <v>ＬＤ</v>
      </c>
      <c r="G28" s="355" t="str">
        <f>IF(一覧!G42="","",一覧!G42)</f>
        <v>ＬＤ</v>
      </c>
      <c r="H28" s="356" t="str">
        <f>IF(一覧!H42="","",一覧!H42)</f>
        <v/>
      </c>
      <c r="I28" s="355" t="str">
        <f>IF(一覧!I42="","",一覧!I42)</f>
        <v/>
      </c>
      <c r="J28" s="355" t="str">
        <f>IF(一覧!J42="","",一覧!J42)</f>
        <v>ＬＤ</v>
      </c>
      <c r="K28" s="355" t="str">
        <f>IF(一覧!K42="","",一覧!K42)</f>
        <v>ＬＤ</v>
      </c>
      <c r="L28" s="355" t="str">
        <f>IF(一覧!L42="","",一覧!L42)</f>
        <v>照明G</v>
      </c>
      <c r="M28" s="355" t="str">
        <f>IF(一覧!M42="","",一覧!M42)</f>
        <v/>
      </c>
      <c r="N28" s="355" t="str">
        <f>IF(一覧!N42="","",一覧!N42)</f>
        <v>ＬＤ</v>
      </c>
      <c r="O28" s="356" t="str">
        <f>IF(一覧!O42="","",一覧!O42)</f>
        <v>ＴＤ.LD</v>
      </c>
      <c r="P28" s="355" t="str">
        <f>IF(一覧!P42="","",一覧!P42)</f>
        <v/>
      </c>
      <c r="Q28" s="355" t="str">
        <f>IF(一覧!Q42="","",一覧!Q42)</f>
        <v>ＴＤ.LD</v>
      </c>
      <c r="R28" s="355" t="str">
        <f>IF(一覧!R42="","",一覧!R42)</f>
        <v/>
      </c>
      <c r="S28" s="355" t="str">
        <f>IF(一覧!S42="","",一覧!S42)</f>
        <v>ＬＤ</v>
      </c>
      <c r="T28" s="355" t="str">
        <f>IF(一覧!T42="","",一覧!T42)</f>
        <v/>
      </c>
      <c r="U28" s="355" t="str">
        <f>IF(一覧!U42="","",一覧!U42)</f>
        <v>ＬＤ</v>
      </c>
      <c r="V28" s="356" t="str">
        <f>IF(一覧!V42="","",一覧!V42)</f>
        <v/>
      </c>
      <c r="W28" s="355" t="str">
        <f>IF(一覧!W42="","",一覧!W42)</f>
        <v/>
      </c>
      <c r="X28" s="355" t="str">
        <f>IF(一覧!X42="","",一覧!X42)</f>
        <v>ＬＤ</v>
      </c>
      <c r="Y28" s="355" t="str">
        <f>IF(一覧!Y42="","",一覧!Y42)</f>
        <v>ＬＤ</v>
      </c>
      <c r="Z28" s="355" t="str">
        <f>IF(一覧!Z42="","",一覧!Z42)</f>
        <v>ＬＤ</v>
      </c>
      <c r="AA28" s="355" t="str">
        <f>IF(一覧!AA42="","",一覧!AA42)</f>
        <v>ＬＤ</v>
      </c>
      <c r="AB28" s="355" t="str">
        <f>IF(一覧!AB42="","",一覧!AB42)</f>
        <v>技術会議</v>
      </c>
      <c r="AC28" s="356" t="str">
        <f>IF(一覧!AC42="","",一覧!AC42)</f>
        <v/>
      </c>
      <c r="AD28" s="355" t="str">
        <f>IF(一覧!AD42="","",一覧!AD42)</f>
        <v/>
      </c>
      <c r="AE28" s="355" t="str">
        <f>IF(一覧!AE42="","",一覧!AE42)</f>
        <v>ＴＤ.LD</v>
      </c>
      <c r="AF28" s="355" t="str">
        <f>IF(一覧!AF42="","",一覧!AF42)</f>
        <v>ＬＤ</v>
      </c>
      <c r="AG28" s="357" t="str">
        <f>IF(一覧!AG42="","",一覧!AG42)</f>
        <v/>
      </c>
      <c r="AH28" s="304" t="str">
        <f>IF(一覧!AH42="","",一覧!AH42)</f>
        <v/>
      </c>
      <c r="AI28" s="385"/>
      <c r="AJ28" s="385"/>
      <c r="AK28" s="385"/>
      <c r="AL28" s="385"/>
      <c r="AM28" s="385"/>
      <c r="AN28" s="385"/>
    </row>
    <row r="29" spans="1:40" ht="15" customHeight="1">
      <c r="A29" s="347">
        <f>COUNTIF(C29:AG29,"★★")</f>
        <v>4</v>
      </c>
      <c r="B29" s="518" t="str">
        <f>IF(一覧!B53="","",一覧!B53)</f>
        <v>窪田　和弘</v>
      </c>
      <c r="C29" s="349" t="str">
        <f>IF(一覧!C53="","",一覧!C53)</f>
        <v>木ドラ</v>
      </c>
      <c r="D29" s="349" t="str">
        <f>IF(一覧!D53="","",一覧!D53)</f>
        <v>代休</v>
      </c>
      <c r="E29" s="349" t="str">
        <f>IF(一覧!E53="","",一覧!E53)</f>
        <v>代休</v>
      </c>
      <c r="F29" s="349" t="str">
        <f>IF(一覧!F53="","",一覧!F53)</f>
        <v/>
      </c>
      <c r="G29" s="349" t="str">
        <f>IF(一覧!G53="","",一覧!G53)</f>
        <v>吉田粗品</v>
      </c>
      <c r="H29" s="350" t="str">
        <f>IF(一覧!H53="","",一覧!H53)</f>
        <v>ジグザグ</v>
      </c>
      <c r="I29" s="349" t="str">
        <f>IF(一覧!I53="","",一覧!I53)</f>
        <v>★★</v>
      </c>
      <c r="J29" s="349" t="str">
        <f>IF(一覧!J53="","",一覧!J53)</f>
        <v>★</v>
      </c>
      <c r="K29" s="349" t="str">
        <f>IF(一覧!K53="","",一覧!K53)</f>
        <v>年休</v>
      </c>
      <c r="L29" s="349" t="str">
        <f>IF(一覧!L53="","",一覧!L53)</f>
        <v>声</v>
      </c>
      <c r="M29" s="349" t="str">
        <f>IF(一覧!M53="","",一覧!M53)</f>
        <v>ミヤネ屋</v>
      </c>
      <c r="N29" s="349" t="str">
        <f>IF(一覧!N53="","",一覧!N53)</f>
        <v>じゅっと</v>
      </c>
      <c r="O29" s="350" t="str">
        <f>IF(一覧!O53="","",一覧!O53)</f>
        <v>ジグザグ</v>
      </c>
      <c r="P29" s="349" t="str">
        <f>IF(一覧!P53="","",一覧!P53)</f>
        <v>★★</v>
      </c>
      <c r="Q29" s="349" t="str">
        <f>IF(一覧!Q53="","",一覧!Q53)</f>
        <v>ミヤネ屋</v>
      </c>
      <c r="R29" s="349" t="str">
        <f>IF(一覧!R53="","",一覧!R53)</f>
        <v>ミヤネ屋</v>
      </c>
      <c r="S29" s="349" t="str">
        <f>IF(一覧!S53="","",一覧!S53)</f>
        <v>ミヤネ屋</v>
      </c>
      <c r="T29" s="349" t="str">
        <f>IF(一覧!T53="","",一覧!T53)</f>
        <v>吉田粗品</v>
      </c>
      <c r="U29" s="349" t="str">
        <f>IF(一覧!U53="","",一覧!U53)</f>
        <v>★</v>
      </c>
      <c r="V29" s="350" t="str">
        <f>IF(一覧!V53="","",一覧!V53)</f>
        <v>ジグザグ</v>
      </c>
      <c r="W29" s="349" t="str">
        <f>IF(一覧!W53="","",一覧!W53)</f>
        <v>★★</v>
      </c>
      <c r="X29" s="349" t="str">
        <f>IF(一覧!X53="","",一覧!X53)</f>
        <v>ノビしろ</v>
      </c>
      <c r="Y29" s="349" t="str">
        <f>IF(一覧!Y53="","",一覧!Y53)</f>
        <v>★</v>
      </c>
      <c r="Z29" s="349" t="str">
        <f>IF(一覧!Z53="","",一覧!Z53)</f>
        <v>年休</v>
      </c>
      <c r="AA29" s="349" t="str">
        <f>IF(一覧!AA53="","",一覧!AA53)</f>
        <v>年休</v>
      </c>
      <c r="AB29" s="349" t="str">
        <f>IF(一覧!AB53="","",一覧!AB53)</f>
        <v>じゅっと</v>
      </c>
      <c r="AC29" s="350" t="str">
        <f>IF(一覧!AC53="","",一覧!AC53)</f>
        <v>★</v>
      </c>
      <c r="AD29" s="349" t="str">
        <f>IF(一覧!AD53="","",一覧!AD53)</f>
        <v>★★</v>
      </c>
      <c r="AE29" s="349" t="str">
        <f>IF(一覧!AE53="","",一覧!AE53)</f>
        <v>年休</v>
      </c>
      <c r="AF29" s="349" t="str">
        <f>IF(一覧!AF53="","",一覧!AF53)</f>
        <v>年休</v>
      </c>
      <c r="AG29" s="351" t="str">
        <f>IF(一覧!AG53="","",一覧!AG53)</f>
        <v/>
      </c>
      <c r="AH29" s="519" t="str">
        <f>IF(一覧!AH53="","",一覧!AH53)</f>
        <v>窪田</v>
      </c>
      <c r="AI29" s="385"/>
      <c r="AJ29" s="385"/>
      <c r="AK29" s="385"/>
      <c r="AL29" s="385"/>
      <c r="AM29" s="385"/>
      <c r="AN29" s="385"/>
    </row>
    <row r="30" spans="1:40" ht="15" customHeight="1">
      <c r="A30" s="347">
        <f>COUNTIF(C29:AG29,"★")</f>
        <v>4</v>
      </c>
      <c r="B30" s="303" t="str">
        <f>IF(一覧!B54="","",一覧!B54)</f>
        <v/>
      </c>
      <c r="C30" s="355" t="str">
        <f>IF(一覧!C54="","",一覧!C54)</f>
        <v>ＬＤ</v>
      </c>
      <c r="D30" s="355" t="str">
        <f>IF(一覧!D54="","",一覧!D54)</f>
        <v>5/30分</v>
      </c>
      <c r="E30" s="355" t="str">
        <f>IF(一覧!E54="","",一覧!E54)</f>
        <v>5/31分</v>
      </c>
      <c r="F30" s="355" t="str">
        <f>IF(一覧!F54="","",一覧!F54)</f>
        <v/>
      </c>
      <c r="G30" s="355" t="str">
        <f>IF(一覧!G54="","",一覧!G54)</f>
        <v>ＬＤ</v>
      </c>
      <c r="H30" s="356" t="str">
        <f>IF(一覧!H54="","",一覧!H54)</f>
        <v>ＬＤ</v>
      </c>
      <c r="I30" s="355" t="str">
        <f>IF(一覧!I54="","",一覧!I54)</f>
        <v/>
      </c>
      <c r="J30" s="355" t="str">
        <f>IF(一覧!J54="","",一覧!J54)</f>
        <v/>
      </c>
      <c r="K30" s="355" t="str">
        <f>IF(一覧!K54="","",一覧!K54)</f>
        <v/>
      </c>
      <c r="L30" s="355" t="str">
        <f>IF(一覧!L54="","",一覧!L54)</f>
        <v>ＴＤ.LD</v>
      </c>
      <c r="M30" s="355" t="str">
        <f>IF(一覧!M54="","",一覧!M54)</f>
        <v>ＬＤ</v>
      </c>
      <c r="N30" s="355" t="str">
        <f>IF(一覧!N54="","",一覧!N54)</f>
        <v>ＬＤ</v>
      </c>
      <c r="O30" s="356" t="str">
        <f>IF(一覧!O54="","",一覧!O54)</f>
        <v>ＬＤ</v>
      </c>
      <c r="P30" s="355" t="str">
        <f>IF(一覧!P54="","",一覧!P54)</f>
        <v/>
      </c>
      <c r="Q30" s="355" t="str">
        <f>IF(一覧!Q54="","",一覧!Q54)</f>
        <v>ＬＤ</v>
      </c>
      <c r="R30" s="355" t="str">
        <f>IF(一覧!R54="","",一覧!R54)</f>
        <v>ＬＤ</v>
      </c>
      <c r="S30" s="355" t="str">
        <f>IF(一覧!S54="","",一覧!S54)</f>
        <v>ＬＤ</v>
      </c>
      <c r="T30" s="355" t="str">
        <f>IF(一覧!T54="","",一覧!T54)</f>
        <v>ＬＤ</v>
      </c>
      <c r="U30" s="355" t="str">
        <f>IF(一覧!U54="","",一覧!U54)</f>
        <v/>
      </c>
      <c r="V30" s="356" t="str">
        <f>IF(一覧!V54="","",一覧!V54)</f>
        <v>ＬＤ</v>
      </c>
      <c r="W30" s="355" t="str">
        <f>IF(一覧!W54="","",一覧!W54)</f>
        <v/>
      </c>
      <c r="X30" s="355" t="str">
        <f>IF(一覧!X54="","",一覧!X54)</f>
        <v>ＬＤ</v>
      </c>
      <c r="Y30" s="355" t="str">
        <f>IF(一覧!Y54="","",一覧!Y54)</f>
        <v/>
      </c>
      <c r="Z30" s="355" t="str">
        <f>IF(一覧!Z54="","",一覧!Z54)</f>
        <v/>
      </c>
      <c r="AA30" s="355" t="str">
        <f>IF(一覧!AA54="","",一覧!AA54)</f>
        <v/>
      </c>
      <c r="AB30" s="355" t="str">
        <f>IF(一覧!AB54="","",一覧!AB54)</f>
        <v>ＬＤ</v>
      </c>
      <c r="AC30" s="356" t="str">
        <f>IF(一覧!AC54="","",一覧!AC54)</f>
        <v/>
      </c>
      <c r="AD30" s="355" t="str">
        <f>IF(一覧!AD54="","",一覧!AD54)</f>
        <v/>
      </c>
      <c r="AE30" s="355" t="str">
        <f>IF(一覧!AE54="","",一覧!AE54)</f>
        <v/>
      </c>
      <c r="AF30" s="355" t="str">
        <f>IF(一覧!AF54="","",一覧!AF54)</f>
        <v/>
      </c>
      <c r="AG30" s="357" t="str">
        <f>IF(一覧!AG54="","",一覧!AG54)</f>
        <v/>
      </c>
      <c r="AH30" s="304" t="str">
        <f>IF(一覧!AH54="","",一覧!AH54)</f>
        <v/>
      </c>
      <c r="AI30" s="385"/>
      <c r="AJ30" s="385"/>
      <c r="AK30" s="385"/>
      <c r="AL30" s="385"/>
      <c r="AM30" s="385"/>
      <c r="AN30" s="385"/>
    </row>
    <row r="31" spans="1:40" ht="15" customHeight="1">
      <c r="A31" s="347">
        <f>COUNTIF(C31:AG31,"★★")</f>
        <v>4</v>
      </c>
      <c r="B31" s="518" t="str">
        <f>IF(一覧!B61="","",一覧!B61)</f>
        <v>堂免　高志</v>
      </c>
      <c r="C31" s="349" t="str">
        <f>IF(一覧!C61="","",一覧!C61)</f>
        <v>ミヤネ屋</v>
      </c>
      <c r="D31" s="349" t="str">
        <f>IF(一覧!D61="","",一覧!D61)</f>
        <v>マスター</v>
      </c>
      <c r="E31" s="349" t="str">
        <f>IF(一覧!E61="","",一覧!E61)</f>
        <v>マスター</v>
      </c>
      <c r="F31" s="349" t="str">
        <f>IF(一覧!F61="","",一覧!F61)</f>
        <v>ミヤネ屋</v>
      </c>
      <c r="G31" s="349" t="str">
        <f>IF(一覧!G61="","",一覧!G61)</f>
        <v>マスター</v>
      </c>
      <c r="H31" s="350" t="str">
        <f>IF(一覧!H61="","",一覧!H61)</f>
        <v>★</v>
      </c>
      <c r="I31" s="349" t="str">
        <f>IF(一覧!I61="","",一覧!I61)</f>
        <v>★★</v>
      </c>
      <c r="J31" s="349" t="str">
        <f>IF(一覧!J61="","",一覧!J61)</f>
        <v>年休</v>
      </c>
      <c r="K31" s="349" t="str">
        <f>IF(一覧!K61="","",一覧!K61)</f>
        <v>ほんわか</v>
      </c>
      <c r="L31" s="349" t="str">
        <f>IF(一覧!L61="","",一覧!L61)</f>
        <v/>
      </c>
      <c r="M31" s="349" t="str">
        <f>IF(一覧!M61="","",一覧!M61)</f>
        <v>音道楽</v>
      </c>
      <c r="N31" s="349" t="str">
        <f>IF(一覧!N61="","",一覧!N61)</f>
        <v>委員会</v>
      </c>
      <c r="O31" s="350" t="str">
        <f>IF(一覧!O61="","",一覧!O61)</f>
        <v>マスター</v>
      </c>
      <c r="P31" s="349" t="str">
        <f>IF(一覧!P61="","",一覧!P61)</f>
        <v>★★</v>
      </c>
      <c r="Q31" s="349" t="str">
        <f>IF(一覧!Q61="","",一覧!Q61)</f>
        <v>★</v>
      </c>
      <c r="R31" s="349" t="str">
        <f>IF(一覧!R61="","",一覧!R61)</f>
        <v>マスター</v>
      </c>
      <c r="S31" s="349" t="str">
        <f>IF(一覧!S61="","",一覧!S61)</f>
        <v>マスター</v>
      </c>
      <c r="T31" s="349" t="str">
        <f>IF(一覧!T61="","",一覧!T61)</f>
        <v>マスター</v>
      </c>
      <c r="U31" s="349" t="str">
        <f>IF(一覧!U61="","",一覧!U61)</f>
        <v>ミヤネ屋</v>
      </c>
      <c r="V31" s="350" t="str">
        <f>IF(一覧!V61="","",一覧!V61)</f>
        <v>★</v>
      </c>
      <c r="W31" s="349" t="str">
        <f>IF(一覧!W61="","",一覧!W61)</f>
        <v>★★</v>
      </c>
      <c r="X31" s="349" t="str">
        <f>IF(一覧!X61="","",一覧!X61)</f>
        <v>音道楽</v>
      </c>
      <c r="Y31" s="349" t="str">
        <f>IF(一覧!Y61="","",一覧!Y61)</f>
        <v>マスター</v>
      </c>
      <c r="Z31" s="349" t="str">
        <f>IF(一覧!Z61="","",一覧!Z61)</f>
        <v>マスター</v>
      </c>
      <c r="AA31" s="349" t="str">
        <f>IF(一覧!AA61="","",一覧!AA61)</f>
        <v>人事配信</v>
      </c>
      <c r="AB31" s="349" t="str">
        <f>IF(一覧!AB61="","",一覧!AB61)</f>
        <v>代休</v>
      </c>
      <c r="AC31" s="350" t="str">
        <f>IF(一覧!AC61="","",一覧!AC61)</f>
        <v>★★</v>
      </c>
      <c r="AD31" s="349" t="str">
        <f>IF(一覧!AD61="","",一覧!AD61)</f>
        <v>地球便</v>
      </c>
      <c r="AE31" s="349" t="str">
        <f>IF(一覧!AE61="","",一覧!AE61)</f>
        <v>じゅっと</v>
      </c>
      <c r="AF31" s="349" t="str">
        <f>IF(一覧!AF61="","",一覧!AF61)</f>
        <v>★</v>
      </c>
      <c r="AG31" s="351" t="str">
        <f>IF(一覧!AG61="","",一覧!AG61)</f>
        <v/>
      </c>
      <c r="AH31" s="519" t="str">
        <f>IF(一覧!AH61="","",一覧!AH61)</f>
        <v>堂免</v>
      </c>
      <c r="AI31" s="385"/>
      <c r="AJ31" s="385"/>
      <c r="AK31" s="385"/>
      <c r="AL31" s="385"/>
      <c r="AM31" s="385"/>
      <c r="AN31" s="385"/>
    </row>
    <row r="32" spans="1:40" ht="15" customHeight="1">
      <c r="A32" s="347">
        <f>COUNTIF(C31:AG31,"★")</f>
        <v>4</v>
      </c>
      <c r="B32" s="303" t="str">
        <f>IF(一覧!B62="","",一覧!B62)</f>
        <v/>
      </c>
      <c r="C32" s="355" t="str">
        <f>IF(一覧!C62="","",一覧!C62)</f>
        <v>局会</v>
      </c>
      <c r="D32" s="355" t="str">
        <f>IF(一覧!D62="","",一覧!D62)</f>
        <v/>
      </c>
      <c r="E32" s="355" t="str">
        <f>IF(一覧!E62="","",一覧!E62)</f>
        <v/>
      </c>
      <c r="F32" s="355" t="str">
        <f>IF(一覧!F62="","",一覧!F62)</f>
        <v>LD'</v>
      </c>
      <c r="G32" s="355" t="str">
        <f>IF(一覧!G62="","",一覧!G62)</f>
        <v/>
      </c>
      <c r="H32" s="356" t="str">
        <f>IF(一覧!H62="","",一覧!H62)</f>
        <v/>
      </c>
      <c r="I32" s="355" t="str">
        <f>IF(一覧!I62="","",一覧!I62)</f>
        <v/>
      </c>
      <c r="J32" s="355" t="str">
        <f>IF(一覧!J62="","",一覧!J62)</f>
        <v/>
      </c>
      <c r="K32" s="355" t="str">
        <f>IF(一覧!K62="","",一覧!K62)</f>
        <v>LD'</v>
      </c>
      <c r="L32" s="355" t="str">
        <f>IF(一覧!L62="","",一覧!L62)</f>
        <v>照明G</v>
      </c>
      <c r="M32" s="355" t="str">
        <f>IF(一覧!M62="","",一覧!M62)</f>
        <v>LD'</v>
      </c>
      <c r="N32" s="355" t="str">
        <f>IF(一覧!N62="","",一覧!N62)</f>
        <v>LD'</v>
      </c>
      <c r="O32" s="356" t="str">
        <f>IF(一覧!O62="","",一覧!O62)</f>
        <v/>
      </c>
      <c r="P32" s="355" t="str">
        <f>IF(一覧!P62="","",一覧!P62)</f>
        <v/>
      </c>
      <c r="Q32" s="355" t="str">
        <f>IF(一覧!Q62="","",一覧!Q62)</f>
        <v/>
      </c>
      <c r="R32" s="355" t="str">
        <f>IF(一覧!R62="","",一覧!R62)</f>
        <v/>
      </c>
      <c r="S32" s="355" t="str">
        <f>IF(一覧!S62="","",一覧!S62)</f>
        <v/>
      </c>
      <c r="T32" s="355" t="str">
        <f>IF(一覧!T62="","",一覧!T62)</f>
        <v/>
      </c>
      <c r="U32" s="355" t="str">
        <f>IF(一覧!U62="","",一覧!U62)</f>
        <v>LD'</v>
      </c>
      <c r="V32" s="356" t="str">
        <f>IF(一覧!V62="","",一覧!V62)</f>
        <v/>
      </c>
      <c r="W32" s="355" t="str">
        <f>IF(一覧!W62="","",一覧!W62)</f>
        <v/>
      </c>
      <c r="X32" s="355" t="str">
        <f>IF(一覧!X62="","",一覧!X62)</f>
        <v>LD'</v>
      </c>
      <c r="Y32" s="355" t="str">
        <f>IF(一覧!Y62="","",一覧!Y62)</f>
        <v/>
      </c>
      <c r="Z32" s="355" t="str">
        <f>IF(一覧!Z62="","",一覧!Z62)</f>
        <v/>
      </c>
      <c r="AA32" s="355" t="str">
        <f>IF(一覧!AA62="","",一覧!AA62)</f>
        <v>LD'</v>
      </c>
      <c r="AB32" s="355" t="str">
        <f>IF(一覧!AB62="","",一覧!AB62)</f>
        <v>5/30分</v>
      </c>
      <c r="AC32" s="356" t="str">
        <f>IF(一覧!AC62="","",一覧!AC62)</f>
        <v/>
      </c>
      <c r="AD32" s="355" t="str">
        <f>IF(一覧!AD62="","",一覧!AD62)</f>
        <v>LD'</v>
      </c>
      <c r="AE32" s="355" t="str">
        <f>IF(一覧!AE62="","",一覧!AE62)</f>
        <v>LD'</v>
      </c>
      <c r="AF32" s="355" t="str">
        <f>IF(一覧!AF62="","",一覧!AF62)</f>
        <v/>
      </c>
      <c r="AG32" s="357" t="str">
        <f>IF(一覧!AG62="","",一覧!AG62)</f>
        <v/>
      </c>
      <c r="AH32" s="304" t="str">
        <f>IF(一覧!AH62="","",一覧!AH62)</f>
        <v/>
      </c>
      <c r="AI32" s="385"/>
      <c r="AJ32" s="385"/>
      <c r="AK32" s="385"/>
      <c r="AL32" s="385"/>
      <c r="AM32" s="385"/>
      <c r="AN32" s="385"/>
    </row>
    <row r="33" spans="1:40" ht="15" customHeight="1">
      <c r="A33" s="347">
        <f>COUNTIF(C33:AG33,"★★")</f>
        <v>4</v>
      </c>
      <c r="B33" s="518" t="str">
        <f>IF(一覧!B73="","",一覧!B73)</f>
        <v>鷲津繁比古</v>
      </c>
      <c r="C33" s="349" t="str">
        <f>IF(一覧!C73="","",一覧!C73)</f>
        <v>じゅっと</v>
      </c>
      <c r="D33" s="349" t="str">
        <f>IF(一覧!D73="","",一覧!D73)</f>
        <v>ミヤネ屋</v>
      </c>
      <c r="E33" s="349" t="str">
        <f>IF(一覧!E73="","",一覧!E73)</f>
        <v>ミヤネ屋</v>
      </c>
      <c r="F33" s="349" t="str">
        <f>IF(一覧!F73="","",一覧!F73)</f>
        <v>年休</v>
      </c>
      <c r="G33" s="349" t="str">
        <f>IF(一覧!G73="","",一覧!G73)</f>
        <v>代休</v>
      </c>
      <c r="H33" s="350" t="str">
        <f>IF(一覧!H73="","",一覧!H73)</f>
        <v>★</v>
      </c>
      <c r="I33" s="349" t="str">
        <f>IF(一覧!I73="","",一覧!I73)</f>
        <v>★★</v>
      </c>
      <c r="J33" s="349" t="str">
        <f>IF(一覧!J73="","",一覧!J73)</f>
        <v>年休</v>
      </c>
      <c r="K33" s="349" t="str">
        <f>IF(一覧!K73="","",一覧!K73)</f>
        <v>ほんわか</v>
      </c>
      <c r="L33" s="349" t="str">
        <f>IF(一覧!L73="","",一覧!L73)</f>
        <v>ミヤネ屋</v>
      </c>
      <c r="M33" s="349" t="str">
        <f>IF(一覧!M73="","",一覧!M73)</f>
        <v>音道楽</v>
      </c>
      <c r="N33" s="349" t="str">
        <f>IF(一覧!N73="","",一覧!N73)</f>
        <v/>
      </c>
      <c r="O33" s="350" t="str">
        <f>IF(一覧!O73="","",一覧!O73)</f>
        <v/>
      </c>
      <c r="P33" s="349" t="str">
        <f>IF(一覧!P73="","",一覧!P73)</f>
        <v>★★</v>
      </c>
      <c r="Q33" s="349" t="str">
        <f>IF(一覧!Q73="","",一覧!Q73)</f>
        <v>じゅっと</v>
      </c>
      <c r="R33" s="349" t="str">
        <f>IF(一覧!R73="","",一覧!R73)</f>
        <v/>
      </c>
      <c r="S33" s="349" t="str">
        <f>IF(一覧!S73="","",一覧!S73)</f>
        <v>うさかめ</v>
      </c>
      <c r="T33" s="349" t="str">
        <f>IF(一覧!T73="","",一覧!T73)</f>
        <v>★</v>
      </c>
      <c r="U33" s="349" t="str">
        <f>IF(一覧!U73="","",一覧!U73)</f>
        <v/>
      </c>
      <c r="V33" s="350" t="str">
        <f>IF(一覧!V73="","",一覧!V73)</f>
        <v>音道楽</v>
      </c>
      <c r="W33" s="349" t="str">
        <f>IF(一覧!W73="","",一覧!W73)</f>
        <v>音道楽</v>
      </c>
      <c r="X33" s="349" t="str">
        <f>IF(一覧!X73="","",一覧!X73)</f>
        <v>音道楽</v>
      </c>
      <c r="Y33" s="349" t="str">
        <f>IF(一覧!Y73="","",一覧!Y73)</f>
        <v>ほんわか</v>
      </c>
      <c r="Z33" s="349" t="str">
        <f>IF(一覧!Z73="","",一覧!Z73)</f>
        <v>★</v>
      </c>
      <c r="AA33" s="349" t="str">
        <f>IF(一覧!AA73="","",一覧!AA73)</f>
        <v>★★</v>
      </c>
      <c r="AB33" s="349" t="str">
        <f>IF(一覧!AB73="","",一覧!AB73)</f>
        <v>ミヤネ屋</v>
      </c>
      <c r="AC33" s="350" t="str">
        <f>IF(一覧!AC73="","",一覧!AC73)</f>
        <v>クギズケ</v>
      </c>
      <c r="AD33" s="349" t="str">
        <f>IF(一覧!AD73="","",一覧!AD73)</f>
        <v>★★</v>
      </c>
      <c r="AE33" s="349" t="str">
        <f>IF(一覧!AE73="","",一覧!AE73)</f>
        <v>じゅっと</v>
      </c>
      <c r="AF33" s="349" t="str">
        <f>IF(一覧!AF73="","",一覧!AF73)</f>
        <v>★</v>
      </c>
      <c r="AG33" s="351" t="str">
        <f>IF(一覧!AG73="","",一覧!AG73)</f>
        <v/>
      </c>
      <c r="AH33" s="519" t="str">
        <f>IF(一覧!AH73="","",一覧!AH73)</f>
        <v>鷲津</v>
      </c>
      <c r="AI33" s="385"/>
      <c r="AJ33" s="385"/>
      <c r="AK33" s="385"/>
      <c r="AL33" s="385"/>
      <c r="AM33" s="385"/>
      <c r="AN33" s="385"/>
    </row>
    <row r="34" spans="1:40" ht="15" customHeight="1">
      <c r="A34" s="347">
        <f>COUNTIF(C33:AG33,"★")</f>
        <v>4</v>
      </c>
      <c r="B34" s="303" t="str">
        <f>IF(一覧!B74="","",一覧!B74)</f>
        <v/>
      </c>
      <c r="C34" s="355" t="str">
        <f>IF(一覧!C74="","",一覧!C74)</f>
        <v>ＬＤ</v>
      </c>
      <c r="D34" s="355" t="str">
        <f>IF(一覧!D74="","",一覧!D74)</f>
        <v>ＬＤ</v>
      </c>
      <c r="E34" s="355" t="str">
        <f>IF(一覧!E74="","",一覧!E74)</f>
        <v>ＬＤ</v>
      </c>
      <c r="F34" s="355" t="str">
        <f>IF(一覧!F74="","",一覧!F74)</f>
        <v/>
      </c>
      <c r="G34" s="355" t="str">
        <f>IF(一覧!G74="","",一覧!G74)</f>
        <v>5/30分</v>
      </c>
      <c r="H34" s="356" t="str">
        <f>IF(一覧!H74="","",一覧!H74)</f>
        <v>※</v>
      </c>
      <c r="I34" s="355" t="str">
        <f>IF(一覧!I74="","",一覧!I74)</f>
        <v>※</v>
      </c>
      <c r="J34" s="355" t="str">
        <f>IF(一覧!J74="","",一覧!J74)</f>
        <v>※</v>
      </c>
      <c r="K34" s="355" t="str">
        <f>IF(一覧!K74="","",一覧!K74)</f>
        <v>ＬＤ</v>
      </c>
      <c r="L34" s="355" t="str">
        <f>IF(一覧!L74="","",一覧!L74)</f>
        <v>ＬＤ</v>
      </c>
      <c r="M34" s="355" t="str">
        <f>IF(一覧!M74="","",一覧!M74)</f>
        <v>LD'</v>
      </c>
      <c r="N34" s="355" t="str">
        <f>IF(一覧!N74="","",一覧!N74)</f>
        <v>協会</v>
      </c>
      <c r="O34" s="356" t="str">
        <f>IF(一覧!O74="","",一覧!O74)</f>
        <v>協会</v>
      </c>
      <c r="P34" s="355" t="str">
        <f>IF(一覧!P74="","",一覧!P74)</f>
        <v/>
      </c>
      <c r="Q34" s="355" t="str">
        <f>IF(一覧!Q74="","",一覧!Q74)</f>
        <v>ＬＤ</v>
      </c>
      <c r="R34" s="355" t="str">
        <f>IF(一覧!R74="","",一覧!R74)</f>
        <v/>
      </c>
      <c r="S34" s="355" t="str">
        <f>IF(一覧!S74="","",一覧!S74)</f>
        <v>ＬＤ</v>
      </c>
      <c r="T34" s="355" t="str">
        <f>IF(一覧!T74="","",一覧!T74)</f>
        <v/>
      </c>
      <c r="U34" s="355" t="str">
        <f>IF(一覧!U74="","",一覧!U74)</f>
        <v/>
      </c>
      <c r="V34" s="356" t="str">
        <f>IF(一覧!V74="","",一覧!V74)</f>
        <v>ＬＤ</v>
      </c>
      <c r="W34" s="355" t="str">
        <f>IF(一覧!W74="","",一覧!W74)</f>
        <v>ＬＤ</v>
      </c>
      <c r="X34" s="355" t="str">
        <f>IF(一覧!X74="","",一覧!X74)</f>
        <v>ＬＤ</v>
      </c>
      <c r="Y34" s="355" t="str">
        <f>IF(一覧!Y74="","",一覧!Y74)</f>
        <v>ＬＤ</v>
      </c>
      <c r="Z34" s="355" t="str">
        <f>IF(一覧!Z74="","",一覧!Z74)</f>
        <v/>
      </c>
      <c r="AA34" s="355" t="str">
        <f>IF(一覧!AA74="","",一覧!AA74)</f>
        <v/>
      </c>
      <c r="AB34" s="355" t="str">
        <f>IF(一覧!AB74="","",一覧!AB74)</f>
        <v>ＬＤ</v>
      </c>
      <c r="AC34" s="356" t="str">
        <f>IF(一覧!AC74="","",一覧!AC74)</f>
        <v>ＴＤ.LD</v>
      </c>
      <c r="AD34" s="355" t="str">
        <f>IF(一覧!AD74="","",一覧!AD74)</f>
        <v/>
      </c>
      <c r="AE34" s="355" t="str">
        <f>IF(一覧!AE74="","",一覧!AE74)</f>
        <v>ＬＤ</v>
      </c>
      <c r="AF34" s="355" t="str">
        <f>IF(一覧!AF74="","",一覧!AF74)</f>
        <v/>
      </c>
      <c r="AG34" s="357" t="str">
        <f>IF(一覧!AG74="","",一覧!AG74)</f>
        <v/>
      </c>
      <c r="AH34" s="304" t="str">
        <f>IF(一覧!AH74="","",一覧!AH74)</f>
        <v/>
      </c>
      <c r="AI34" s="385"/>
      <c r="AJ34" s="385"/>
      <c r="AK34" s="385"/>
      <c r="AL34" s="385"/>
      <c r="AM34" s="385"/>
      <c r="AN34" s="385"/>
    </row>
    <row r="35" spans="1:40" ht="15" customHeight="1">
      <c r="A35" s="347">
        <f>COUNTIF(C35:AG35,"★★")</f>
        <v>4</v>
      </c>
      <c r="B35" s="518" t="str">
        <f>IF(一覧!B89="","",一覧!B89)</f>
        <v>田口　愛梨</v>
      </c>
      <c r="C35" s="349" t="str">
        <f>IF(一覧!C89="","",一覧!C89)</f>
        <v>木ドラ</v>
      </c>
      <c r="D35" s="349" t="str">
        <f>IF(一覧!D89="","",一覧!D89)</f>
        <v>代休</v>
      </c>
      <c r="E35" s="349" t="str">
        <f>IF(一覧!E89="","",一覧!E89)</f>
        <v>代休</v>
      </c>
      <c r="F35" s="349" t="str">
        <f>IF(一覧!F89="","",一覧!F89)</f>
        <v/>
      </c>
      <c r="G35" s="349" t="str">
        <f>IF(一覧!G89="","",一覧!G89)</f>
        <v>ミヤネ屋</v>
      </c>
      <c r="H35" s="350" t="str">
        <f>IF(一覧!H89="","",一覧!H89)</f>
        <v>★★</v>
      </c>
      <c r="I35" s="349" t="str">
        <f>IF(一覧!I89="","",一覧!I89)</f>
        <v>地球便</v>
      </c>
      <c r="J35" s="349" t="str">
        <f>IF(一覧!J89="","",一覧!J89)</f>
        <v>じゅっと</v>
      </c>
      <c r="K35" s="349" t="str">
        <f>IF(一覧!K89="","",一覧!K89)</f>
        <v>★</v>
      </c>
      <c r="L35" s="349" t="str">
        <f>IF(一覧!L89="","",一覧!L89)</f>
        <v/>
      </c>
      <c r="M35" s="349" t="str">
        <f>IF(一覧!M89="","",一覧!M89)</f>
        <v>音道楽</v>
      </c>
      <c r="N35" s="349" t="str">
        <f>IF(一覧!N89="","",一覧!N89)</f>
        <v>委員会</v>
      </c>
      <c r="O35" s="350" t="str">
        <f>IF(一覧!O89="","",一覧!O89)</f>
        <v>★</v>
      </c>
      <c r="P35" s="349" t="str">
        <f>IF(一覧!P89="","",一覧!P89)</f>
        <v>★★</v>
      </c>
      <c r="Q35" s="349" t="str">
        <f>IF(一覧!Q89="","",一覧!Q89)</f>
        <v/>
      </c>
      <c r="R35" s="349" t="str">
        <f>IF(一覧!R89="","",一覧!R89)</f>
        <v/>
      </c>
      <c r="S35" s="349" t="str">
        <f>IF(一覧!S89="","",一覧!S89)</f>
        <v>読響</v>
      </c>
      <c r="T35" s="349" t="str">
        <f>IF(一覧!T89="","",一覧!T89)</f>
        <v>ミヤネ屋</v>
      </c>
      <c r="U35" s="349" t="str">
        <f>IF(一覧!U89="","",一覧!U89)</f>
        <v>じゅっと</v>
      </c>
      <c r="V35" s="350" t="str">
        <f>IF(一覧!V89="","",一覧!V89)</f>
        <v>ジグザグ</v>
      </c>
      <c r="W35" s="349" t="str">
        <f>IF(一覧!W89="","",一覧!W89)</f>
        <v>音道楽</v>
      </c>
      <c r="X35" s="349" t="str">
        <f>IF(一覧!X89="","",一覧!X89)</f>
        <v>音道楽</v>
      </c>
      <c r="Y35" s="349" t="str">
        <f>IF(一覧!Y89="","",一覧!Y89)</f>
        <v>★</v>
      </c>
      <c r="Z35" s="349" t="str">
        <f>IF(一覧!Z89="","",一覧!Z89)</f>
        <v>★★</v>
      </c>
      <c r="AA35" s="349" t="str">
        <f>IF(一覧!AA89="","",一覧!AA89)</f>
        <v>人事配信</v>
      </c>
      <c r="AB35" s="349" t="str">
        <f>IF(一覧!AB89="","",一覧!AB89)</f>
        <v>委員会</v>
      </c>
      <c r="AC35" s="350" t="str">
        <f>IF(一覧!AC89="","",一覧!AC89)</f>
        <v>★</v>
      </c>
      <c r="AD35" s="349" t="str">
        <f>IF(一覧!AD89="","",一覧!AD89)</f>
        <v>地球便</v>
      </c>
      <c r="AE35" s="349" t="str">
        <f>IF(一覧!AE89="","",一覧!AE89)</f>
        <v>ミヤネ屋</v>
      </c>
      <c r="AF35" s="349" t="str">
        <f>IF(一覧!AF89="","",一覧!AF89)</f>
        <v>★★</v>
      </c>
      <c r="AG35" s="351" t="str">
        <f>IF(一覧!AG89="","",一覧!AG89)</f>
        <v/>
      </c>
      <c r="AH35" s="519" t="str">
        <f>IF(一覧!AH89="","",一覧!AH89)</f>
        <v>田口</v>
      </c>
      <c r="AI35" s="385"/>
      <c r="AJ35" s="385"/>
      <c r="AK35" s="385"/>
      <c r="AL35" s="385"/>
      <c r="AM35" s="385"/>
      <c r="AN35" s="385"/>
    </row>
    <row r="36" spans="1:40" ht="15" customHeight="1" thickBot="1">
      <c r="A36" s="347">
        <f>COUNTIF(C35:AG35,"★")</f>
        <v>4</v>
      </c>
      <c r="B36" s="424" t="str">
        <f>IF(一覧!B90="","",一覧!B90)</f>
        <v/>
      </c>
      <c r="C36" s="464" t="str">
        <f>IF(一覧!C90="","",一覧!C90)</f>
        <v>LD'</v>
      </c>
      <c r="D36" s="464" t="str">
        <f>IF(一覧!D90="","",一覧!D90)</f>
        <v>5/30分</v>
      </c>
      <c r="E36" s="464" t="str">
        <f>IF(一覧!E90="","",一覧!E90)</f>
        <v>5/31分</v>
      </c>
      <c r="F36" s="464" t="str">
        <f>IF(一覧!F90="","",一覧!F90)</f>
        <v/>
      </c>
      <c r="G36" s="464" t="str">
        <f>IF(一覧!G90="","",一覧!G90)</f>
        <v>ＬＤ</v>
      </c>
      <c r="H36" s="465" t="str">
        <f>IF(一覧!H90="","",一覧!H90)</f>
        <v/>
      </c>
      <c r="I36" s="464" t="str">
        <f>IF(一覧!I90="","",一覧!I90)</f>
        <v>ＬＤ</v>
      </c>
      <c r="J36" s="464" t="str">
        <f>IF(一覧!J90="","",一覧!J90)</f>
        <v>ＬＤ</v>
      </c>
      <c r="K36" s="464" t="str">
        <f>IF(一覧!K90="","",一覧!K90)</f>
        <v/>
      </c>
      <c r="L36" s="464" t="str">
        <f>IF(一覧!L90="","",一覧!L90)</f>
        <v>照明G</v>
      </c>
      <c r="M36" s="464" t="str">
        <f>IF(一覧!M90="","",一覧!M90)</f>
        <v>ＬＤ</v>
      </c>
      <c r="N36" s="464" t="str">
        <f>IF(一覧!N90="","",一覧!N90)</f>
        <v>ＬＤ</v>
      </c>
      <c r="O36" s="465" t="str">
        <f>IF(一覧!O90="","",一覧!O90)</f>
        <v/>
      </c>
      <c r="P36" s="464" t="str">
        <f>IF(一覧!P90="","",一覧!P90)</f>
        <v/>
      </c>
      <c r="Q36" s="464" t="str">
        <f>IF(一覧!Q90="","",一覧!Q90)</f>
        <v/>
      </c>
      <c r="R36" s="464" t="str">
        <f>IF(一覧!R90="","",一覧!R90)</f>
        <v/>
      </c>
      <c r="S36" s="464" t="str">
        <f>IF(一覧!S90="","",一覧!S90)</f>
        <v>LD'</v>
      </c>
      <c r="T36" s="464" t="str">
        <f>IF(一覧!T90="","",一覧!T90)</f>
        <v>ＬＤ</v>
      </c>
      <c r="U36" s="464" t="str">
        <f>IF(一覧!U90="","",一覧!U90)</f>
        <v>ＬＤ</v>
      </c>
      <c r="V36" s="465" t="str">
        <f>IF(一覧!V90="","",一覧!V90)</f>
        <v>LD'</v>
      </c>
      <c r="W36" s="464" t="str">
        <f>IF(一覧!W90="","",一覧!W90)</f>
        <v>LD'</v>
      </c>
      <c r="X36" s="464" t="str">
        <f>IF(一覧!X90="","",一覧!X90)</f>
        <v>LD'</v>
      </c>
      <c r="Y36" s="464" t="str">
        <f>IF(一覧!Y90="","",一覧!Y90)</f>
        <v/>
      </c>
      <c r="Z36" s="464" t="str">
        <f>IF(一覧!Z90="","",一覧!Z90)</f>
        <v/>
      </c>
      <c r="AA36" s="464" t="str">
        <f>IF(一覧!AA90="","",一覧!AA90)</f>
        <v>ＬＤ</v>
      </c>
      <c r="AB36" s="464" t="str">
        <f>IF(一覧!AB90="","",一覧!AB90)</f>
        <v>ＬＤ</v>
      </c>
      <c r="AC36" s="465" t="str">
        <f>IF(一覧!AC90="","",一覧!AC90)</f>
        <v/>
      </c>
      <c r="AD36" s="464" t="str">
        <f>IF(一覧!AD90="","",一覧!AD90)</f>
        <v>ＬＤ</v>
      </c>
      <c r="AE36" s="464" t="str">
        <f>IF(一覧!AE90="","",一覧!AE90)</f>
        <v>ＬＤ</v>
      </c>
      <c r="AF36" s="464" t="str">
        <f>IF(一覧!AF90="","",一覧!AF90)</f>
        <v/>
      </c>
      <c r="AG36" s="466" t="str">
        <f>IF(一覧!AG90="","",一覧!AG90)</f>
        <v/>
      </c>
      <c r="AH36" s="425" t="str">
        <f>IF(一覧!AH90="","",一覧!AH90)</f>
        <v/>
      </c>
      <c r="AI36" s="385"/>
      <c r="AJ36" s="385"/>
      <c r="AK36" s="385"/>
      <c r="AL36" s="385"/>
      <c r="AM36" s="385"/>
      <c r="AN36" s="385"/>
    </row>
    <row r="37" spans="1:40" ht="15" customHeight="1">
      <c r="A37" s="347">
        <f>COUNTIF(C37:AG37,"★★")</f>
        <v>4</v>
      </c>
      <c r="B37" s="518" t="str">
        <f>IF(一覧!B39="","",一覧!B39)</f>
        <v>窪内　誠</v>
      </c>
      <c r="C37" s="349" t="str">
        <f>IF(一覧!C39="","",一覧!C39)</f>
        <v/>
      </c>
      <c r="D37" s="349" t="str">
        <f>IF(一覧!D39="","",一覧!D39)</f>
        <v>ミヤネ屋</v>
      </c>
      <c r="E37" s="349" t="str">
        <f>IF(一覧!E39="","",一覧!E39)</f>
        <v>じゅっと</v>
      </c>
      <c r="F37" s="349" t="str">
        <f>IF(一覧!F39="","",一覧!F39)</f>
        <v>VEレク</v>
      </c>
      <c r="G37" s="349" t="str">
        <f>IF(一覧!G39="","",一覧!G39)</f>
        <v>VEレク</v>
      </c>
      <c r="H37" s="350" t="str">
        <f>IF(一覧!H39="","",一覧!H39)</f>
        <v>★</v>
      </c>
      <c r="I37" s="349" t="str">
        <f>IF(一覧!I39="","",一覧!I39)</f>
        <v>★★</v>
      </c>
      <c r="J37" s="349" t="str">
        <f>IF(一覧!J39="","",一覧!J39)</f>
        <v>　　　━</v>
      </c>
      <c r="K37" s="349" t="str">
        <f>IF(一覧!K39="","",一覧!K39)</f>
        <v>━　　　</v>
      </c>
      <c r="L37" s="349" t="str">
        <f>IF(一覧!L39="","",一覧!L39)</f>
        <v/>
      </c>
      <c r="M37" s="349" t="str">
        <f>IF(一覧!M39="","",一覧!M39)</f>
        <v>音道楽</v>
      </c>
      <c r="N37" s="349" t="str">
        <f>IF(一覧!N39="","",一覧!N39)</f>
        <v>委員会</v>
      </c>
      <c r="O37" s="350" t="str">
        <f>IF(一覧!O39="","",一覧!O39)</f>
        <v>★</v>
      </c>
      <c r="P37" s="349" t="str">
        <f>IF(一覧!P39="","",一覧!P39)</f>
        <v>★★</v>
      </c>
      <c r="Q37" s="349" t="str">
        <f>IF(一覧!Q39="","",一覧!Q39)</f>
        <v>　　　━</v>
      </c>
      <c r="R37" s="349" t="str">
        <f>IF(一覧!R39="","",一覧!R39)</f>
        <v>━　　　</v>
      </c>
      <c r="S37" s="349" t="str">
        <f>IF(一覧!S39="","",一覧!S39)</f>
        <v>ミヤネ屋</v>
      </c>
      <c r="T37" s="349" t="str">
        <f>IF(一覧!T39="","",一覧!T39)</f>
        <v>吉田粗品</v>
      </c>
      <c r="U37" s="349" t="str">
        <f>IF(一覧!U39="","",一覧!U39)</f>
        <v>機材整備</v>
      </c>
      <c r="V37" s="350" t="str">
        <f>IF(一覧!V39="","",一覧!V39)</f>
        <v>★</v>
      </c>
      <c r="W37" s="349" t="str">
        <f>IF(一覧!W39="","",一覧!W39)</f>
        <v>★★</v>
      </c>
      <c r="X37" s="349" t="str">
        <f>IF(一覧!X39="","",一覧!X39)</f>
        <v>ミヤネ屋</v>
      </c>
      <c r="Y37" s="349" t="str">
        <f>IF(一覧!Y39="","",一覧!Y39)</f>
        <v>ほんわか</v>
      </c>
      <c r="Z37" s="349" t="str">
        <f>IF(一覧!Z39="","",一覧!Z39)</f>
        <v>VEG会議</v>
      </c>
      <c r="AA37" s="349" t="str">
        <f>IF(一覧!AA39="","",一覧!AA39)</f>
        <v>じゅっと</v>
      </c>
      <c r="AB37" s="349" t="str">
        <f>IF(一覧!AB39="","",一覧!AB39)</f>
        <v/>
      </c>
      <c r="AC37" s="350" t="str">
        <f>IF(一覧!AC39="","",一覧!AC39)</f>
        <v>★</v>
      </c>
      <c r="AD37" s="349" t="str">
        <f>IF(一覧!AD39="","",一覧!AD39)</f>
        <v>★★</v>
      </c>
      <c r="AE37" s="349" t="str">
        <f>IF(一覧!AE39="","",一覧!AE39)</f>
        <v>土ダメ</v>
      </c>
      <c r="AF37" s="349" t="str">
        <f>IF(一覧!AF39="","",一覧!AF39)</f>
        <v>登録</v>
      </c>
      <c r="AG37" s="351" t="str">
        <f>IF(一覧!AG39="","",一覧!AG39)</f>
        <v/>
      </c>
      <c r="AH37" s="519" t="str">
        <f>IF(一覧!AH39="","",一覧!AH39)</f>
        <v>窪内</v>
      </c>
      <c r="AI37" s="385"/>
      <c r="AJ37" s="385"/>
      <c r="AK37" s="385"/>
      <c r="AL37" s="385"/>
      <c r="AM37" s="385"/>
      <c r="AN37" s="385"/>
    </row>
    <row r="38" spans="1:40" ht="15" customHeight="1">
      <c r="A38" s="347">
        <f>COUNTIF(C37:AG37,"★")</f>
        <v>4</v>
      </c>
      <c r="B38" s="303" t="str">
        <f>IF(一覧!B40="","",一覧!B40)</f>
        <v/>
      </c>
      <c r="C38" s="355" t="str">
        <f>IF(一覧!C40="","",一覧!C40)</f>
        <v>局会</v>
      </c>
      <c r="D38" s="355" t="str">
        <f>IF(一覧!D40="","",一覧!D40)</f>
        <v>ＴＤ</v>
      </c>
      <c r="E38" s="355" t="str">
        <f>IF(一覧!E40="","",一覧!E40)</f>
        <v>ＶＥ</v>
      </c>
      <c r="F38" s="355" t="str">
        <f>IF(一覧!F40="","",一覧!F40)</f>
        <v/>
      </c>
      <c r="G38" s="355" t="str">
        <f>IF(一覧!G40="","",一覧!G40)</f>
        <v/>
      </c>
      <c r="H38" s="356" t="str">
        <f>IF(一覧!H40="","",一覧!H40)</f>
        <v/>
      </c>
      <c r="I38" s="355" t="str">
        <f>IF(一覧!I40="","",一覧!I40)</f>
        <v/>
      </c>
      <c r="J38" s="355" t="str">
        <f>IF(一覧!J40="","",一覧!J40)</f>
        <v/>
      </c>
      <c r="K38" s="355" t="str">
        <f>IF(一覧!K40="","",一覧!K40)</f>
        <v>中継車WG</v>
      </c>
      <c r="L38" s="355" t="str">
        <f>IF(一覧!L40="","",一覧!L40)</f>
        <v>照明G</v>
      </c>
      <c r="M38" s="355" t="str">
        <f>IF(一覧!M40="","",一覧!M40)</f>
        <v>ＶＥ</v>
      </c>
      <c r="N38" s="355" t="str">
        <f>IF(一覧!N40="","",一覧!N40)</f>
        <v>ＶＥ</v>
      </c>
      <c r="O38" s="356" t="str">
        <f>IF(一覧!O40="","",一覧!O40)</f>
        <v/>
      </c>
      <c r="P38" s="355" t="str">
        <f>IF(一覧!P40="","",一覧!P40)</f>
        <v/>
      </c>
      <c r="Q38" s="355" t="str">
        <f>IF(一覧!Q40="","",一覧!Q40)</f>
        <v/>
      </c>
      <c r="R38" s="355" t="str">
        <f>IF(一覧!R40="","",一覧!R40)</f>
        <v/>
      </c>
      <c r="S38" s="355" t="str">
        <f>IF(一覧!S40="","",一覧!S40)</f>
        <v>ＴＤ</v>
      </c>
      <c r="T38" s="355" t="str">
        <f>IF(一覧!T40="","",一覧!T40)</f>
        <v>ＴＤ</v>
      </c>
      <c r="U38" s="355" t="str">
        <f>IF(一覧!U40="","",一覧!U40)</f>
        <v/>
      </c>
      <c r="V38" s="356" t="str">
        <f>IF(一覧!V40="","",一覧!V40)</f>
        <v/>
      </c>
      <c r="W38" s="355" t="str">
        <f>IF(一覧!W40="","",一覧!W40)</f>
        <v/>
      </c>
      <c r="X38" s="355" t="str">
        <f>IF(一覧!X40="","",一覧!X40)</f>
        <v>ＬＤ</v>
      </c>
      <c r="Y38" s="355" t="str">
        <f>IF(一覧!Y40="","",一覧!Y40)</f>
        <v>ＶＥ</v>
      </c>
      <c r="Z38" s="355" t="str">
        <f>IF(一覧!Z40="","",一覧!Z40)</f>
        <v/>
      </c>
      <c r="AA38" s="355" t="str">
        <f>IF(一覧!AA40="","",一覧!AA40)</f>
        <v>ＴＤ</v>
      </c>
      <c r="AB38" s="355" t="str">
        <f>IF(一覧!AB40="","",一覧!AB40)</f>
        <v>技術会議</v>
      </c>
      <c r="AC38" s="356" t="str">
        <f>IF(一覧!AC40="","",一覧!AC40)</f>
        <v/>
      </c>
      <c r="AD38" s="355" t="str">
        <f>IF(一覧!AD40="","",一覧!AD40)</f>
        <v/>
      </c>
      <c r="AE38" s="355" t="str">
        <f>IF(一覧!AE40="","",一覧!AE40)</f>
        <v>ＶＥ</v>
      </c>
      <c r="AF38" s="355" t="str">
        <f>IF(一覧!AF40="","",一覧!AF40)</f>
        <v/>
      </c>
      <c r="AG38" s="357" t="str">
        <f>IF(一覧!AG40="","",一覧!AG40)</f>
        <v/>
      </c>
      <c r="AH38" s="304" t="str">
        <f>IF(一覧!AH40="","",一覧!AH40)</f>
        <v/>
      </c>
      <c r="AI38" s="385"/>
      <c r="AJ38" s="385"/>
      <c r="AK38" s="385"/>
      <c r="AL38" s="385"/>
      <c r="AM38" s="385"/>
      <c r="AN38" s="385"/>
    </row>
    <row r="39" spans="1:40" ht="15" customHeight="1">
      <c r="A39" s="347">
        <f>COUNTIF(C39:AG39,"★★")</f>
        <v>4</v>
      </c>
      <c r="B39" s="518" t="str">
        <f>IF(一覧!B29="","",一覧!B29)</f>
        <v>鈴木　直人</v>
      </c>
      <c r="C39" s="349" t="str">
        <f>IF(一覧!C29="","",一覧!C29)</f>
        <v>局会</v>
      </c>
      <c r="D39" s="349" t="str">
        <f>IF(一覧!D29="","",一覧!D29)</f>
        <v/>
      </c>
      <c r="E39" s="349" t="str">
        <f>IF(一覧!E29="","",一覧!E29)</f>
        <v/>
      </c>
      <c r="F39" s="349" t="str">
        <f>IF(一覧!F29="","",一覧!F29)</f>
        <v/>
      </c>
      <c r="G39" s="349" t="str">
        <f>IF(一覧!G29="","",一覧!G29)</f>
        <v/>
      </c>
      <c r="H39" s="350" t="str">
        <f>IF(一覧!H29="","",一覧!H29)</f>
        <v>★</v>
      </c>
      <c r="I39" s="349" t="str">
        <f>IF(一覧!I29="","",一覧!I29)</f>
        <v>★★</v>
      </c>
      <c r="J39" s="349" t="str">
        <f>IF(一覧!J29="","",一覧!J29)</f>
        <v/>
      </c>
      <c r="K39" s="349" t="str">
        <f>IF(一覧!K29="","",一覧!K29)</f>
        <v/>
      </c>
      <c r="L39" s="349" t="str">
        <f>IF(一覧!L29="","",一覧!L29)</f>
        <v/>
      </c>
      <c r="M39" s="349" t="str">
        <f>IF(一覧!M29="","",一覧!M29)</f>
        <v>　　　━</v>
      </c>
      <c r="N39" s="349" t="str">
        <f>IF(一覧!N29="","",一覧!N29)</f>
        <v>━　　　</v>
      </c>
      <c r="O39" s="350" t="str">
        <f>IF(一覧!O29="","",一覧!O29)</f>
        <v>★</v>
      </c>
      <c r="P39" s="349" t="str">
        <f>IF(一覧!P29="","",一覧!P29)</f>
        <v>★★</v>
      </c>
      <c r="Q39" s="349" t="str">
        <f>IF(一覧!Q29="","",一覧!Q29)</f>
        <v/>
      </c>
      <c r="R39" s="349" t="str">
        <f>IF(一覧!R29="","",一覧!R29)</f>
        <v/>
      </c>
      <c r="S39" s="349" t="str">
        <f>IF(一覧!S29="","",一覧!S29)</f>
        <v/>
      </c>
      <c r="T39" s="349" t="str">
        <f>IF(一覧!T29="","",一覧!T29)</f>
        <v>ＲＤ</v>
      </c>
      <c r="U39" s="349" t="str">
        <f>IF(一覧!U29="","",一覧!U29)</f>
        <v>ｶﾒﾗG会</v>
      </c>
      <c r="V39" s="350" t="str">
        <f>IF(一覧!V29="","",一覧!V29)</f>
        <v>★</v>
      </c>
      <c r="W39" s="349" t="str">
        <f>IF(一覧!W29="","",一覧!W29)</f>
        <v>★★</v>
      </c>
      <c r="X39" s="349" t="str">
        <f>IF(一覧!X29="","",一覧!X29)</f>
        <v/>
      </c>
      <c r="Y39" s="349" t="str">
        <f>IF(一覧!Y29="","",一覧!Y29)</f>
        <v/>
      </c>
      <c r="Z39" s="349" t="str">
        <f>IF(一覧!Z29="","",一覧!Z29)</f>
        <v>音G/VEG</v>
      </c>
      <c r="AA39" s="349" t="str">
        <f>IF(一覧!AA29="","",一覧!AA29)</f>
        <v>ＲＤ</v>
      </c>
      <c r="AB39" s="349" t="str">
        <f>IF(一覧!AB29="","",一覧!AB29)</f>
        <v>技術会議</v>
      </c>
      <c r="AC39" s="350" t="str">
        <f>IF(一覧!AC29="","",一覧!AC29)</f>
        <v>★</v>
      </c>
      <c r="AD39" s="349" t="str">
        <f>IF(一覧!AD29="","",一覧!AD29)</f>
        <v>★★</v>
      </c>
      <c r="AE39" s="349" t="str">
        <f>IF(一覧!AE29="","",一覧!AE29)</f>
        <v/>
      </c>
      <c r="AF39" s="349" t="str">
        <f>IF(一覧!AF29="","",一覧!AF29)</f>
        <v/>
      </c>
      <c r="AG39" s="351" t="str">
        <f>IF(一覧!AG29="","",一覧!AG29)</f>
        <v/>
      </c>
      <c r="AH39" s="519" t="str">
        <f>IF(一覧!AH29="","",一覧!AH29)</f>
        <v>鈴木</v>
      </c>
      <c r="AI39" s="385"/>
      <c r="AJ39" s="385"/>
      <c r="AK39" s="385"/>
      <c r="AL39" s="385"/>
      <c r="AM39" s="385"/>
      <c r="AN39" s="385"/>
    </row>
    <row r="40" spans="1:40" ht="15" customHeight="1" thickBot="1">
      <c r="A40" s="347">
        <f>COUNTIF(C39:AG39,"★")</f>
        <v>4</v>
      </c>
      <c r="B40" s="424" t="str">
        <f>IF(一覧!B30="","",一覧!B30)</f>
        <v/>
      </c>
      <c r="C40" s="464" t="str">
        <f>IF(一覧!C30="","",一覧!C30)</f>
        <v>部長会</v>
      </c>
      <c r="D40" s="464" t="str">
        <f>IF(一覧!D30="","",一覧!D30)</f>
        <v>車両会議</v>
      </c>
      <c r="E40" s="464" t="str">
        <f>IF(一覧!E30="","",一覧!E30)</f>
        <v/>
      </c>
      <c r="F40" s="464" t="str">
        <f>IF(一覧!F30="","",一覧!F30)</f>
        <v/>
      </c>
      <c r="G40" s="464" t="str">
        <f>IF(一覧!G30="","",一覧!G30)</f>
        <v>セミナー</v>
      </c>
      <c r="H40" s="465" t="str">
        <f>IF(一覧!H30="","",一覧!H30)</f>
        <v/>
      </c>
      <c r="I40" s="464" t="str">
        <f>IF(一覧!I30="","",一覧!I30)</f>
        <v/>
      </c>
      <c r="J40" s="464" t="str">
        <f>IF(一覧!J30="","",一覧!J30)</f>
        <v>部長会</v>
      </c>
      <c r="K40" s="464" t="str">
        <f>IF(一覧!K30="","",一覧!K30)</f>
        <v/>
      </c>
      <c r="L40" s="464" t="str">
        <f>IF(一覧!L30="","",一覧!L30)</f>
        <v>照明G</v>
      </c>
      <c r="M40" s="464" t="str">
        <f>IF(一覧!M30="","",一覧!M30)</f>
        <v>コンプラ</v>
      </c>
      <c r="N40" s="464" t="str">
        <f>IF(一覧!N30="","",一覧!N30)</f>
        <v>事故対</v>
      </c>
      <c r="O40" s="465" t="str">
        <f>IF(一覧!O30="","",一覧!O30)</f>
        <v>※</v>
      </c>
      <c r="P40" s="464" t="str">
        <f>IF(一覧!P30="","",一覧!P30)</f>
        <v/>
      </c>
      <c r="Q40" s="464" t="str">
        <f>IF(一覧!Q30="","",一覧!Q30)</f>
        <v>部長会</v>
      </c>
      <c r="R40" s="464" t="str">
        <f>IF(一覧!R30="","",一覧!R30)</f>
        <v/>
      </c>
      <c r="S40" s="464" t="str">
        <f>IF(一覧!S30="","",一覧!S30)</f>
        <v/>
      </c>
      <c r="T40" s="464" t="str">
        <f>IF(一覧!T30="","",一覧!T30)</f>
        <v/>
      </c>
      <c r="U40" s="464" t="str">
        <f>IF(一覧!U30="","",一覧!U30)</f>
        <v>回線Ｇ</v>
      </c>
      <c r="V40" s="465" t="str">
        <f>IF(一覧!V30="","",一覧!V30)</f>
        <v>※</v>
      </c>
      <c r="W40" s="464" t="str">
        <f>IF(一覧!W30="","",一覧!W30)</f>
        <v>※</v>
      </c>
      <c r="X40" s="464" t="str">
        <f>IF(一覧!X30="","",一覧!X30)</f>
        <v>部長会</v>
      </c>
      <c r="Y40" s="464" t="str">
        <f>IF(一覧!Y30="","",一覧!Y30)</f>
        <v/>
      </c>
      <c r="Z40" s="464" t="str">
        <f>IF(一覧!Z30="","",一覧!Z30)</f>
        <v>制作費会議</v>
      </c>
      <c r="AA40" s="464" t="str">
        <f>IF(一覧!AA30="","",一覧!AA30)</f>
        <v/>
      </c>
      <c r="AB40" s="464" t="str">
        <f>IF(一覧!AB30="","",一覧!AB30)</f>
        <v>NT会議</v>
      </c>
      <c r="AC40" s="465" t="str">
        <f>IF(一覧!AC30="","",一覧!AC30)</f>
        <v/>
      </c>
      <c r="AD40" s="464" t="str">
        <f>IF(一覧!AD30="","",一覧!AD30)</f>
        <v/>
      </c>
      <c r="AE40" s="464" t="str">
        <f>IF(一覧!AE30="","",一覧!AE30)</f>
        <v>部長会</v>
      </c>
      <c r="AF40" s="464" t="str">
        <f>IF(一覧!AF30="","",一覧!AF30)</f>
        <v/>
      </c>
      <c r="AG40" s="466" t="str">
        <f>IF(一覧!AG30="","",一覧!AG30)</f>
        <v/>
      </c>
      <c r="AH40" s="425" t="str">
        <f>IF(一覧!AH30="","",一覧!AH30)</f>
        <v/>
      </c>
      <c r="AI40" s="385"/>
      <c r="AJ40" s="385"/>
      <c r="AK40" s="385"/>
      <c r="AL40" s="385"/>
      <c r="AM40" s="385"/>
      <c r="AN40" s="385"/>
    </row>
    <row r="41" spans="1:40" ht="15" customHeight="1">
      <c r="A41" s="347">
        <f>COUNTIF(C41:AG41,"★★")</f>
        <v>0</v>
      </c>
      <c r="B41" s="518"/>
      <c r="C41" s="349"/>
      <c r="D41" s="349"/>
      <c r="E41" s="349"/>
      <c r="F41" s="349"/>
      <c r="G41" s="349"/>
      <c r="H41" s="350"/>
      <c r="I41" s="349"/>
      <c r="J41" s="349"/>
      <c r="K41" s="349"/>
      <c r="L41" s="349"/>
      <c r="M41" s="349"/>
      <c r="N41" s="349"/>
      <c r="O41" s="350"/>
      <c r="P41" s="349"/>
      <c r="Q41" s="349"/>
      <c r="R41" s="349"/>
      <c r="S41" s="349"/>
      <c r="T41" s="349"/>
      <c r="U41" s="349"/>
      <c r="V41" s="350"/>
      <c r="W41" s="349"/>
      <c r="X41" s="349"/>
      <c r="Y41" s="349"/>
      <c r="Z41" s="349"/>
      <c r="AA41" s="349"/>
      <c r="AB41" s="349"/>
      <c r="AC41" s="350"/>
      <c r="AD41" s="349"/>
      <c r="AE41" s="349"/>
      <c r="AF41" s="349"/>
      <c r="AG41" s="351"/>
      <c r="AH41" s="519"/>
      <c r="AI41" s="385"/>
      <c r="AJ41" s="385"/>
      <c r="AK41" s="385"/>
      <c r="AL41" s="385"/>
      <c r="AM41" s="385"/>
      <c r="AN41" s="385"/>
    </row>
    <row r="42" spans="1:40" ht="15" customHeight="1" thickBot="1">
      <c r="A42" s="347">
        <f>COUNTIF(C41:AG41,"★")</f>
        <v>0</v>
      </c>
      <c r="B42" s="424" t="str">
        <f>IF(一覧!B112="","",一覧!B112)</f>
        <v/>
      </c>
      <c r="C42" s="464"/>
      <c r="D42" s="464"/>
      <c r="E42" s="464"/>
      <c r="F42" s="464"/>
      <c r="G42" s="464"/>
      <c r="H42" s="465"/>
      <c r="I42" s="464"/>
      <c r="J42" s="464"/>
      <c r="K42" s="464"/>
      <c r="L42" s="464"/>
      <c r="M42" s="464"/>
      <c r="N42" s="464"/>
      <c r="O42" s="465"/>
      <c r="P42" s="464"/>
      <c r="Q42" s="464"/>
      <c r="R42" s="464"/>
      <c r="S42" s="464"/>
      <c r="T42" s="464"/>
      <c r="U42" s="464"/>
      <c r="V42" s="465"/>
      <c r="W42" s="464"/>
      <c r="X42" s="464"/>
      <c r="Y42" s="464"/>
      <c r="Z42" s="464"/>
      <c r="AA42" s="464"/>
      <c r="AB42" s="464"/>
      <c r="AC42" s="465"/>
      <c r="AD42" s="464"/>
      <c r="AE42" s="464"/>
      <c r="AF42" s="464"/>
      <c r="AG42" s="466"/>
      <c r="AH42" s="425" t="str">
        <f>IF(一覧!AH112="","",一覧!AH112)</f>
        <v/>
      </c>
      <c r="AI42" s="385"/>
      <c r="AJ42" s="385"/>
      <c r="AK42" s="385"/>
      <c r="AL42" s="385"/>
      <c r="AM42" s="385"/>
      <c r="AN42" s="385"/>
    </row>
    <row r="43" spans="1:40" ht="15" customHeight="1">
      <c r="B43" s="518"/>
      <c r="C43" s="386"/>
      <c r="D43" s="386"/>
      <c r="E43" s="386"/>
      <c r="F43" s="386"/>
      <c r="G43" s="386"/>
      <c r="H43" s="387"/>
      <c r="I43" s="386"/>
      <c r="J43" s="386"/>
      <c r="K43" s="386"/>
      <c r="L43" s="386"/>
      <c r="M43" s="386"/>
      <c r="N43" s="386"/>
      <c r="O43" s="387"/>
      <c r="P43" s="386"/>
      <c r="Q43" s="386"/>
      <c r="R43" s="386"/>
      <c r="S43" s="386"/>
      <c r="T43" s="386"/>
      <c r="U43" s="386"/>
      <c r="V43" s="387"/>
      <c r="W43" s="386"/>
      <c r="X43" s="386"/>
      <c r="Y43" s="386"/>
      <c r="Z43" s="386"/>
      <c r="AA43" s="386"/>
      <c r="AB43" s="386"/>
      <c r="AC43" s="387"/>
      <c r="AD43" s="386"/>
      <c r="AE43" s="386"/>
      <c r="AF43" s="386"/>
      <c r="AG43" s="388"/>
      <c r="AH43" s="519"/>
      <c r="AI43" s="385"/>
      <c r="AJ43" s="385"/>
      <c r="AK43" s="385"/>
      <c r="AL43" s="385"/>
      <c r="AM43" s="385"/>
      <c r="AN43" s="385"/>
    </row>
    <row r="44" spans="1:40" ht="15" customHeight="1">
      <c r="B44" s="518"/>
      <c r="C44" s="386"/>
      <c r="D44" s="386"/>
      <c r="E44" s="386"/>
      <c r="F44" s="386"/>
      <c r="G44" s="386"/>
      <c r="H44" s="387"/>
      <c r="I44" s="386"/>
      <c r="J44" s="386"/>
      <c r="K44" s="386"/>
      <c r="L44" s="386"/>
      <c r="M44" s="386"/>
      <c r="N44" s="386"/>
      <c r="O44" s="387"/>
      <c r="P44" s="386"/>
      <c r="Q44" s="386"/>
      <c r="R44" s="386"/>
      <c r="S44" s="386"/>
      <c r="T44" s="386"/>
      <c r="U44" s="386"/>
      <c r="V44" s="387"/>
      <c r="W44" s="386"/>
      <c r="X44" s="386"/>
      <c r="Y44" s="386"/>
      <c r="Z44" s="386"/>
      <c r="AA44" s="386"/>
      <c r="AB44" s="386"/>
      <c r="AC44" s="387"/>
      <c r="AD44" s="386"/>
      <c r="AE44" s="386"/>
      <c r="AF44" s="386"/>
      <c r="AG44" s="388"/>
      <c r="AH44" s="519"/>
      <c r="AI44" s="385"/>
      <c r="AJ44" s="385"/>
      <c r="AK44" s="385"/>
      <c r="AL44" s="385"/>
      <c r="AM44" s="385"/>
      <c r="AN44" s="385"/>
    </row>
    <row r="45" spans="1:40" ht="15" customHeight="1">
      <c r="B45" s="518"/>
      <c r="C45" s="133"/>
      <c r="D45" s="133"/>
      <c r="E45" s="133"/>
      <c r="F45" s="133"/>
      <c r="G45" s="133"/>
      <c r="H45" s="161"/>
      <c r="I45" s="133"/>
      <c r="J45" s="133"/>
      <c r="K45" s="133"/>
      <c r="L45" s="133"/>
      <c r="M45" s="133"/>
      <c r="N45" s="133"/>
      <c r="O45" s="161"/>
      <c r="P45" s="133"/>
      <c r="Q45" s="133"/>
      <c r="R45" s="133"/>
      <c r="S45" s="133"/>
      <c r="T45" s="133"/>
      <c r="U45" s="133"/>
      <c r="V45" s="161"/>
      <c r="W45" s="133"/>
      <c r="X45" s="133"/>
      <c r="Y45" s="133"/>
      <c r="Z45" s="133"/>
      <c r="AA45" s="133"/>
      <c r="AB45" s="133"/>
      <c r="AC45" s="161"/>
      <c r="AD45" s="133"/>
      <c r="AE45" s="133"/>
      <c r="AF45" s="133"/>
      <c r="AG45" s="237"/>
      <c r="AH45" s="519"/>
    </row>
    <row r="46" spans="1:40" ht="15" customHeight="1">
      <c r="B46" s="518"/>
      <c r="C46" s="133"/>
      <c r="D46" s="133"/>
      <c r="E46" s="133"/>
      <c r="F46" s="133"/>
      <c r="G46" s="133"/>
      <c r="H46" s="161"/>
      <c r="I46" s="133"/>
      <c r="J46" s="133"/>
      <c r="K46" s="133"/>
      <c r="L46" s="133"/>
      <c r="M46" s="133"/>
      <c r="N46" s="133"/>
      <c r="O46" s="161"/>
      <c r="P46" s="133"/>
      <c r="Q46" s="133"/>
      <c r="R46" s="133"/>
      <c r="S46" s="133"/>
      <c r="T46" s="133"/>
      <c r="U46" s="133"/>
      <c r="V46" s="161"/>
      <c r="W46" s="133"/>
      <c r="X46" s="133"/>
      <c r="Y46" s="133"/>
      <c r="Z46" s="133"/>
      <c r="AA46" s="133"/>
      <c r="AB46" s="133"/>
      <c r="AC46" s="161"/>
      <c r="AD46" s="133"/>
      <c r="AE46" s="133"/>
      <c r="AF46" s="133"/>
      <c r="AG46" s="237"/>
      <c r="AH46" s="519"/>
    </row>
    <row r="47" spans="1:40" ht="15" customHeight="1">
      <c r="B47" s="518"/>
      <c r="C47" s="133"/>
      <c r="D47" s="133"/>
      <c r="E47" s="133"/>
      <c r="F47" s="133"/>
      <c r="G47" s="133"/>
      <c r="H47" s="161"/>
      <c r="I47" s="133"/>
      <c r="J47" s="133"/>
      <c r="K47" s="133"/>
      <c r="L47" s="133"/>
      <c r="M47" s="133"/>
      <c r="N47" s="133"/>
      <c r="O47" s="161"/>
      <c r="P47" s="133"/>
      <c r="Q47" s="133"/>
      <c r="R47" s="133"/>
      <c r="S47" s="133"/>
      <c r="T47" s="133"/>
      <c r="U47" s="133"/>
      <c r="V47" s="161"/>
      <c r="W47" s="133"/>
      <c r="X47" s="133"/>
      <c r="Y47" s="133"/>
      <c r="Z47" s="133"/>
      <c r="AA47" s="133"/>
      <c r="AB47" s="133"/>
      <c r="AC47" s="161"/>
      <c r="AD47" s="133"/>
      <c r="AE47" s="133"/>
      <c r="AF47" s="133"/>
      <c r="AG47" s="237"/>
      <c r="AH47" s="519"/>
    </row>
    <row r="48" spans="1:40" ht="15" customHeight="1">
      <c r="B48" s="518" t="s">
        <v>463</v>
      </c>
      <c r="C48" s="133"/>
      <c r="D48" s="133"/>
      <c r="E48" s="133"/>
      <c r="F48" s="133"/>
      <c r="G48" s="133"/>
      <c r="H48" s="161"/>
      <c r="I48" s="133"/>
      <c r="J48" s="133"/>
      <c r="K48" s="133"/>
      <c r="L48" s="133"/>
      <c r="M48" s="133"/>
      <c r="N48" s="133"/>
      <c r="O48" s="161"/>
      <c r="P48" s="133"/>
      <c r="Q48" s="133"/>
      <c r="R48" s="133"/>
      <c r="S48" s="133"/>
      <c r="T48" s="133"/>
      <c r="U48" s="133"/>
      <c r="V48" s="162"/>
      <c r="W48" s="134"/>
      <c r="X48" s="134"/>
      <c r="Y48" s="134"/>
      <c r="Z48" s="134"/>
      <c r="AA48" s="134"/>
      <c r="AB48" s="134"/>
      <c r="AC48" s="162"/>
      <c r="AD48" s="134"/>
      <c r="AE48" s="134"/>
      <c r="AF48" s="134"/>
      <c r="AG48" s="238"/>
      <c r="AH48" s="519" t="s">
        <v>58</v>
      </c>
    </row>
    <row r="49" spans="2:34" ht="15" customHeight="1">
      <c r="B49" s="518"/>
      <c r="C49" s="133"/>
      <c r="D49" s="133"/>
      <c r="E49" s="133"/>
      <c r="F49" s="133"/>
      <c r="G49" s="133"/>
      <c r="H49" s="161"/>
      <c r="I49" s="133"/>
      <c r="J49" s="133"/>
      <c r="K49" s="133"/>
      <c r="L49" s="133"/>
      <c r="M49" s="133"/>
      <c r="N49" s="133"/>
      <c r="O49" s="161"/>
      <c r="P49" s="133"/>
      <c r="Q49" s="133"/>
      <c r="R49" s="133"/>
      <c r="S49" s="133"/>
      <c r="T49" s="133"/>
      <c r="U49" s="133"/>
      <c r="V49" s="161"/>
      <c r="W49" s="133"/>
      <c r="X49" s="133"/>
      <c r="Y49" s="133"/>
      <c r="Z49" s="133"/>
      <c r="AA49" s="133"/>
      <c r="AB49" s="133"/>
      <c r="AC49" s="161"/>
      <c r="AD49" s="133"/>
      <c r="AE49" s="133"/>
      <c r="AF49" s="133"/>
      <c r="AG49" s="237"/>
      <c r="AH49" s="519"/>
    </row>
    <row r="50" spans="2:34" ht="15" customHeight="1">
      <c r="B50" s="518"/>
      <c r="C50" s="133"/>
      <c r="D50" s="133"/>
      <c r="E50" s="133"/>
      <c r="F50" s="133"/>
      <c r="G50" s="133"/>
      <c r="H50" s="161"/>
      <c r="I50" s="133"/>
      <c r="J50" s="133"/>
      <c r="K50" s="133"/>
      <c r="L50" s="133"/>
      <c r="M50" s="133"/>
      <c r="N50" s="133"/>
      <c r="O50" s="161"/>
      <c r="P50" s="133"/>
      <c r="Q50" s="133"/>
      <c r="R50" s="133"/>
      <c r="S50" s="133"/>
      <c r="T50" s="133"/>
      <c r="U50" s="133"/>
      <c r="V50" s="161"/>
      <c r="W50" s="133"/>
      <c r="X50" s="133"/>
      <c r="Y50" s="133"/>
      <c r="Z50" s="133"/>
      <c r="AA50" s="133"/>
      <c r="AB50" s="133"/>
      <c r="AC50" s="161"/>
      <c r="AD50" s="133"/>
      <c r="AE50" s="133"/>
      <c r="AF50" s="133"/>
      <c r="AG50" s="237"/>
      <c r="AH50" s="519"/>
    </row>
    <row r="51" spans="2:34" ht="15" customHeight="1">
      <c r="B51" s="518"/>
      <c r="C51" s="133"/>
      <c r="D51" s="133"/>
      <c r="E51" s="133"/>
      <c r="F51" s="133"/>
      <c r="G51" s="133"/>
      <c r="H51" s="161"/>
      <c r="I51" s="133"/>
      <c r="J51" s="133"/>
      <c r="K51" s="133"/>
      <c r="L51" s="133"/>
      <c r="M51" s="133"/>
      <c r="N51" s="133"/>
      <c r="O51" s="161"/>
      <c r="P51" s="133"/>
      <c r="Q51" s="133"/>
      <c r="R51" s="133"/>
      <c r="S51" s="133"/>
      <c r="T51" s="133"/>
      <c r="U51" s="133"/>
      <c r="V51" s="161"/>
      <c r="W51" s="133"/>
      <c r="X51" s="133"/>
      <c r="Y51" s="133"/>
      <c r="Z51" s="133"/>
      <c r="AA51" s="133"/>
      <c r="AB51" s="133"/>
      <c r="AC51" s="161"/>
      <c r="AD51" s="133"/>
      <c r="AE51" s="133"/>
      <c r="AF51" s="133"/>
      <c r="AG51" s="237"/>
      <c r="AH51" s="519"/>
    </row>
    <row r="52" spans="2:34" ht="15" customHeight="1" thickBot="1">
      <c r="B52" s="372"/>
      <c r="C52" s="135"/>
      <c r="D52" s="135"/>
      <c r="E52" s="135"/>
      <c r="F52" s="135"/>
      <c r="G52" s="135"/>
      <c r="H52" s="163"/>
      <c r="I52" s="135"/>
      <c r="J52" s="135"/>
      <c r="K52" s="135"/>
      <c r="L52" s="135"/>
      <c r="M52" s="135"/>
      <c r="N52" s="135"/>
      <c r="O52" s="163"/>
      <c r="P52" s="135"/>
      <c r="Q52" s="135"/>
      <c r="R52" s="135"/>
      <c r="S52" s="135"/>
      <c r="T52" s="135"/>
      <c r="U52" s="135"/>
      <c r="V52" s="163"/>
      <c r="W52" s="135"/>
      <c r="X52" s="135"/>
      <c r="Y52" s="135"/>
      <c r="Z52" s="135"/>
      <c r="AA52" s="135"/>
      <c r="AB52" s="135"/>
      <c r="AC52" s="163"/>
      <c r="AD52" s="135"/>
      <c r="AE52" s="135"/>
      <c r="AF52" s="135"/>
      <c r="AG52" s="239"/>
      <c r="AH52" s="371"/>
    </row>
    <row r="53" spans="2:34" ht="15" customHeight="1" thickTop="1">
      <c r="C53" s="368"/>
      <c r="D53" s="368"/>
      <c r="E53" s="368"/>
      <c r="F53" s="368"/>
      <c r="G53" s="368"/>
      <c r="H53" s="368"/>
      <c r="I53" s="368"/>
      <c r="J53" s="368"/>
      <c r="K53" s="368"/>
      <c r="L53" s="368"/>
      <c r="M53" s="368"/>
      <c r="N53" s="368"/>
      <c r="O53" s="368"/>
      <c r="P53" s="368"/>
      <c r="Q53" s="368"/>
      <c r="R53" s="368"/>
      <c r="S53" s="368"/>
      <c r="T53" s="368"/>
      <c r="U53" s="368"/>
      <c r="V53" s="368"/>
      <c r="W53" s="368"/>
      <c r="X53" s="368"/>
      <c r="Y53" s="368"/>
      <c r="Z53" s="368"/>
      <c r="AA53" s="368"/>
      <c r="AB53" s="368"/>
      <c r="AC53" s="368"/>
      <c r="AD53" s="368"/>
      <c r="AE53" s="368"/>
      <c r="AF53" s="368"/>
      <c r="AG53" s="368"/>
    </row>
    <row r="54" spans="2:34" ht="15" customHeight="1">
      <c r="C54" s="368"/>
      <c r="D54" s="368"/>
      <c r="E54" s="368"/>
      <c r="F54" s="368"/>
      <c r="G54" s="368"/>
      <c r="H54" s="368"/>
      <c r="I54" s="368"/>
      <c r="J54" s="368"/>
      <c r="K54" s="368"/>
      <c r="L54" s="368"/>
      <c r="M54" s="368"/>
      <c r="N54" s="368"/>
      <c r="O54" s="368"/>
      <c r="P54" s="368"/>
      <c r="Q54" s="368"/>
      <c r="R54" s="368"/>
      <c r="S54" s="368"/>
      <c r="T54" s="368"/>
      <c r="U54" s="368"/>
      <c r="V54" s="368"/>
      <c r="W54" s="368"/>
      <c r="X54" s="368"/>
      <c r="Y54" s="368"/>
      <c r="Z54" s="368"/>
      <c r="AA54" s="368"/>
      <c r="AB54" s="368"/>
      <c r="AC54" s="368"/>
      <c r="AD54" s="368"/>
      <c r="AE54" s="368"/>
      <c r="AF54" s="368"/>
      <c r="AG54" s="368"/>
    </row>
  </sheetData>
  <sheetProtection sheet="1" objects="1" scenarios="1"/>
  <customSheetViews>
    <customSheetView guid="{48D17560-CF9A-4AC4-87A5-512F1C94B1E6}" scale="75" fitToPage="1" showRuler="0">
      <pageMargins left="0" right="0" top="0" bottom="0" header="0" footer="0"/>
      <pageSetup paperSize="8" scale="95" orientation="landscape" blackAndWhite="1" horizontalDpi="4294967292" verticalDpi="4294967292" r:id="rId1"/>
      <headerFooter alignWithMargins="0">
        <oddHeader>&amp;R&amp;"Osaka,標準"&amp;D　&amp;T</oddHeader>
      </headerFooter>
    </customSheetView>
  </customSheetViews>
  <phoneticPr fontId="7"/>
  <pageMargins left="0.3" right="0.16" top="0.39370078740157483" bottom="0.39370078740157483" header="0.62" footer="0.39370078740157483"/>
  <pageSetup paperSize="8" scale="92" orientation="landscape" blackAndWhite="1" horizontalDpi="300" verticalDpi="300" r:id="rId2"/>
  <headerFooter alignWithMargins="0">
    <oddHeader>&amp;R&amp;"Osaka,標準"&amp;D　&amp;T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Line="0" autoPict="0" macro="[0]!照明罫線">
                <anchor moveWithCells="1" sizeWithCells="1">
                  <from>
                    <xdr:col>1</xdr:col>
                    <xdr:colOff>76200</xdr:colOff>
                    <xdr:row>0</xdr:row>
                    <xdr:rowOff>38100</xdr:rowOff>
                  </from>
                  <to>
                    <xdr:col>1</xdr:col>
                    <xdr:colOff>533400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pageSetUpPr fitToPage="1"/>
  </sheetPr>
  <dimension ref="A2:AH56"/>
  <sheetViews>
    <sheetView zoomScaleNormal="10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ColWidth="9" defaultRowHeight="15" customHeight="1"/>
  <cols>
    <col min="1" max="1" width="2.453125" style="347" customWidth="1"/>
    <col min="2" max="2" width="11.453125" style="347" bestFit="1" customWidth="1"/>
    <col min="3" max="34" width="6.453125" style="347" customWidth="1"/>
    <col min="35" max="35" width="2.453125" style="347" customWidth="1"/>
    <col min="36" max="16384" width="9" style="347"/>
  </cols>
  <sheetData>
    <row r="2" spans="1:34" ht="15" customHeight="1" thickBot="1"/>
    <row r="3" spans="1:34" ht="15" customHeight="1" thickTop="1">
      <c r="B3" s="348" t="str">
        <f>月間設定!C1&amp;"年"</f>
        <v>2026年</v>
      </c>
      <c r="C3" s="352">
        <v>1</v>
      </c>
      <c r="D3" s="352">
        <v>2</v>
      </c>
      <c r="E3" s="352">
        <v>3</v>
      </c>
      <c r="F3" s="352">
        <v>4</v>
      </c>
      <c r="G3" s="352">
        <v>5</v>
      </c>
      <c r="H3" s="353">
        <v>6</v>
      </c>
      <c r="I3" s="352">
        <v>7</v>
      </c>
      <c r="J3" s="352">
        <v>8</v>
      </c>
      <c r="K3" s="352">
        <v>9</v>
      </c>
      <c r="L3" s="352">
        <v>10</v>
      </c>
      <c r="M3" s="352">
        <v>11</v>
      </c>
      <c r="N3" s="352">
        <v>12</v>
      </c>
      <c r="O3" s="353">
        <v>13</v>
      </c>
      <c r="P3" s="352">
        <v>14</v>
      </c>
      <c r="Q3" s="352">
        <v>15</v>
      </c>
      <c r="R3" s="352">
        <v>16</v>
      </c>
      <c r="S3" s="352">
        <v>17</v>
      </c>
      <c r="T3" s="352">
        <v>18</v>
      </c>
      <c r="U3" s="352">
        <v>19</v>
      </c>
      <c r="V3" s="353">
        <v>20</v>
      </c>
      <c r="W3" s="352">
        <v>21</v>
      </c>
      <c r="X3" s="352">
        <v>22</v>
      </c>
      <c r="Y3" s="352">
        <v>23</v>
      </c>
      <c r="Z3" s="352">
        <v>24</v>
      </c>
      <c r="AA3" s="352">
        <v>25</v>
      </c>
      <c r="AB3" s="352">
        <v>26</v>
      </c>
      <c r="AC3" s="353">
        <v>27</v>
      </c>
      <c r="AD3" s="352">
        <v>28</v>
      </c>
      <c r="AE3" s="352">
        <f>月間設定!AE3</f>
        <v>29</v>
      </c>
      <c r="AF3" s="352">
        <f>月間設定!AF3</f>
        <v>30</v>
      </c>
      <c r="AG3" s="354" t="str">
        <f>月間設定!AG3</f>
        <v/>
      </c>
      <c r="AH3" s="396" t="s">
        <v>17</v>
      </c>
    </row>
    <row r="4" spans="1:34" ht="15" customHeight="1" thickBot="1">
      <c r="B4" s="459" t="str">
        <f>月間設定!E1&amp;"月"</f>
        <v>6月</v>
      </c>
      <c r="C4" s="460">
        <f>月間設定!C4</f>
        <v>2</v>
      </c>
      <c r="D4" s="460">
        <f>月間設定!D4</f>
        <v>3</v>
      </c>
      <c r="E4" s="460">
        <f>月間設定!E4</f>
        <v>4</v>
      </c>
      <c r="F4" s="460">
        <f>月間設定!F4</f>
        <v>5</v>
      </c>
      <c r="G4" s="460">
        <f>月間設定!G4</f>
        <v>6</v>
      </c>
      <c r="H4" s="461">
        <f>月間設定!H4</f>
        <v>7</v>
      </c>
      <c r="I4" s="460">
        <f>月間設定!I4</f>
        <v>1</v>
      </c>
      <c r="J4" s="460">
        <f>月間設定!J4</f>
        <v>2</v>
      </c>
      <c r="K4" s="460">
        <f>月間設定!K4</f>
        <v>3</v>
      </c>
      <c r="L4" s="460">
        <f>月間設定!L4</f>
        <v>4</v>
      </c>
      <c r="M4" s="460">
        <f>月間設定!M4</f>
        <v>5</v>
      </c>
      <c r="N4" s="460">
        <f>月間設定!N4</f>
        <v>6</v>
      </c>
      <c r="O4" s="461">
        <f>月間設定!O4</f>
        <v>7</v>
      </c>
      <c r="P4" s="460">
        <f>月間設定!P4</f>
        <v>1</v>
      </c>
      <c r="Q4" s="460">
        <f>月間設定!Q4</f>
        <v>2</v>
      </c>
      <c r="R4" s="460">
        <f>月間設定!R4</f>
        <v>3</v>
      </c>
      <c r="S4" s="460">
        <f>月間設定!S4</f>
        <v>4</v>
      </c>
      <c r="T4" s="460">
        <f>月間設定!T4</f>
        <v>5</v>
      </c>
      <c r="U4" s="460">
        <f>月間設定!U4</f>
        <v>6</v>
      </c>
      <c r="V4" s="461">
        <f>月間設定!V4</f>
        <v>7</v>
      </c>
      <c r="W4" s="460">
        <f>月間設定!W4</f>
        <v>1</v>
      </c>
      <c r="X4" s="460">
        <f>月間設定!X4</f>
        <v>2</v>
      </c>
      <c r="Y4" s="460">
        <f>月間設定!Y4</f>
        <v>3</v>
      </c>
      <c r="Z4" s="460">
        <f>月間設定!Z4</f>
        <v>4</v>
      </c>
      <c r="AA4" s="460">
        <f>月間設定!AA4</f>
        <v>5</v>
      </c>
      <c r="AB4" s="460">
        <f>月間設定!AB4</f>
        <v>6</v>
      </c>
      <c r="AC4" s="461">
        <f>月間設定!AC4</f>
        <v>7</v>
      </c>
      <c r="AD4" s="460">
        <f>月間設定!AD4</f>
        <v>1</v>
      </c>
      <c r="AE4" s="460">
        <f>月間設定!AE4</f>
        <v>2</v>
      </c>
      <c r="AF4" s="460">
        <f>月間設定!AF4</f>
        <v>3</v>
      </c>
      <c r="AG4" s="462" t="str">
        <f>月間設定!AG4</f>
        <v/>
      </c>
      <c r="AH4" s="425" t="str">
        <f>月間設定!I1&amp;"日"</f>
        <v>8日</v>
      </c>
    </row>
    <row r="5" spans="1:34" ht="15" customHeight="1">
      <c r="B5" s="518" t="s">
        <v>464</v>
      </c>
      <c r="C5" s="349" t="s">
        <v>917</v>
      </c>
      <c r="D5" s="349" t="s">
        <v>241</v>
      </c>
      <c r="E5" s="349" t="s">
        <v>943</v>
      </c>
      <c r="F5" s="349" t="s">
        <v>943</v>
      </c>
      <c r="G5" s="349" t="s">
        <v>924</v>
      </c>
      <c r="H5" s="350"/>
      <c r="I5" s="349" t="s">
        <v>913</v>
      </c>
      <c r="J5" s="349" t="s">
        <v>917</v>
      </c>
      <c r="K5" s="349" t="s">
        <v>241</v>
      </c>
      <c r="L5" s="349" t="s">
        <v>943</v>
      </c>
      <c r="M5" s="349" t="s">
        <v>943</v>
      </c>
      <c r="N5" s="349" t="s">
        <v>943</v>
      </c>
      <c r="O5" s="350" t="s">
        <v>924</v>
      </c>
      <c r="P5" s="349" t="s">
        <v>943</v>
      </c>
      <c r="Q5" s="349" t="s">
        <v>917</v>
      </c>
      <c r="R5" s="349" t="s">
        <v>241</v>
      </c>
      <c r="S5" s="349" t="s">
        <v>913</v>
      </c>
      <c r="T5" s="349" t="s">
        <v>925</v>
      </c>
      <c r="U5" s="349" t="s">
        <v>944</v>
      </c>
      <c r="V5" s="350" t="s">
        <v>944</v>
      </c>
      <c r="W5" s="349" t="s">
        <v>944</v>
      </c>
      <c r="X5" s="349" t="s">
        <v>917</v>
      </c>
      <c r="Y5" s="349" t="s">
        <v>241</v>
      </c>
      <c r="Z5" s="349" t="s">
        <v>913</v>
      </c>
      <c r="AA5" s="349" t="s">
        <v>925</v>
      </c>
      <c r="AB5" s="349" t="s">
        <v>916</v>
      </c>
      <c r="AC5" s="350" t="s">
        <v>924</v>
      </c>
      <c r="AD5" s="349" t="s">
        <v>913</v>
      </c>
      <c r="AE5" s="349" t="s">
        <v>917</v>
      </c>
      <c r="AF5" s="349" t="s">
        <v>241</v>
      </c>
      <c r="AG5" s="351"/>
      <c r="AH5" s="519" t="s">
        <v>464</v>
      </c>
    </row>
    <row r="6" spans="1:34" ht="15" customHeight="1">
      <c r="B6" s="518"/>
      <c r="C6" s="349"/>
      <c r="D6" s="349" t="s">
        <v>945</v>
      </c>
      <c r="E6" s="349" t="s">
        <v>946</v>
      </c>
      <c r="F6" s="349" t="s">
        <v>947</v>
      </c>
      <c r="G6" s="349" t="s">
        <v>948</v>
      </c>
      <c r="H6" s="350"/>
      <c r="I6" s="349" t="s">
        <v>913</v>
      </c>
      <c r="J6" s="349" t="s">
        <v>913</v>
      </c>
      <c r="K6" s="349" t="s">
        <v>949</v>
      </c>
      <c r="L6" s="349" t="s">
        <v>950</v>
      </c>
      <c r="M6" s="349" t="s">
        <v>951</v>
      </c>
      <c r="N6" s="349" t="s">
        <v>952</v>
      </c>
      <c r="O6" s="350" t="s">
        <v>953</v>
      </c>
      <c r="P6" s="349" t="s">
        <v>954</v>
      </c>
      <c r="Q6" s="349" t="s">
        <v>913</v>
      </c>
      <c r="R6" s="349" t="s">
        <v>955</v>
      </c>
      <c r="S6" s="349" t="s">
        <v>913</v>
      </c>
      <c r="T6" s="349" t="s">
        <v>930</v>
      </c>
      <c r="U6" s="349" t="s">
        <v>913</v>
      </c>
      <c r="V6" s="350" t="s">
        <v>913</v>
      </c>
      <c r="W6" s="349" t="s">
        <v>913</v>
      </c>
      <c r="X6" s="349" t="s">
        <v>913</v>
      </c>
      <c r="Y6" s="349" t="s">
        <v>956</v>
      </c>
      <c r="Z6" s="349" t="s">
        <v>913</v>
      </c>
      <c r="AA6" s="349" t="s">
        <v>930</v>
      </c>
      <c r="AB6" s="349" t="s">
        <v>913</v>
      </c>
      <c r="AC6" s="350" t="s">
        <v>957</v>
      </c>
      <c r="AD6" s="349" t="s">
        <v>913</v>
      </c>
      <c r="AE6" s="349" t="s">
        <v>913</v>
      </c>
      <c r="AF6" s="349" t="s">
        <v>958</v>
      </c>
      <c r="AG6" s="351"/>
      <c r="AH6" s="519"/>
    </row>
    <row r="7" spans="1:34" ht="15" customHeight="1">
      <c r="B7" s="400" t="s">
        <v>465</v>
      </c>
      <c r="C7" s="274"/>
      <c r="D7" s="274"/>
      <c r="E7" s="274"/>
      <c r="F7" s="274"/>
      <c r="G7" s="274"/>
      <c r="H7" s="275"/>
      <c r="I7" s="274"/>
      <c r="J7" s="274"/>
      <c r="K7" s="274"/>
      <c r="L7" s="274"/>
      <c r="M7" s="274"/>
      <c r="N7" s="274"/>
      <c r="O7" s="275"/>
      <c r="P7" s="274"/>
      <c r="Q7" s="274"/>
      <c r="R7" s="274"/>
      <c r="S7" s="274"/>
      <c r="T7" s="274"/>
      <c r="U7" s="274"/>
      <c r="V7" s="275"/>
      <c r="W7" s="274"/>
      <c r="X7" s="274"/>
      <c r="Y7" s="274"/>
      <c r="Z7" s="274"/>
      <c r="AA7" s="274"/>
      <c r="AB7" s="274"/>
      <c r="AC7" s="275"/>
      <c r="AD7" s="274"/>
      <c r="AE7" s="274"/>
      <c r="AF7" s="274"/>
      <c r="AG7" s="276"/>
      <c r="AH7" s="401"/>
    </row>
    <row r="8" spans="1:34" ht="15" customHeight="1">
      <c r="B8" s="518" t="s">
        <v>466</v>
      </c>
      <c r="C8" s="349" t="s">
        <v>932</v>
      </c>
      <c r="D8" s="349" t="s">
        <v>932</v>
      </c>
      <c r="E8" s="349" t="s">
        <v>924</v>
      </c>
      <c r="F8" s="349" t="s">
        <v>925</v>
      </c>
      <c r="G8" s="349" t="s">
        <v>912</v>
      </c>
      <c r="H8" s="350" t="s">
        <v>913</v>
      </c>
      <c r="I8" s="349"/>
      <c r="J8" s="349" t="s">
        <v>932</v>
      </c>
      <c r="K8" s="349" t="s">
        <v>932</v>
      </c>
      <c r="L8" s="349" t="s">
        <v>927</v>
      </c>
      <c r="M8" s="349" t="s">
        <v>927</v>
      </c>
      <c r="N8" s="349"/>
      <c r="O8" s="350" t="s">
        <v>912</v>
      </c>
      <c r="P8" s="349" t="s">
        <v>913</v>
      </c>
      <c r="Q8" s="349" t="s">
        <v>932</v>
      </c>
      <c r="R8" s="349" t="s">
        <v>932</v>
      </c>
      <c r="S8" s="349" t="s">
        <v>927</v>
      </c>
      <c r="T8" s="349" t="s">
        <v>927</v>
      </c>
      <c r="U8" s="349" t="s">
        <v>912</v>
      </c>
      <c r="V8" s="350" t="s">
        <v>913</v>
      </c>
      <c r="W8" s="349" t="s">
        <v>913</v>
      </c>
      <c r="X8" s="349" t="s">
        <v>932</v>
      </c>
      <c r="Y8" s="349" t="s">
        <v>932</v>
      </c>
      <c r="Z8" s="349" t="s">
        <v>959</v>
      </c>
      <c r="AA8" s="349" t="s">
        <v>959</v>
      </c>
      <c r="AB8" s="349"/>
      <c r="AC8" s="350" t="s">
        <v>912</v>
      </c>
      <c r="AD8" s="349" t="s">
        <v>960</v>
      </c>
      <c r="AE8" s="349" t="s">
        <v>932</v>
      </c>
      <c r="AF8" s="349" t="s">
        <v>932</v>
      </c>
      <c r="AG8" s="351"/>
      <c r="AH8" s="519" t="s">
        <v>466</v>
      </c>
    </row>
    <row r="9" spans="1:34" ht="15" customHeight="1">
      <c r="B9" s="518"/>
      <c r="C9" s="349" t="s">
        <v>961</v>
      </c>
      <c r="D9" s="349" t="s">
        <v>913</v>
      </c>
      <c r="E9" s="349" t="s">
        <v>962</v>
      </c>
      <c r="F9" s="349" t="s">
        <v>930</v>
      </c>
      <c r="G9" s="349" t="s">
        <v>916</v>
      </c>
      <c r="H9" s="350" t="s">
        <v>913</v>
      </c>
      <c r="I9" s="349" t="s">
        <v>913</v>
      </c>
      <c r="J9" s="349" t="s">
        <v>963</v>
      </c>
      <c r="K9" s="349" t="s">
        <v>913</v>
      </c>
      <c r="L9" s="349" t="s">
        <v>964</v>
      </c>
      <c r="M9" s="349" t="s">
        <v>964</v>
      </c>
      <c r="N9" s="349" t="s">
        <v>916</v>
      </c>
      <c r="O9" s="350" t="s">
        <v>913</v>
      </c>
      <c r="P9" s="349" t="s">
        <v>913</v>
      </c>
      <c r="Q9" s="349" t="s">
        <v>965</v>
      </c>
      <c r="R9" s="349" t="s">
        <v>913</v>
      </c>
      <c r="S9" s="349" t="s">
        <v>931</v>
      </c>
      <c r="T9" s="349" t="s">
        <v>931</v>
      </c>
      <c r="U9" s="349" t="s">
        <v>916</v>
      </c>
      <c r="V9" s="350" t="s">
        <v>913</v>
      </c>
      <c r="W9" s="349" t="s">
        <v>913</v>
      </c>
      <c r="X9" s="349" t="s">
        <v>966</v>
      </c>
      <c r="Y9" s="349" t="s">
        <v>913</v>
      </c>
      <c r="Z9" s="349" t="s">
        <v>967</v>
      </c>
      <c r="AA9" s="349" t="s">
        <v>968</v>
      </c>
      <c r="AB9" s="349"/>
      <c r="AC9" s="350" t="s">
        <v>913</v>
      </c>
      <c r="AD9" s="349" t="s">
        <v>969</v>
      </c>
      <c r="AE9" s="349" t="s">
        <v>913</v>
      </c>
      <c r="AF9" s="349" t="s">
        <v>913</v>
      </c>
      <c r="AG9" s="351"/>
      <c r="AH9" s="519"/>
    </row>
    <row r="10" spans="1:34" ht="15" customHeight="1">
      <c r="B10" s="400" t="s">
        <v>465</v>
      </c>
      <c r="C10" s="274"/>
      <c r="D10" s="274"/>
      <c r="E10" s="274"/>
      <c r="F10" s="274"/>
      <c r="G10" s="274"/>
      <c r="H10" s="275"/>
      <c r="I10" s="274"/>
      <c r="J10" s="274"/>
      <c r="K10" s="274"/>
      <c r="L10" s="274"/>
      <c r="M10" s="274"/>
      <c r="N10" s="274"/>
      <c r="O10" s="275"/>
      <c r="P10" s="274"/>
      <c r="Q10" s="274"/>
      <c r="R10" s="274"/>
      <c r="S10" s="274"/>
      <c r="T10" s="274"/>
      <c r="U10" s="274"/>
      <c r="V10" s="275"/>
      <c r="W10" s="274"/>
      <c r="X10" s="274"/>
      <c r="Y10" s="274"/>
      <c r="Z10" s="274"/>
      <c r="AA10" s="274"/>
      <c r="AB10" s="274"/>
      <c r="AC10" s="275"/>
      <c r="AD10" s="274"/>
      <c r="AE10" s="274"/>
      <c r="AF10" s="274"/>
      <c r="AG10" s="276"/>
      <c r="AH10" s="401"/>
    </row>
    <row r="11" spans="1:34" ht="15" customHeight="1">
      <c r="B11" s="518" t="s">
        <v>467</v>
      </c>
      <c r="C11" s="349"/>
      <c r="D11" s="349"/>
      <c r="E11" s="349"/>
      <c r="F11" s="349"/>
      <c r="G11" s="349"/>
      <c r="H11" s="350"/>
      <c r="I11" s="349"/>
      <c r="J11" s="349"/>
      <c r="K11" s="349"/>
      <c r="L11" s="349"/>
      <c r="M11" s="349"/>
      <c r="N11" s="349"/>
      <c r="O11" s="350"/>
      <c r="P11" s="349"/>
      <c r="Q11" s="349"/>
      <c r="R11" s="349"/>
      <c r="S11" s="349"/>
      <c r="T11" s="349"/>
      <c r="U11" s="349"/>
      <c r="V11" s="350"/>
      <c r="W11" s="349"/>
      <c r="X11" s="349"/>
      <c r="Y11" s="349"/>
      <c r="Z11" s="349"/>
      <c r="AA11" s="349"/>
      <c r="AB11" s="349"/>
      <c r="AC11" s="350"/>
      <c r="AD11" s="349"/>
      <c r="AE11" s="349"/>
      <c r="AF11" s="349"/>
      <c r="AG11" s="351"/>
      <c r="AH11" s="519" t="s">
        <v>467</v>
      </c>
    </row>
    <row r="12" spans="1:34" ht="15" customHeight="1">
      <c r="B12" s="303"/>
      <c r="C12" s="355"/>
      <c r="D12" s="355"/>
      <c r="E12" s="355"/>
      <c r="F12" s="355"/>
      <c r="G12" s="355"/>
      <c r="H12" s="356"/>
      <c r="I12" s="355"/>
      <c r="J12" s="355"/>
      <c r="K12" s="355"/>
      <c r="L12" s="355"/>
      <c r="M12" s="355"/>
      <c r="N12" s="355"/>
      <c r="O12" s="356"/>
      <c r="P12" s="355"/>
      <c r="Q12" s="355"/>
      <c r="R12" s="355"/>
      <c r="S12" s="355"/>
      <c r="T12" s="355"/>
      <c r="U12" s="355"/>
      <c r="V12" s="356"/>
      <c r="W12" s="355"/>
      <c r="X12" s="355"/>
      <c r="Y12" s="355"/>
      <c r="Z12" s="355"/>
      <c r="AA12" s="355"/>
      <c r="AB12" s="355"/>
      <c r="AC12" s="356"/>
      <c r="AD12" s="355"/>
      <c r="AE12" s="355"/>
      <c r="AF12" s="355"/>
      <c r="AG12" s="357"/>
      <c r="AH12" s="304"/>
    </row>
    <row r="13" spans="1:34" ht="15" customHeight="1">
      <c r="B13" s="518" t="s">
        <v>468</v>
      </c>
      <c r="C13" s="277" t="s">
        <v>970</v>
      </c>
      <c r="D13" s="277" t="s">
        <v>971</v>
      </c>
      <c r="E13" s="277" t="s">
        <v>912</v>
      </c>
      <c r="F13" s="277" t="s">
        <v>972</v>
      </c>
      <c r="G13" s="277" t="s">
        <v>913</v>
      </c>
      <c r="H13" s="278" t="s">
        <v>970</v>
      </c>
      <c r="I13" s="277" t="s">
        <v>970</v>
      </c>
      <c r="J13" s="277" t="s">
        <v>202</v>
      </c>
      <c r="K13" s="277" t="s">
        <v>971</v>
      </c>
      <c r="L13" s="277" t="s">
        <v>202</v>
      </c>
      <c r="M13" s="277" t="s">
        <v>925</v>
      </c>
      <c r="N13" s="277" t="s">
        <v>913</v>
      </c>
      <c r="O13" s="278" t="s">
        <v>913</v>
      </c>
      <c r="P13" s="277" t="s">
        <v>970</v>
      </c>
      <c r="Q13" s="277" t="s">
        <v>970</v>
      </c>
      <c r="R13" s="277" t="s">
        <v>971</v>
      </c>
      <c r="S13" s="277" t="s">
        <v>913</v>
      </c>
      <c r="T13" s="277" t="s">
        <v>972</v>
      </c>
      <c r="U13" s="277" t="s">
        <v>924</v>
      </c>
      <c r="V13" s="278" t="s">
        <v>913</v>
      </c>
      <c r="W13" s="277" t="s">
        <v>913</v>
      </c>
      <c r="X13" s="277" t="s">
        <v>973</v>
      </c>
      <c r="Y13" s="277" t="s">
        <v>971</v>
      </c>
      <c r="Z13" s="277" t="s">
        <v>913</v>
      </c>
      <c r="AA13" s="277" t="s">
        <v>972</v>
      </c>
      <c r="AB13" s="277" t="s">
        <v>913</v>
      </c>
      <c r="AC13" s="278" t="s">
        <v>913</v>
      </c>
      <c r="AD13" s="277" t="s">
        <v>970</v>
      </c>
      <c r="AE13" s="277" t="s">
        <v>970</v>
      </c>
      <c r="AF13" s="277" t="s">
        <v>971</v>
      </c>
      <c r="AG13" s="279" t="s">
        <v>913</v>
      </c>
      <c r="AH13" s="519" t="s">
        <v>469</v>
      </c>
    </row>
    <row r="14" spans="1:34" ht="15" customHeight="1" thickBot="1">
      <c r="B14" s="424"/>
      <c r="C14" s="478" t="s">
        <v>969</v>
      </c>
      <c r="D14" s="478" t="s">
        <v>969</v>
      </c>
      <c r="E14" s="478" t="s">
        <v>974</v>
      </c>
      <c r="F14" s="478" t="s">
        <v>969</v>
      </c>
      <c r="G14" s="478" t="s">
        <v>913</v>
      </c>
      <c r="H14" s="479" t="s">
        <v>969</v>
      </c>
      <c r="I14" s="478" t="s">
        <v>969</v>
      </c>
      <c r="J14" s="478" t="s">
        <v>913</v>
      </c>
      <c r="K14" s="478" t="s">
        <v>969</v>
      </c>
      <c r="L14" s="478" t="s">
        <v>913</v>
      </c>
      <c r="M14" s="478" t="s">
        <v>930</v>
      </c>
      <c r="N14" s="478" t="s">
        <v>913</v>
      </c>
      <c r="O14" s="479" t="s">
        <v>913</v>
      </c>
      <c r="P14" s="478" t="s">
        <v>969</v>
      </c>
      <c r="Q14" s="478" t="s">
        <v>969</v>
      </c>
      <c r="R14" s="478" t="s">
        <v>969</v>
      </c>
      <c r="S14" s="478" t="s">
        <v>913</v>
      </c>
      <c r="T14" s="478" t="s">
        <v>969</v>
      </c>
      <c r="U14" s="478" t="s">
        <v>975</v>
      </c>
      <c r="V14" s="479" t="s">
        <v>913</v>
      </c>
      <c r="W14" s="478" t="s">
        <v>913</v>
      </c>
      <c r="X14" s="478" t="s">
        <v>913</v>
      </c>
      <c r="Y14" s="478" t="s">
        <v>969</v>
      </c>
      <c r="Z14" s="478" t="s">
        <v>913</v>
      </c>
      <c r="AA14" s="478" t="s">
        <v>969</v>
      </c>
      <c r="AB14" s="478" t="s">
        <v>913</v>
      </c>
      <c r="AC14" s="479" t="s">
        <v>913</v>
      </c>
      <c r="AD14" s="478" t="s">
        <v>969</v>
      </c>
      <c r="AE14" s="478" t="s">
        <v>969</v>
      </c>
      <c r="AF14" s="478" t="s">
        <v>969</v>
      </c>
      <c r="AG14" s="480" t="s">
        <v>913</v>
      </c>
      <c r="AH14" s="425"/>
    </row>
    <row r="15" spans="1:34" ht="15" customHeight="1">
      <c r="A15" s="347">
        <f>COUNTIF(C15:AG15,"★★")</f>
        <v>4</v>
      </c>
      <c r="B15" s="518" t="str">
        <f>IF(一覧!B103="","",一覧!B103)</f>
        <v>藤井　一也</v>
      </c>
      <c r="C15" s="349" t="str">
        <f>IF(一覧!C103="","",一覧!C103)</f>
        <v>局会</v>
      </c>
      <c r="D15" s="349" t="str">
        <f>IF(一覧!D103="","",一覧!D103)</f>
        <v>AWS</v>
      </c>
      <c r="E15" s="349" t="str">
        <f>IF(一覧!E103="","",一覧!E103)</f>
        <v>委員会２</v>
      </c>
      <c r="F15" s="349" t="str">
        <f>IF(一覧!F103="","",一覧!F103)</f>
        <v xml:space="preserve"> </v>
      </c>
      <c r="G15" s="349" t="str">
        <f>IF(一覧!G103="","",一覧!G103)</f>
        <v>委員会'</v>
      </c>
      <c r="H15" s="350" t="str">
        <f>IF(一覧!H103="","",一覧!H103)</f>
        <v>★</v>
      </c>
      <c r="I15" s="349" t="str">
        <f>IF(一覧!I103="","",一覧!I103)</f>
        <v>★★</v>
      </c>
      <c r="J15" s="349" t="str">
        <f>IF(一覧!J103="","",一覧!J103)</f>
        <v xml:space="preserve"> </v>
      </c>
      <c r="K15" s="349" t="str">
        <f>IF(一覧!K103="","",一覧!K103)</f>
        <v>中継車WG</v>
      </c>
      <c r="L15" s="349" t="str">
        <f>IF(一覧!L103="","",一覧!L103)</f>
        <v>声</v>
      </c>
      <c r="M15" s="349" t="str">
        <f>IF(一覧!M103="","",一覧!M103)</f>
        <v>出張</v>
      </c>
      <c r="N15" s="349" t="str">
        <f>IF(一覧!N103="","",一覧!N103)</f>
        <v>出張</v>
      </c>
      <c r="O15" s="350" t="str">
        <f>IF(一覧!O103="","",一覧!O103)</f>
        <v>★</v>
      </c>
      <c r="P15" s="349" t="str">
        <f>IF(一覧!P103="","",一覧!P103)</f>
        <v>★★</v>
      </c>
      <c r="Q15" s="349" t="str">
        <f>IF(一覧!Q103="","",一覧!Q103)</f>
        <v xml:space="preserve"> </v>
      </c>
      <c r="R15" s="349" t="str">
        <f>IF(一覧!R103="","",一覧!R103)</f>
        <v/>
      </c>
      <c r="S15" s="349" t="str">
        <f>IF(一覧!S103="","",一覧!S103)</f>
        <v xml:space="preserve"> </v>
      </c>
      <c r="T15" s="349" t="str">
        <f>IF(一覧!T103="","",一覧!T103)</f>
        <v xml:space="preserve"> </v>
      </c>
      <c r="U15" s="349" t="str">
        <f>IF(一覧!U103="","",一覧!U103)</f>
        <v>イベント</v>
      </c>
      <c r="V15" s="350" t="str">
        <f>IF(一覧!V103="","",一覧!V103)</f>
        <v>★</v>
      </c>
      <c r="W15" s="349" t="str">
        <f>IF(一覧!W103="","",一覧!W103)</f>
        <v>★★</v>
      </c>
      <c r="X15" s="349" t="str">
        <f>IF(一覧!X103="","",一覧!X103)</f>
        <v>ほんわか１</v>
      </c>
      <c r="Y15" s="349" t="str">
        <f>IF(一覧!Y103="","",一覧!Y103)</f>
        <v xml:space="preserve"> </v>
      </c>
      <c r="Z15" s="349" t="str">
        <f>IF(一覧!Z103="","",一覧!Z103)</f>
        <v>代休</v>
      </c>
      <c r="AA15" s="349" t="str">
        <f>IF(一覧!AA103="","",一覧!AA103)</f>
        <v>年休</v>
      </c>
      <c r="AB15" s="349" t="str">
        <f>IF(一覧!AB103="","",一覧!AB103)</f>
        <v>編集G会議</v>
      </c>
      <c r="AC15" s="350" t="str">
        <f>IF(一覧!AC103="","",一覧!AC103)</f>
        <v>★</v>
      </c>
      <c r="AD15" s="349" t="str">
        <f>IF(一覧!AD103="","",一覧!AD103)</f>
        <v>★★</v>
      </c>
      <c r="AE15" s="349" t="str">
        <f>IF(一覧!AE103="","",一覧!AE103)</f>
        <v xml:space="preserve"> </v>
      </c>
      <c r="AF15" s="349" t="str">
        <f>IF(一覧!AF103="","",一覧!AF103)</f>
        <v>地球便</v>
      </c>
      <c r="AG15" s="351" t="str">
        <f>IF(一覧!AG103="","",一覧!AG103)</f>
        <v xml:space="preserve"> </v>
      </c>
      <c r="AH15" s="519" t="str">
        <f>IF(一覧!AH103="","",一覧!AH103)</f>
        <v>藤井一</v>
      </c>
    </row>
    <row r="16" spans="1:34" ht="15" customHeight="1">
      <c r="A16" s="347">
        <f>COUNTIF(C15:AG15,"★")</f>
        <v>4</v>
      </c>
      <c r="B16" s="303" t="str">
        <f>IF(一覧!B104="","",一覧!B104)</f>
        <v/>
      </c>
      <c r="C16" s="355" t="str">
        <f>IF(一覧!C104="","",一覧!C104)</f>
        <v>Play</v>
      </c>
      <c r="D16" s="355" t="str">
        <f>IF(一覧!D104="","",一覧!D104)</f>
        <v xml:space="preserve"> </v>
      </c>
      <c r="E16" s="355" t="str">
        <f>IF(一覧!E104="","",一覧!E104)</f>
        <v>SP編集2</v>
      </c>
      <c r="F16" s="355" t="str">
        <f>IF(一覧!F104="","",一覧!F104)</f>
        <v xml:space="preserve"> </v>
      </c>
      <c r="G16" s="355" t="str">
        <f>IF(一覧!G104="","",一覧!G104)</f>
        <v/>
      </c>
      <c r="H16" s="356" t="str">
        <f>IF(一覧!H104="","",一覧!H104)</f>
        <v xml:space="preserve"> </v>
      </c>
      <c r="I16" s="355" t="str">
        <f>IF(一覧!I104="","",一覧!I104)</f>
        <v xml:space="preserve"> </v>
      </c>
      <c r="J16" s="355" t="str">
        <f>IF(一覧!J104="","",一覧!J104)</f>
        <v xml:space="preserve"> </v>
      </c>
      <c r="K16" s="355" t="str">
        <f>IF(一覧!K104="","",一覧!K104)</f>
        <v xml:space="preserve"> </v>
      </c>
      <c r="L16" s="355" t="str">
        <f>IF(一覧!L104="","",一覧!L104)</f>
        <v xml:space="preserve"> </v>
      </c>
      <c r="M16" s="355" t="str">
        <f>IF(一覧!M104="","",一覧!M104)</f>
        <v>Interop</v>
      </c>
      <c r="N16" s="355" t="str">
        <f>IF(一覧!N104="","",一覧!N104)</f>
        <v>Interop</v>
      </c>
      <c r="O16" s="356" t="str">
        <f>IF(一覧!O104="","",一覧!O104)</f>
        <v xml:space="preserve"> </v>
      </c>
      <c r="P16" s="355" t="str">
        <f>IF(一覧!P104="","",一覧!P104)</f>
        <v xml:space="preserve"> </v>
      </c>
      <c r="Q16" s="355" t="str">
        <f>IF(一覧!Q104="","",一覧!Q104)</f>
        <v xml:space="preserve"> </v>
      </c>
      <c r="R16" s="355" t="str">
        <f>IF(一覧!R104="","",一覧!R104)</f>
        <v xml:space="preserve"> </v>
      </c>
      <c r="S16" s="355" t="str">
        <f>IF(一覧!S104="","",一覧!S104)</f>
        <v xml:space="preserve"> </v>
      </c>
      <c r="T16" s="355" t="str">
        <f>IF(一覧!T104="","",一覧!T104)</f>
        <v xml:space="preserve"> </v>
      </c>
      <c r="U16" s="355" t="str">
        <f>IF(一覧!U104="","",一覧!U104)</f>
        <v>AI</v>
      </c>
      <c r="V16" s="356" t="str">
        <f>IF(一覧!V104="","",一覧!V104)</f>
        <v xml:space="preserve"> </v>
      </c>
      <c r="W16" s="355" t="str">
        <f>IF(一覧!W104="","",一覧!W104)</f>
        <v xml:space="preserve"> </v>
      </c>
      <c r="X16" s="355" t="str">
        <f>IF(一覧!X104="","",一覧!X104)</f>
        <v>編集1</v>
      </c>
      <c r="Y16" s="355" t="str">
        <f>IF(一覧!Y104="","",一覧!Y104)</f>
        <v xml:space="preserve"> </v>
      </c>
      <c r="Z16" s="355" t="str">
        <f>IF(一覧!Z104="","",一覧!Z104)</f>
        <v>5/30</v>
      </c>
      <c r="AA16" s="355" t="str">
        <f>IF(一覧!AA104="","",一覧!AA104)</f>
        <v xml:space="preserve"> </v>
      </c>
      <c r="AB16" s="355" t="str">
        <f>IF(一覧!AB104="","",一覧!AB104)</f>
        <v xml:space="preserve"> </v>
      </c>
      <c r="AC16" s="356" t="str">
        <f>IF(一覧!AC104="","",一覧!AC104)</f>
        <v xml:space="preserve"> </v>
      </c>
      <c r="AD16" s="355" t="str">
        <f>IF(一覧!AD104="","",一覧!AD104)</f>
        <v xml:space="preserve"> </v>
      </c>
      <c r="AE16" s="355" t="str">
        <f>IF(一覧!AE104="","",一覧!AE104)</f>
        <v xml:space="preserve"> </v>
      </c>
      <c r="AF16" s="355" t="str">
        <f>IF(一覧!AF104="","",一覧!AF104)</f>
        <v xml:space="preserve"> </v>
      </c>
      <c r="AG16" s="357" t="str">
        <f>IF(一覧!AG104="","",一覧!AG104)</f>
        <v xml:space="preserve"> </v>
      </c>
      <c r="AH16" s="304" t="str">
        <f>IF(一覧!AH104="","",一覧!AH104)</f>
        <v/>
      </c>
    </row>
    <row r="17" spans="1:34" ht="15" customHeight="1">
      <c r="A17" s="347">
        <f>COUNTIF(C17:AG17,"★★")</f>
        <v>4</v>
      </c>
      <c r="B17" s="518" t="str">
        <f>IF(一覧!B105="","",一覧!B105)</f>
        <v>井ノ口鉱三</v>
      </c>
      <c r="C17" s="349" t="str">
        <f>IF(一覧!C105="","",一覧!C105)</f>
        <v xml:space="preserve"> </v>
      </c>
      <c r="D17" s="349" t="str">
        <f>IF(一覧!D105="","",一覧!D105)</f>
        <v>地球便</v>
      </c>
      <c r="E17" s="349" t="str">
        <f>IF(一覧!E105="","",一覧!E105)</f>
        <v>委員会１</v>
      </c>
      <c r="F17" s="349" t="str">
        <f>IF(一覧!F105="","",一覧!F105)</f>
        <v>ｺﾝﾃﾝﾂ</v>
      </c>
      <c r="G17" s="349" t="str">
        <f>IF(一覧!G105="","",一覧!G105)</f>
        <v>委員会１</v>
      </c>
      <c r="H17" s="350" t="str">
        <f>IF(一覧!H105="","",一覧!H105)</f>
        <v>★</v>
      </c>
      <c r="I17" s="349" t="str">
        <f>IF(一覧!I105="","",一覧!I105)</f>
        <v>★★</v>
      </c>
      <c r="J17" s="349" t="str">
        <f>IF(一覧!J105="","",一覧!J105)</f>
        <v>声</v>
      </c>
      <c r="K17" s="349" t="str">
        <f>IF(一覧!K105="","",一覧!K105)</f>
        <v>地球便</v>
      </c>
      <c r="L17" s="349" t="str">
        <f>IF(一覧!L105="","",一覧!L105)</f>
        <v>室内楽’</v>
      </c>
      <c r="M17" s="349" t="str">
        <f>IF(一覧!M105="","",一覧!M105)</f>
        <v>ｺﾝﾃﾝﾂ</v>
      </c>
      <c r="N17" s="349" t="str">
        <f>IF(一覧!N105="","",一覧!N105)</f>
        <v>イベント</v>
      </c>
      <c r="O17" s="350" t="str">
        <f>IF(一覧!O105="","",一覧!O105)</f>
        <v>委員会１</v>
      </c>
      <c r="P17" s="349" t="str">
        <f>IF(一覧!P105="","",一覧!P105)</f>
        <v>★★</v>
      </c>
      <c r="Q17" s="349" t="str">
        <f>IF(一覧!Q105="","",一覧!Q105)</f>
        <v>★</v>
      </c>
      <c r="R17" s="349" t="str">
        <f>IF(一覧!R105="","",一覧!R105)</f>
        <v xml:space="preserve"> </v>
      </c>
      <c r="S17" s="349" t="str">
        <f>IF(一覧!S105="","",一覧!S105)</f>
        <v>室内楽</v>
      </c>
      <c r="T17" s="349" t="str">
        <f>IF(一覧!T105="","",一覧!T105)</f>
        <v>室内楽</v>
      </c>
      <c r="U17" s="349" t="str">
        <f>IF(一覧!U105="","",一覧!U105)</f>
        <v xml:space="preserve"> </v>
      </c>
      <c r="V17" s="350" t="str">
        <f>IF(一覧!V105="","",一覧!V105)</f>
        <v>★</v>
      </c>
      <c r="W17" s="349" t="str">
        <f>IF(一覧!W105="","",一覧!W105)</f>
        <v>★★</v>
      </c>
      <c r="X17" s="349" t="str">
        <f>IF(一覧!X105="","",一覧!X105)</f>
        <v>ほんわか１'</v>
      </c>
      <c r="Y17" s="349" t="str">
        <f>IF(一覧!Y105="","",一覧!Y105)</f>
        <v>地球便</v>
      </c>
      <c r="Z17" s="349" t="str">
        <f>IF(一覧!Z105="","",一覧!Z105)</f>
        <v>代休</v>
      </c>
      <c r="AA17" s="349" t="str">
        <f>IF(一覧!AA105="","",一覧!AA105)</f>
        <v>ｺﾝﾃﾝﾂ</v>
      </c>
      <c r="AB17" s="349" t="str">
        <f>IF(一覧!AB105="","",一覧!AB105)</f>
        <v>編集G会議</v>
      </c>
      <c r="AC17" s="350" t="str">
        <f>IF(一覧!AC105="","",一覧!AC105)</f>
        <v>委員会１</v>
      </c>
      <c r="AD17" s="349" t="str">
        <f>IF(一覧!AD105="","",一覧!AD105)</f>
        <v>★★</v>
      </c>
      <c r="AE17" s="349" t="str">
        <f>IF(一覧!AE105="","",一覧!AE105)</f>
        <v>ほんわか１</v>
      </c>
      <c r="AF17" s="349" t="str">
        <f>IF(一覧!AF105="","",一覧!AF105)</f>
        <v>★</v>
      </c>
      <c r="AG17" s="351" t="str">
        <f>IF(一覧!AG105="","",一覧!AG105)</f>
        <v xml:space="preserve"> </v>
      </c>
      <c r="AH17" s="519" t="str">
        <f>IF(一覧!AH105="","",一覧!AH105)</f>
        <v>井ノ口</v>
      </c>
    </row>
    <row r="18" spans="1:34" ht="15" customHeight="1">
      <c r="A18" s="347">
        <f>COUNTIF(C17:AG17,"★")</f>
        <v>4</v>
      </c>
      <c r="B18" s="303" t="str">
        <f>IF(一覧!B106="","",一覧!B106)</f>
        <v/>
      </c>
      <c r="C18" s="355" t="str">
        <f>IF(一覧!C106="","",一覧!C106)</f>
        <v xml:space="preserve"> </v>
      </c>
      <c r="D18" s="355" t="str">
        <f>IF(一覧!D106="","",一覧!D106)</f>
        <v xml:space="preserve"> </v>
      </c>
      <c r="E18" s="355" t="str">
        <f>IF(一覧!E106="","",一覧!E106)</f>
        <v>SP編集1</v>
      </c>
      <c r="F18" s="355" t="str">
        <f>IF(一覧!F106="","",一覧!F106)</f>
        <v>音道楽√</v>
      </c>
      <c r="G18" s="355" t="str">
        <f>IF(一覧!G106="","",一覧!G106)</f>
        <v>編集1</v>
      </c>
      <c r="H18" s="356" t="str">
        <f>IF(一覧!H106="","",一覧!H106)</f>
        <v xml:space="preserve"> </v>
      </c>
      <c r="I18" s="355" t="str">
        <f>IF(一覧!I106="","",一覧!I106)</f>
        <v xml:space="preserve"> </v>
      </c>
      <c r="J18" s="355" t="str">
        <f>IF(一覧!J106="","",一覧!J106)</f>
        <v xml:space="preserve"> </v>
      </c>
      <c r="K18" s="355" t="str">
        <f>IF(一覧!K106="","",一覧!K106)</f>
        <v xml:space="preserve"> </v>
      </c>
      <c r="L18" s="355" t="str">
        <f>IF(一覧!L106="","",一覧!L106)</f>
        <v xml:space="preserve"> </v>
      </c>
      <c r="M18" s="355" t="str">
        <f>IF(一覧!M106="","",一覧!M106)</f>
        <v>音道楽√</v>
      </c>
      <c r="N18" s="355" t="str">
        <f>IF(一覧!N106="","",一覧!N106)</f>
        <v xml:space="preserve"> </v>
      </c>
      <c r="O18" s="356" t="str">
        <f>IF(一覧!O106="","",一覧!O106)</f>
        <v>編集1</v>
      </c>
      <c r="P18" s="355" t="str">
        <f>IF(一覧!P106="","",一覧!P106)</f>
        <v xml:space="preserve"> </v>
      </c>
      <c r="Q18" s="355" t="str">
        <f>IF(一覧!Q106="","",一覧!Q106)</f>
        <v xml:space="preserve"> </v>
      </c>
      <c r="R18" s="355" t="str">
        <f>IF(一覧!R106="","",一覧!R106)</f>
        <v xml:space="preserve"> </v>
      </c>
      <c r="S18" s="355" t="str">
        <f>IF(一覧!S106="","",一覧!S106)</f>
        <v>フェスタ</v>
      </c>
      <c r="T18" s="355" t="str">
        <f>IF(一覧!T106="","",一覧!T106)</f>
        <v>フェスタ</v>
      </c>
      <c r="U18" s="355" t="str">
        <f>IF(一覧!U106="","",一覧!U106)</f>
        <v xml:space="preserve"> </v>
      </c>
      <c r="V18" s="356" t="str">
        <f>IF(一覧!V106="","",一覧!V106)</f>
        <v xml:space="preserve"> </v>
      </c>
      <c r="W18" s="355" t="str">
        <f>IF(一覧!W106="","",一覧!W106)</f>
        <v xml:space="preserve"> </v>
      </c>
      <c r="X18" s="355" t="str">
        <f>IF(一覧!X106="","",一覧!X106)</f>
        <v xml:space="preserve"> </v>
      </c>
      <c r="Y18" s="355" t="str">
        <f>IF(一覧!Y106="","",一覧!Y106)</f>
        <v xml:space="preserve"> </v>
      </c>
      <c r="Z18" s="355" t="str">
        <f>IF(一覧!Z106="","",一覧!Z106)</f>
        <v>5/30</v>
      </c>
      <c r="AA18" s="355" t="str">
        <f>IF(一覧!AA106="","",一覧!AA106)</f>
        <v>音道楽√</v>
      </c>
      <c r="AB18" s="355" t="str">
        <f>IF(一覧!AB106="","",一覧!AB106)</f>
        <v>イベント</v>
      </c>
      <c r="AC18" s="356" t="str">
        <f>IF(一覧!AC106="","",一覧!AC106)</f>
        <v>編集1</v>
      </c>
      <c r="AD18" s="355" t="str">
        <f>IF(一覧!AD106="","",一覧!AD106)</f>
        <v xml:space="preserve"> </v>
      </c>
      <c r="AE18" s="355" t="str">
        <f>IF(一覧!AE106="","",一覧!AE106)</f>
        <v>編集1</v>
      </c>
      <c r="AF18" s="355" t="str">
        <f>IF(一覧!AF106="","",一覧!AF106)</f>
        <v xml:space="preserve"> </v>
      </c>
      <c r="AG18" s="357" t="str">
        <f>IF(一覧!AG106="","",一覧!AG106)</f>
        <v xml:space="preserve"> </v>
      </c>
      <c r="AH18" s="304" t="str">
        <f>IF(一覧!AH106="","",一覧!AH106)</f>
        <v/>
      </c>
    </row>
    <row r="19" spans="1:34" ht="15" customHeight="1">
      <c r="A19" s="347">
        <f>COUNTIF(C19:AG19,"★★")</f>
        <v>4</v>
      </c>
      <c r="B19" s="518" t="str">
        <f>IF(一覧!B107="","",一覧!B107)</f>
        <v>西山　貴宣</v>
      </c>
      <c r="C19" s="349" t="str">
        <f>IF(一覧!C107="","",一覧!C107)</f>
        <v>ほんわか２</v>
      </c>
      <c r="D19" s="349" t="str">
        <f>IF(一覧!D107="","",一覧!D107)</f>
        <v>ほんわか２</v>
      </c>
      <c r="E19" s="349" t="str">
        <f>IF(一覧!E107="","",一覧!E107)</f>
        <v>あけ</v>
      </c>
      <c r="F19" s="349" t="str">
        <f>IF(一覧!F107="","",一覧!F107)</f>
        <v>5/6</v>
      </c>
      <c r="G19" s="349" t="str">
        <f>IF(一覧!G107="","",一覧!G107)</f>
        <v>イベント</v>
      </c>
      <c r="H19" s="350" t="str">
        <f>IF(一覧!H107="","",一覧!H107)</f>
        <v>★</v>
      </c>
      <c r="I19" s="349" t="str">
        <f>IF(一覧!I107="","",一覧!I107)</f>
        <v>★★</v>
      </c>
      <c r="J19" s="349" t="str">
        <f>IF(一覧!J107="","",一覧!J107)</f>
        <v>ほんわか１</v>
      </c>
      <c r="K19" s="349" t="str">
        <f>IF(一覧!K107="","",一覧!K107)</f>
        <v>A/D</v>
      </c>
      <c r="L19" s="349" t="str">
        <f>IF(一覧!L107="","",一覧!L107)</f>
        <v>声</v>
      </c>
      <c r="M19" s="349" t="str">
        <f>IF(一覧!M107="","",一覧!M107)</f>
        <v>検証機</v>
      </c>
      <c r="N19" s="349" t="str">
        <f>IF(一覧!N107="","",一覧!N107)</f>
        <v>年休</v>
      </c>
      <c r="O19" s="350" t="str">
        <f>IF(一覧!O107="","",一覧!O107)</f>
        <v>委員会'</v>
      </c>
      <c r="P19" s="349" t="str">
        <f>IF(一覧!P107="","",一覧!P107)</f>
        <v>★★</v>
      </c>
      <c r="Q19" s="349" t="str">
        <f>IF(一覧!Q107="","",一覧!Q107)</f>
        <v>★</v>
      </c>
      <c r="R19" s="349" t="str">
        <f>IF(一覧!R107="","",一覧!R107)</f>
        <v>地球便</v>
      </c>
      <c r="S19" s="349" t="str">
        <f>IF(一覧!S107="","",一覧!S107)</f>
        <v>XAVC</v>
      </c>
      <c r="T19" s="349" t="str">
        <f>IF(一覧!T107="","",一覧!T107)</f>
        <v>ｺﾝﾃﾝﾂ</v>
      </c>
      <c r="U19" s="349" t="str">
        <f>IF(一覧!U107="","",一覧!U107)</f>
        <v>委員会２</v>
      </c>
      <c r="V19" s="350" t="str">
        <f>IF(一覧!V107="","",一覧!V107)</f>
        <v>★</v>
      </c>
      <c r="W19" s="349" t="str">
        <f>IF(一覧!W107="","",一覧!W107)</f>
        <v>★★</v>
      </c>
      <c r="X19" s="349" t="str">
        <f>IF(一覧!X107="","",一覧!X107)</f>
        <v>ほんわか２</v>
      </c>
      <c r="Y19" s="349" t="str">
        <f>IF(一覧!Y107="","",一覧!Y107)</f>
        <v>ほんわか２</v>
      </c>
      <c r="Z19" s="349" t="str">
        <f>IF(一覧!Z107="","",一覧!Z107)</f>
        <v>年休</v>
      </c>
      <c r="AA19" s="349" t="str">
        <f>IF(一覧!AA107="","",一覧!AA107)</f>
        <v>XAVC</v>
      </c>
      <c r="AB19" s="349" t="str">
        <f>IF(一覧!AB107="","",一覧!AB107)</f>
        <v>編集G会議</v>
      </c>
      <c r="AC19" s="350" t="str">
        <f>IF(一覧!AC107="","",一覧!AC107)</f>
        <v>★</v>
      </c>
      <c r="AD19" s="349" t="str">
        <f>IF(一覧!AD107="","",一覧!AD107)</f>
        <v>★★</v>
      </c>
      <c r="AE19" s="349" t="str">
        <f>IF(一覧!AE107="","",一覧!AE107)</f>
        <v>ほんわか２</v>
      </c>
      <c r="AF19" s="349" t="str">
        <f>IF(一覧!AF107="","",一覧!AF107)</f>
        <v>ほんわか２</v>
      </c>
      <c r="AG19" s="351" t="str">
        <f>IF(一覧!AG107="","",一覧!AG107)</f>
        <v xml:space="preserve"> </v>
      </c>
      <c r="AH19" s="519" t="str">
        <f>IF(一覧!AH107="","",一覧!AH107)</f>
        <v>西山</v>
      </c>
    </row>
    <row r="20" spans="1:34" ht="15" customHeight="1">
      <c r="A20" s="347">
        <f>COUNTIF(C19:AG19,"★")</f>
        <v>4</v>
      </c>
      <c r="B20" s="303" t="str">
        <f>IF(一覧!B108="","",一覧!B108)</f>
        <v/>
      </c>
      <c r="C20" s="355" t="str">
        <f>IF(一覧!C108="","",一覧!C108)</f>
        <v>堀さんPG</v>
      </c>
      <c r="D20" s="355" t="str">
        <f>IF(一覧!D108="","",一覧!D108)</f>
        <v>堀さんPG</v>
      </c>
      <c r="E20" s="355" t="str">
        <f>IF(一覧!E108="","",一覧!E108)</f>
        <v xml:space="preserve"> </v>
      </c>
      <c r="F20" s="355" t="str">
        <f>IF(一覧!F108="","",一覧!F108)</f>
        <v>代休</v>
      </c>
      <c r="G20" s="355" t="str">
        <f>IF(一覧!G108="","",一覧!G108)</f>
        <v>A/D</v>
      </c>
      <c r="H20" s="356" t="str">
        <f>IF(一覧!H108="","",一覧!H108)</f>
        <v xml:space="preserve"> </v>
      </c>
      <c r="I20" s="355" t="str">
        <f>IF(一覧!I108="","",一覧!I108)</f>
        <v xml:space="preserve"> </v>
      </c>
      <c r="J20" s="355" t="str">
        <f>IF(一覧!J108="","",一覧!J108)</f>
        <v>編集1</v>
      </c>
      <c r="K20" s="355" t="str">
        <f>IF(一覧!K108="","",一覧!K108)</f>
        <v xml:space="preserve"> </v>
      </c>
      <c r="L20" s="355" t="str">
        <f>IF(一覧!L108="","",一覧!L108)</f>
        <v>telop</v>
      </c>
      <c r="M20" s="355" t="str">
        <f>IF(一覧!M108="","",一覧!M108)</f>
        <v>設定</v>
      </c>
      <c r="N20" s="355" t="str">
        <f>IF(一覧!N108="","",一覧!N108)</f>
        <v/>
      </c>
      <c r="O20" s="356" t="str">
        <f>IF(一覧!O108="","",一覧!O108)</f>
        <v>XAVC</v>
      </c>
      <c r="P20" s="355" t="str">
        <f>IF(一覧!P108="","",一覧!P108)</f>
        <v xml:space="preserve"> </v>
      </c>
      <c r="Q20" s="355" t="str">
        <f>IF(一覧!Q108="","",一覧!Q108)</f>
        <v xml:space="preserve"> </v>
      </c>
      <c r="R20" s="355" t="str">
        <f>IF(一覧!R108="","",一覧!R108)</f>
        <v xml:space="preserve"> </v>
      </c>
      <c r="S20" s="355" t="str">
        <f>IF(一覧!S108="","",一覧!S108)</f>
        <v>検証</v>
      </c>
      <c r="T20" s="355" t="str">
        <f>IF(一覧!T108="","",一覧!T108)</f>
        <v>音道楽√</v>
      </c>
      <c r="U20" s="355" t="str">
        <f>IF(一覧!U108="","",一覧!U108)</f>
        <v>編集2</v>
      </c>
      <c r="V20" s="356" t="str">
        <f>IF(一覧!V108="","",一覧!V108)</f>
        <v xml:space="preserve"> </v>
      </c>
      <c r="W20" s="355" t="str">
        <f>IF(一覧!W108="","",一覧!W108)</f>
        <v xml:space="preserve"> </v>
      </c>
      <c r="X20" s="355" t="str">
        <f>IF(一覧!X108="","",一覧!X108)</f>
        <v>編集2</v>
      </c>
      <c r="Y20" s="355" t="str">
        <f>IF(一覧!Y108="","",一覧!Y108)</f>
        <v>編集2</v>
      </c>
      <c r="Z20" s="355" t="str">
        <f>IF(一覧!Z108="","",一覧!Z108)</f>
        <v xml:space="preserve"> </v>
      </c>
      <c r="AA20" s="355" t="str">
        <f>IF(一覧!AA108="","",一覧!AA108)</f>
        <v>検証</v>
      </c>
      <c r="AB20" s="355" t="str">
        <f>IF(一覧!AB108="","",一覧!AB108)</f>
        <v/>
      </c>
      <c r="AC20" s="356" t="str">
        <f>IF(一覧!AC108="","",一覧!AC108)</f>
        <v xml:space="preserve"> </v>
      </c>
      <c r="AD20" s="355" t="str">
        <f>IF(一覧!AD108="","",一覧!AD108)</f>
        <v xml:space="preserve"> </v>
      </c>
      <c r="AE20" s="355" t="str">
        <f>IF(一覧!AE108="","",一覧!AE108)</f>
        <v>編集2</v>
      </c>
      <c r="AF20" s="355" t="str">
        <f>IF(一覧!AF108="","",一覧!AF108)</f>
        <v>編集2</v>
      </c>
      <c r="AG20" s="357" t="str">
        <f>IF(一覧!AG108="","",一覧!AG108)</f>
        <v xml:space="preserve"> </v>
      </c>
      <c r="AH20" s="304" t="str">
        <f>IF(一覧!AH108="","",一覧!AH108)</f>
        <v/>
      </c>
    </row>
    <row r="21" spans="1:34" ht="15" customHeight="1">
      <c r="A21" s="347">
        <f>COUNTIF(C21:AG21,"★★")</f>
        <v>4</v>
      </c>
      <c r="B21" s="518" t="str">
        <f>IF(一覧!B109="","",一覧!B109)</f>
        <v>松久保雄哉</v>
      </c>
      <c r="C21" s="349" t="str">
        <f>IF(一覧!C109="","",一覧!C109)</f>
        <v/>
      </c>
      <c r="D21" s="349" t="str">
        <f>IF(一覧!D109="","",一覧!D109)</f>
        <v/>
      </c>
      <c r="E21" s="349" t="str">
        <f>IF(一覧!E109="","",一覧!E109)</f>
        <v/>
      </c>
      <c r="F21" s="349" t="str">
        <f>IF(一覧!F109="","",一覧!F109)</f>
        <v/>
      </c>
      <c r="G21" s="349" t="str">
        <f>IF(一覧!G109="","",一覧!G109)</f>
        <v/>
      </c>
      <c r="H21" s="350" t="str">
        <f>IF(一覧!H109="","",一覧!H109)</f>
        <v>★</v>
      </c>
      <c r="I21" s="349" t="str">
        <f>IF(一覧!I109="","",一覧!I109)</f>
        <v>★★</v>
      </c>
      <c r="J21" s="349" t="str">
        <f>IF(一覧!J109="","",一覧!J109)</f>
        <v/>
      </c>
      <c r="K21" s="349" t="str">
        <f>IF(一覧!K109="","",一覧!K109)</f>
        <v/>
      </c>
      <c r="L21" s="349" t="str">
        <f>IF(一覧!L109="","",一覧!L109)</f>
        <v/>
      </c>
      <c r="M21" s="349" t="str">
        <f>IF(一覧!M109="","",一覧!M109)</f>
        <v/>
      </c>
      <c r="N21" s="349" t="str">
        <f>IF(一覧!N109="","",一覧!N109)</f>
        <v/>
      </c>
      <c r="O21" s="350" t="str">
        <f>IF(一覧!O109="","",一覧!O109)</f>
        <v>★</v>
      </c>
      <c r="P21" s="349" t="str">
        <f>IF(一覧!P109="","",一覧!P109)</f>
        <v>★★</v>
      </c>
      <c r="Q21" s="349" t="str">
        <f>IF(一覧!Q109="","",一覧!Q109)</f>
        <v/>
      </c>
      <c r="R21" s="349" t="str">
        <f>IF(一覧!R109="","",一覧!R109)</f>
        <v/>
      </c>
      <c r="S21" s="349" t="str">
        <f>IF(一覧!S109="","",一覧!S109)</f>
        <v/>
      </c>
      <c r="T21" s="349" t="str">
        <f>IF(一覧!T109="","",一覧!T109)</f>
        <v/>
      </c>
      <c r="U21" s="349" t="str">
        <f>IF(一覧!U109="","",一覧!U109)</f>
        <v/>
      </c>
      <c r="V21" s="350" t="str">
        <f>IF(一覧!V109="","",一覧!V109)</f>
        <v>★</v>
      </c>
      <c r="W21" s="349" t="str">
        <f>IF(一覧!W109="","",一覧!W109)</f>
        <v>★★</v>
      </c>
      <c r="X21" s="349" t="str">
        <f>IF(一覧!X109="","",一覧!X109)</f>
        <v/>
      </c>
      <c r="Y21" s="349" t="str">
        <f>IF(一覧!Y109="","",一覧!Y109)</f>
        <v/>
      </c>
      <c r="Z21" s="349" t="str">
        <f>IF(一覧!Z109="","",一覧!Z109)</f>
        <v/>
      </c>
      <c r="AA21" s="349" t="str">
        <f>IF(一覧!AA109="","",一覧!AA109)</f>
        <v/>
      </c>
      <c r="AB21" s="349" t="str">
        <f>IF(一覧!AB109="","",一覧!AB109)</f>
        <v/>
      </c>
      <c r="AC21" s="350" t="str">
        <f>IF(一覧!AC109="","",一覧!AC109)</f>
        <v>★</v>
      </c>
      <c r="AD21" s="349" t="str">
        <f>IF(一覧!AD109="","",一覧!AD109)</f>
        <v>★★</v>
      </c>
      <c r="AE21" s="349" t="str">
        <f>IF(一覧!AE109="","",一覧!AE109)</f>
        <v/>
      </c>
      <c r="AF21" s="349" t="str">
        <f>IF(一覧!AF109="","",一覧!AF109)</f>
        <v/>
      </c>
      <c r="AG21" s="351" t="str">
        <f>IF(一覧!AG109="","",一覧!AG109)</f>
        <v/>
      </c>
      <c r="AH21" s="519" t="str">
        <f>IF(一覧!AH109="","",一覧!AH109)</f>
        <v>松久保</v>
      </c>
    </row>
    <row r="22" spans="1:34" ht="15" customHeight="1">
      <c r="A22" s="347">
        <f>COUNTIF(C21:AG21,"★")</f>
        <v>4</v>
      </c>
      <c r="B22" s="303" t="str">
        <f>IF(一覧!B110="","",一覧!B110)</f>
        <v/>
      </c>
      <c r="C22" s="355" t="str">
        <f>IF(一覧!C110="","",一覧!C110)</f>
        <v/>
      </c>
      <c r="D22" s="355" t="str">
        <f>IF(一覧!D110="","",一覧!D110)</f>
        <v/>
      </c>
      <c r="E22" s="355" t="str">
        <f>IF(一覧!E110="","",一覧!E110)</f>
        <v/>
      </c>
      <c r="F22" s="355" t="str">
        <f>IF(一覧!F110="","",一覧!F110)</f>
        <v/>
      </c>
      <c r="G22" s="355" t="str">
        <f>IF(一覧!G110="","",一覧!G110)</f>
        <v/>
      </c>
      <c r="H22" s="356" t="str">
        <f>IF(一覧!H110="","",一覧!H110)</f>
        <v/>
      </c>
      <c r="I22" s="355" t="str">
        <f>IF(一覧!I110="","",一覧!I110)</f>
        <v/>
      </c>
      <c r="J22" s="355" t="str">
        <f>IF(一覧!J110="","",一覧!J110)</f>
        <v/>
      </c>
      <c r="K22" s="355" t="str">
        <f>IF(一覧!K110="","",一覧!K110)</f>
        <v/>
      </c>
      <c r="L22" s="355" t="str">
        <f>IF(一覧!L110="","",一覧!L110)</f>
        <v/>
      </c>
      <c r="M22" s="355" t="str">
        <f>IF(一覧!M110="","",一覧!M110)</f>
        <v/>
      </c>
      <c r="N22" s="355" t="str">
        <f>IF(一覧!N110="","",一覧!N110)</f>
        <v/>
      </c>
      <c r="O22" s="356" t="str">
        <f>IF(一覧!O110="","",一覧!O110)</f>
        <v/>
      </c>
      <c r="P22" s="355" t="str">
        <f>IF(一覧!P110="","",一覧!P110)</f>
        <v/>
      </c>
      <c r="Q22" s="355" t="str">
        <f>IF(一覧!Q110="","",一覧!Q110)</f>
        <v/>
      </c>
      <c r="R22" s="355" t="str">
        <f>IF(一覧!R110="","",一覧!R110)</f>
        <v/>
      </c>
      <c r="S22" s="355" t="str">
        <f>IF(一覧!S110="","",一覧!S110)</f>
        <v/>
      </c>
      <c r="T22" s="355" t="str">
        <f>IF(一覧!T110="","",一覧!T110)</f>
        <v/>
      </c>
      <c r="U22" s="355" t="str">
        <f>IF(一覧!U110="","",一覧!U110)</f>
        <v/>
      </c>
      <c r="V22" s="356" t="str">
        <f>IF(一覧!V110="","",一覧!V110)</f>
        <v/>
      </c>
      <c r="W22" s="355" t="str">
        <f>IF(一覧!W110="","",一覧!W110)</f>
        <v/>
      </c>
      <c r="X22" s="355" t="str">
        <f>IF(一覧!X110="","",一覧!X110)</f>
        <v/>
      </c>
      <c r="Y22" s="355" t="str">
        <f>IF(一覧!Y110="","",一覧!Y110)</f>
        <v/>
      </c>
      <c r="Z22" s="355" t="str">
        <f>IF(一覧!Z110="","",一覧!Z110)</f>
        <v/>
      </c>
      <c r="AA22" s="355" t="str">
        <f>IF(一覧!AA110="","",一覧!AA110)</f>
        <v/>
      </c>
      <c r="AB22" s="355" t="str">
        <f>IF(一覧!AB110="","",一覧!AB110)</f>
        <v/>
      </c>
      <c r="AC22" s="356" t="str">
        <f>IF(一覧!AC110="","",一覧!AC110)</f>
        <v/>
      </c>
      <c r="AD22" s="355" t="str">
        <f>IF(一覧!AD110="","",一覧!AD110)</f>
        <v/>
      </c>
      <c r="AE22" s="355" t="str">
        <f>IF(一覧!AE110="","",一覧!AE110)</f>
        <v/>
      </c>
      <c r="AF22" s="355" t="str">
        <f>IF(一覧!AF110="","",一覧!AF110)</f>
        <v/>
      </c>
      <c r="AG22" s="357" t="str">
        <f>IF(一覧!AG110="","",一覧!AG110)</f>
        <v/>
      </c>
      <c r="AH22" s="304" t="str">
        <f>IF(一覧!AH110="","",一覧!AH110)</f>
        <v/>
      </c>
    </row>
    <row r="23" spans="1:34" ht="15" customHeight="1">
      <c r="A23" s="347">
        <f>COUNTIF(C23:AG23,"★★")</f>
        <v>0</v>
      </c>
      <c r="B23" s="518" t="str">
        <f>IF(一覧!B119="","",一覧!B119)</f>
        <v/>
      </c>
      <c r="C23" s="349" t="str">
        <f>IF(一覧!C119="","",一覧!C119)</f>
        <v/>
      </c>
      <c r="D23" s="349" t="str">
        <f>IF(一覧!D119="","",一覧!D119)</f>
        <v/>
      </c>
      <c r="E23" s="349" t="str">
        <f>IF(一覧!E119="","",一覧!E119)</f>
        <v/>
      </c>
      <c r="F23" s="349" t="str">
        <f>IF(一覧!F119="","",一覧!F119)</f>
        <v/>
      </c>
      <c r="G23" s="349" t="str">
        <f>IF(一覧!G119="","",一覧!G119)</f>
        <v/>
      </c>
      <c r="H23" s="350" t="str">
        <f>IF(一覧!H119="","",一覧!H119)</f>
        <v/>
      </c>
      <c r="I23" s="349" t="str">
        <f>IF(一覧!I119="","",一覧!I119)</f>
        <v/>
      </c>
      <c r="J23" s="349" t="str">
        <f>IF(一覧!J119="","",一覧!J119)</f>
        <v/>
      </c>
      <c r="K23" s="349" t="str">
        <f>IF(一覧!K119="","",一覧!K119)</f>
        <v/>
      </c>
      <c r="L23" s="349" t="str">
        <f>IF(一覧!L119="","",一覧!L119)</f>
        <v/>
      </c>
      <c r="M23" s="349" t="str">
        <f>IF(一覧!M119="","",一覧!M119)</f>
        <v/>
      </c>
      <c r="N23" s="349" t="str">
        <f>IF(一覧!N119="","",一覧!N119)</f>
        <v/>
      </c>
      <c r="O23" s="350" t="str">
        <f>IF(一覧!O119="","",一覧!O119)</f>
        <v/>
      </c>
      <c r="P23" s="349" t="str">
        <f>IF(一覧!P119="","",一覧!P119)</f>
        <v/>
      </c>
      <c r="Q23" s="349" t="str">
        <f>IF(一覧!Q119="","",一覧!Q119)</f>
        <v/>
      </c>
      <c r="R23" s="349" t="str">
        <f>IF(一覧!R119="","",一覧!R119)</f>
        <v/>
      </c>
      <c r="S23" s="349" t="str">
        <f>IF(一覧!S119="","",一覧!S119)</f>
        <v/>
      </c>
      <c r="T23" s="349" t="str">
        <f>IF(一覧!T119="","",一覧!T119)</f>
        <v/>
      </c>
      <c r="U23" s="349" t="str">
        <f>IF(一覧!U119="","",一覧!U119)</f>
        <v/>
      </c>
      <c r="V23" s="350" t="str">
        <f>IF(一覧!V119="","",一覧!V119)</f>
        <v/>
      </c>
      <c r="W23" s="349" t="str">
        <f>IF(一覧!W119="","",一覧!W119)</f>
        <v/>
      </c>
      <c r="X23" s="349" t="str">
        <f>IF(一覧!X119="","",一覧!X119)</f>
        <v/>
      </c>
      <c r="Y23" s="349" t="str">
        <f>IF(一覧!Y119="","",一覧!Y119)</f>
        <v/>
      </c>
      <c r="Z23" s="349" t="str">
        <f>IF(一覧!Z119="","",一覧!Z119)</f>
        <v/>
      </c>
      <c r="AA23" s="349" t="str">
        <f>IF(一覧!AA119="","",一覧!AA119)</f>
        <v/>
      </c>
      <c r="AB23" s="349" t="str">
        <f>IF(一覧!AB119="","",一覧!AB119)</f>
        <v/>
      </c>
      <c r="AC23" s="350" t="str">
        <f>IF(一覧!AC119="","",一覧!AC119)</f>
        <v/>
      </c>
      <c r="AD23" s="349" t="str">
        <f>IF(一覧!AD119="","",一覧!AD119)</f>
        <v/>
      </c>
      <c r="AE23" s="349" t="str">
        <f>IF(一覧!AE119="","",一覧!AE119)</f>
        <v/>
      </c>
      <c r="AF23" s="349" t="str">
        <f>IF(一覧!AF119="","",一覧!AF119)</f>
        <v/>
      </c>
      <c r="AG23" s="351" t="str">
        <f>IF(一覧!AG119="","",一覧!AG119)</f>
        <v/>
      </c>
      <c r="AH23" s="519" t="str">
        <f>IF(一覧!AH119="","",一覧!AH119)</f>
        <v/>
      </c>
    </row>
    <row r="24" spans="1:34" ht="15" customHeight="1" thickBot="1">
      <c r="A24" s="347">
        <f>COUNTIF(C23:AG23,"★")</f>
        <v>0</v>
      </c>
      <c r="B24" s="424" t="str">
        <f>IF(一覧!B120="","",一覧!B120)</f>
        <v/>
      </c>
      <c r="C24" s="464" t="str">
        <f>IF(一覧!C120="","",一覧!C120)</f>
        <v/>
      </c>
      <c r="D24" s="464" t="str">
        <f>IF(一覧!D120="","",一覧!D120)</f>
        <v/>
      </c>
      <c r="E24" s="464" t="str">
        <f>IF(一覧!E120="","",一覧!E120)</f>
        <v/>
      </c>
      <c r="F24" s="464" t="str">
        <f>IF(一覧!F120="","",一覧!F120)</f>
        <v/>
      </c>
      <c r="G24" s="464" t="str">
        <f>IF(一覧!G120="","",一覧!G120)</f>
        <v/>
      </c>
      <c r="H24" s="465" t="str">
        <f>IF(一覧!H120="","",一覧!H120)</f>
        <v/>
      </c>
      <c r="I24" s="464" t="str">
        <f>IF(一覧!I120="","",一覧!I120)</f>
        <v/>
      </c>
      <c r="J24" s="464" t="str">
        <f>IF(一覧!J120="","",一覧!J120)</f>
        <v/>
      </c>
      <c r="K24" s="464" t="str">
        <f>IF(一覧!K120="","",一覧!K120)</f>
        <v/>
      </c>
      <c r="L24" s="464" t="str">
        <f>IF(一覧!L120="","",一覧!L120)</f>
        <v/>
      </c>
      <c r="M24" s="464" t="str">
        <f>IF(一覧!M120="","",一覧!M120)</f>
        <v/>
      </c>
      <c r="N24" s="464" t="str">
        <f>IF(一覧!N120="","",一覧!N120)</f>
        <v/>
      </c>
      <c r="O24" s="465" t="str">
        <f>IF(一覧!O120="","",一覧!O120)</f>
        <v/>
      </c>
      <c r="P24" s="464" t="str">
        <f>IF(一覧!P120="","",一覧!P120)</f>
        <v/>
      </c>
      <c r="Q24" s="464" t="str">
        <f>IF(一覧!Q120="","",一覧!Q120)</f>
        <v/>
      </c>
      <c r="R24" s="464" t="str">
        <f>IF(一覧!R120="","",一覧!R120)</f>
        <v/>
      </c>
      <c r="S24" s="464" t="str">
        <f>IF(一覧!S120="","",一覧!S120)</f>
        <v/>
      </c>
      <c r="T24" s="464" t="str">
        <f>IF(一覧!T120="","",一覧!T120)</f>
        <v/>
      </c>
      <c r="U24" s="464" t="str">
        <f>IF(一覧!U120="","",一覧!U120)</f>
        <v/>
      </c>
      <c r="V24" s="465" t="str">
        <f>IF(一覧!V120="","",一覧!V120)</f>
        <v/>
      </c>
      <c r="W24" s="464" t="str">
        <f>IF(一覧!W120="","",一覧!W120)</f>
        <v/>
      </c>
      <c r="X24" s="464" t="str">
        <f>IF(一覧!X120="","",一覧!X120)</f>
        <v/>
      </c>
      <c r="Y24" s="464" t="str">
        <f>IF(一覧!Y120="","",一覧!Y120)</f>
        <v/>
      </c>
      <c r="Z24" s="464" t="str">
        <f>IF(一覧!Z120="","",一覧!Z120)</f>
        <v/>
      </c>
      <c r="AA24" s="464" t="str">
        <f>IF(一覧!AA120="","",一覧!AA120)</f>
        <v/>
      </c>
      <c r="AB24" s="464" t="str">
        <f>IF(一覧!AB120="","",一覧!AB120)</f>
        <v/>
      </c>
      <c r="AC24" s="465" t="str">
        <f>IF(一覧!AC120="","",一覧!AC120)</f>
        <v/>
      </c>
      <c r="AD24" s="464" t="str">
        <f>IF(一覧!AD120="","",一覧!AD120)</f>
        <v/>
      </c>
      <c r="AE24" s="464" t="str">
        <f>IF(一覧!AE120="","",一覧!AE120)</f>
        <v/>
      </c>
      <c r="AF24" s="464" t="str">
        <f>IF(一覧!AF120="","",一覧!AF120)</f>
        <v/>
      </c>
      <c r="AG24" s="466" t="str">
        <f>IF(一覧!AG120="","",一覧!AG120)</f>
        <v/>
      </c>
      <c r="AH24" s="425" t="str">
        <f>IF(一覧!AH120="","",一覧!AH120)</f>
        <v/>
      </c>
    </row>
    <row r="25" spans="1:34" ht="15" customHeight="1">
      <c r="B25" s="518"/>
      <c r="C25" s="349"/>
      <c r="D25" s="349"/>
      <c r="E25" s="349"/>
      <c r="F25" s="349"/>
      <c r="G25" s="349"/>
      <c r="H25" s="350"/>
      <c r="I25" s="349"/>
      <c r="J25" s="349"/>
      <c r="K25" s="349"/>
      <c r="L25" s="349"/>
      <c r="M25" s="349"/>
      <c r="N25" s="349"/>
      <c r="O25" s="350"/>
      <c r="P25" s="349"/>
      <c r="Q25" s="349"/>
      <c r="R25" s="349"/>
      <c r="S25" s="349"/>
      <c r="T25" s="349"/>
      <c r="U25" s="349"/>
      <c r="V25" s="350"/>
      <c r="W25" s="349"/>
      <c r="X25" s="349"/>
      <c r="Y25" s="349"/>
      <c r="Z25" s="349"/>
      <c r="AA25" s="349"/>
      <c r="AB25" s="349"/>
      <c r="AC25" s="350"/>
      <c r="AD25" s="349"/>
      <c r="AE25" s="349"/>
      <c r="AF25" s="349"/>
      <c r="AG25" s="351"/>
      <c r="AH25" s="519"/>
    </row>
    <row r="26" spans="1:34" ht="15" customHeight="1">
      <c r="B26" s="303"/>
      <c r="C26" s="355"/>
      <c r="D26" s="355"/>
      <c r="E26" s="355"/>
      <c r="F26" s="355"/>
      <c r="G26" s="355"/>
      <c r="H26" s="356"/>
      <c r="I26" s="355"/>
      <c r="J26" s="355"/>
      <c r="K26" s="355"/>
      <c r="L26" s="355"/>
      <c r="M26" s="355"/>
      <c r="N26" s="355"/>
      <c r="O26" s="356"/>
      <c r="P26" s="355"/>
      <c r="Q26" s="355"/>
      <c r="R26" s="355"/>
      <c r="S26" s="355"/>
      <c r="T26" s="355"/>
      <c r="U26" s="355"/>
      <c r="V26" s="356"/>
      <c r="W26" s="355"/>
      <c r="X26" s="355"/>
      <c r="Y26" s="355"/>
      <c r="Z26" s="355"/>
      <c r="AA26" s="355"/>
      <c r="AB26" s="355"/>
      <c r="AC26" s="356"/>
      <c r="AD26" s="355"/>
      <c r="AE26" s="355"/>
      <c r="AF26" s="355"/>
      <c r="AG26" s="357"/>
      <c r="AH26" s="304"/>
    </row>
    <row r="27" spans="1:34" ht="15" customHeight="1">
      <c r="B27" s="518" t="str">
        <f>IF(一覧!B119="","",一覧!B119)</f>
        <v/>
      </c>
      <c r="C27" s="349" t="str">
        <f>IF(一覧!C119="","",一覧!C119)</f>
        <v/>
      </c>
      <c r="D27" s="349" t="str">
        <f>IF(一覧!D119="","",一覧!D119)</f>
        <v/>
      </c>
      <c r="E27" s="349" t="str">
        <f>IF(一覧!E119="","",一覧!E119)</f>
        <v/>
      </c>
      <c r="F27" s="349" t="str">
        <f>IF(一覧!F119="","",一覧!F119)</f>
        <v/>
      </c>
      <c r="G27" s="349" t="str">
        <f>IF(一覧!G119="","",一覧!G119)</f>
        <v/>
      </c>
      <c r="H27" s="350" t="str">
        <f>IF(一覧!H119="","",一覧!H119)</f>
        <v/>
      </c>
      <c r="I27" s="349" t="str">
        <f>IF(一覧!I119="","",一覧!I119)</f>
        <v/>
      </c>
      <c r="J27" s="349" t="str">
        <f>IF(一覧!J119="","",一覧!J119)</f>
        <v/>
      </c>
      <c r="K27" s="349" t="str">
        <f>IF(一覧!K119="","",一覧!K119)</f>
        <v/>
      </c>
      <c r="L27" s="349" t="str">
        <f>IF(一覧!L119="","",一覧!L119)</f>
        <v/>
      </c>
      <c r="M27" s="349" t="str">
        <f>IF(一覧!M119="","",一覧!M119)</f>
        <v/>
      </c>
      <c r="N27" s="349" t="str">
        <f>IF(一覧!N119="","",一覧!N119)</f>
        <v/>
      </c>
      <c r="O27" s="350" t="str">
        <f>IF(一覧!O119="","",一覧!O119)</f>
        <v/>
      </c>
      <c r="P27" s="349" t="str">
        <f>IF(一覧!P119="","",一覧!P119)</f>
        <v/>
      </c>
      <c r="Q27" s="349" t="str">
        <f>IF(一覧!Q119="","",一覧!Q119)</f>
        <v/>
      </c>
      <c r="R27" s="349" t="str">
        <f>IF(一覧!R119="","",一覧!R119)</f>
        <v/>
      </c>
      <c r="S27" s="349" t="str">
        <f>IF(一覧!S119="","",一覧!S119)</f>
        <v/>
      </c>
      <c r="T27" s="349" t="str">
        <f>IF(一覧!T119="","",一覧!T119)</f>
        <v/>
      </c>
      <c r="U27" s="349" t="str">
        <f>IF(一覧!U119="","",一覧!U119)</f>
        <v/>
      </c>
      <c r="V27" s="350" t="str">
        <f>IF(一覧!V119="","",一覧!V119)</f>
        <v/>
      </c>
      <c r="W27" s="349" t="str">
        <f>IF(一覧!W119="","",一覧!W119)</f>
        <v/>
      </c>
      <c r="X27" s="349" t="str">
        <f>IF(一覧!X119="","",一覧!X119)</f>
        <v/>
      </c>
      <c r="Y27" s="349" t="str">
        <f>IF(一覧!Y119="","",一覧!Y119)</f>
        <v/>
      </c>
      <c r="Z27" s="349" t="str">
        <f>IF(一覧!Z119="","",一覧!Z119)</f>
        <v/>
      </c>
      <c r="AA27" s="349" t="str">
        <f>IF(一覧!AA119="","",一覧!AA119)</f>
        <v/>
      </c>
      <c r="AB27" s="349" t="str">
        <f>IF(一覧!AB119="","",一覧!AB119)</f>
        <v/>
      </c>
      <c r="AC27" s="350" t="str">
        <f>IF(一覧!AC119="","",一覧!AC119)</f>
        <v/>
      </c>
      <c r="AD27" s="349" t="str">
        <f>IF(一覧!AD119="","",一覧!AD119)</f>
        <v/>
      </c>
      <c r="AE27" s="349" t="str">
        <f>IF(一覧!AE119="","",一覧!AE119)</f>
        <v/>
      </c>
      <c r="AF27" s="349" t="str">
        <f>IF(一覧!AF119="","",一覧!AF119)</f>
        <v/>
      </c>
      <c r="AG27" s="351" t="str">
        <f>IF(一覧!AG119="","",一覧!AG119)</f>
        <v/>
      </c>
      <c r="AH27" s="519" t="str">
        <f>IF(一覧!AH119="","",一覧!AH119)</f>
        <v/>
      </c>
    </row>
    <row r="28" spans="1:34" ht="15" customHeight="1">
      <c r="B28" s="303"/>
      <c r="C28" s="355" t="str">
        <f>IF(一覧!C120="","",一覧!C120)</f>
        <v/>
      </c>
      <c r="D28" s="355" t="str">
        <f>IF(一覧!D120="","",一覧!D120)</f>
        <v/>
      </c>
      <c r="E28" s="355" t="str">
        <f>IF(一覧!E120="","",一覧!E120)</f>
        <v/>
      </c>
      <c r="F28" s="355" t="str">
        <f>IF(一覧!F120="","",一覧!F120)</f>
        <v/>
      </c>
      <c r="G28" s="355" t="str">
        <f>IF(一覧!G120="","",一覧!G120)</f>
        <v/>
      </c>
      <c r="H28" s="356" t="str">
        <f>IF(一覧!H120="","",一覧!H120)</f>
        <v/>
      </c>
      <c r="I28" s="355" t="str">
        <f>IF(一覧!I120="","",一覧!I120)</f>
        <v/>
      </c>
      <c r="J28" s="355" t="str">
        <f>IF(一覧!J120="","",一覧!J120)</f>
        <v/>
      </c>
      <c r="K28" s="355" t="str">
        <f>IF(一覧!K120="","",一覧!K120)</f>
        <v/>
      </c>
      <c r="L28" s="355" t="str">
        <f>IF(一覧!L120="","",一覧!L120)</f>
        <v/>
      </c>
      <c r="M28" s="355" t="str">
        <f>IF(一覧!M120="","",一覧!M120)</f>
        <v/>
      </c>
      <c r="N28" s="355" t="str">
        <f>IF(一覧!N120="","",一覧!N120)</f>
        <v/>
      </c>
      <c r="O28" s="356" t="str">
        <f>IF(一覧!O120="","",一覧!O120)</f>
        <v/>
      </c>
      <c r="P28" s="355" t="str">
        <f>IF(一覧!P120="","",一覧!P120)</f>
        <v/>
      </c>
      <c r="Q28" s="355" t="str">
        <f>IF(一覧!Q120="","",一覧!Q120)</f>
        <v/>
      </c>
      <c r="R28" s="355" t="str">
        <f>IF(一覧!R120="","",一覧!R120)</f>
        <v/>
      </c>
      <c r="S28" s="355" t="str">
        <f>IF(一覧!S120="","",一覧!S120)</f>
        <v/>
      </c>
      <c r="T28" s="355" t="str">
        <f>IF(一覧!T120="","",一覧!T120)</f>
        <v/>
      </c>
      <c r="U28" s="355" t="str">
        <f>IF(一覧!U120="","",一覧!U120)</f>
        <v/>
      </c>
      <c r="V28" s="356" t="str">
        <f>IF(一覧!V120="","",一覧!V120)</f>
        <v/>
      </c>
      <c r="W28" s="355" t="str">
        <f>IF(一覧!W120="","",一覧!W120)</f>
        <v/>
      </c>
      <c r="X28" s="355" t="str">
        <f>IF(一覧!X120="","",一覧!X120)</f>
        <v/>
      </c>
      <c r="Y28" s="355" t="str">
        <f>IF(一覧!Y120="","",一覧!Y120)</f>
        <v/>
      </c>
      <c r="Z28" s="355" t="str">
        <f>IF(一覧!Z120="","",一覧!Z120)</f>
        <v/>
      </c>
      <c r="AA28" s="355" t="str">
        <f>IF(一覧!AA120="","",一覧!AA120)</f>
        <v/>
      </c>
      <c r="AB28" s="355" t="str">
        <f>IF(一覧!AB120="","",一覧!AB120)</f>
        <v/>
      </c>
      <c r="AC28" s="356" t="str">
        <f>IF(一覧!AC120="","",一覧!AC120)</f>
        <v/>
      </c>
      <c r="AD28" s="355" t="str">
        <f>IF(一覧!AD120="","",一覧!AD120)</f>
        <v/>
      </c>
      <c r="AE28" s="355" t="str">
        <f>IF(一覧!AE120="","",一覧!AE120)</f>
        <v/>
      </c>
      <c r="AF28" s="355" t="str">
        <f>IF(一覧!AF120="","",一覧!AF120)</f>
        <v/>
      </c>
      <c r="AG28" s="357" t="str">
        <f>IF(一覧!AG120="","",一覧!AG120)</f>
        <v/>
      </c>
      <c r="AH28" s="304" t="str">
        <f>IF(一覧!AH120="","",一覧!AH120)</f>
        <v/>
      </c>
    </row>
    <row r="29" spans="1:34" ht="15" customHeight="1">
      <c r="B29" s="518"/>
      <c r="C29" s="349"/>
      <c r="D29" s="349"/>
      <c r="E29" s="349"/>
      <c r="F29" s="349"/>
      <c r="G29" s="349"/>
      <c r="H29" s="350"/>
      <c r="I29" s="349"/>
      <c r="J29" s="349"/>
      <c r="K29" s="349"/>
      <c r="L29" s="349"/>
      <c r="M29" s="349"/>
      <c r="N29" s="349"/>
      <c r="O29" s="350"/>
      <c r="P29" s="349"/>
      <c r="Q29" s="349"/>
      <c r="R29" s="349"/>
      <c r="S29" s="349"/>
      <c r="T29" s="349"/>
      <c r="U29" s="349"/>
      <c r="V29" s="350"/>
      <c r="W29" s="349"/>
      <c r="X29" s="349"/>
      <c r="Y29" s="349"/>
      <c r="Z29" s="349"/>
      <c r="AA29" s="349"/>
      <c r="AB29" s="349"/>
      <c r="AC29" s="350"/>
      <c r="AD29" s="349"/>
      <c r="AE29" s="349"/>
      <c r="AF29" s="349"/>
      <c r="AG29" s="351"/>
      <c r="AH29" s="519" t="str">
        <f>IF(一覧!AH129="","",一覧!AH129)</f>
        <v/>
      </c>
    </row>
    <row r="30" spans="1:34" ht="15" customHeight="1" thickBot="1">
      <c r="B30" s="424"/>
      <c r="C30" s="464"/>
      <c r="D30" s="464"/>
      <c r="E30" s="464"/>
      <c r="F30" s="464"/>
      <c r="G30" s="464"/>
      <c r="H30" s="465"/>
      <c r="I30" s="464"/>
      <c r="J30" s="464"/>
      <c r="K30" s="464"/>
      <c r="L30" s="464"/>
      <c r="M30" s="464"/>
      <c r="N30" s="464"/>
      <c r="O30" s="465"/>
      <c r="P30" s="464"/>
      <c r="Q30" s="464"/>
      <c r="R30" s="464"/>
      <c r="S30" s="464"/>
      <c r="T30" s="464"/>
      <c r="U30" s="464"/>
      <c r="V30" s="465"/>
      <c r="W30" s="464"/>
      <c r="X30" s="464"/>
      <c r="Y30" s="464"/>
      <c r="Z30" s="464"/>
      <c r="AA30" s="464"/>
      <c r="AB30" s="464"/>
      <c r="AC30" s="465"/>
      <c r="AD30" s="464"/>
      <c r="AE30" s="464"/>
      <c r="AF30" s="464"/>
      <c r="AG30" s="466"/>
      <c r="AH30" s="425" t="str">
        <f>IF(一覧!AH130="","",一覧!AH130)</f>
        <v/>
      </c>
    </row>
    <row r="31" spans="1:34" ht="15" customHeight="1">
      <c r="B31" s="518" t="s">
        <v>470</v>
      </c>
      <c r="C31" s="277"/>
      <c r="D31" s="277"/>
      <c r="E31" s="277"/>
      <c r="F31" s="277"/>
      <c r="G31" s="277"/>
      <c r="H31" s="278"/>
      <c r="I31" s="277"/>
      <c r="J31" s="277"/>
      <c r="K31" s="277"/>
      <c r="L31" s="277"/>
      <c r="M31" s="277"/>
      <c r="N31" s="277"/>
      <c r="O31" s="278"/>
      <c r="P31" s="277"/>
      <c r="Q31" s="277"/>
      <c r="R31" s="277"/>
      <c r="S31" s="277"/>
      <c r="T31" s="277"/>
      <c r="U31" s="277"/>
      <c r="V31" s="278"/>
      <c r="W31" s="277"/>
      <c r="X31" s="277"/>
      <c r="Y31" s="277"/>
      <c r="Z31" s="277"/>
      <c r="AA31" s="277"/>
      <c r="AB31" s="277"/>
      <c r="AC31" s="278"/>
      <c r="AD31" s="277"/>
      <c r="AE31" s="277"/>
      <c r="AF31" s="277"/>
      <c r="AG31" s="279"/>
      <c r="AH31" s="519" t="s">
        <v>470</v>
      </c>
    </row>
    <row r="32" spans="1:34" ht="15" customHeight="1">
      <c r="B32" s="518"/>
      <c r="C32" s="277"/>
      <c r="D32" s="277"/>
      <c r="E32" s="277"/>
      <c r="F32" s="277"/>
      <c r="G32" s="277"/>
      <c r="H32" s="278"/>
      <c r="I32" s="277"/>
      <c r="J32" s="277"/>
      <c r="K32" s="277"/>
      <c r="L32" s="277"/>
      <c r="M32" s="277"/>
      <c r="N32" s="277"/>
      <c r="O32" s="278"/>
      <c r="P32" s="277"/>
      <c r="Q32" s="277"/>
      <c r="R32" s="277"/>
      <c r="S32" s="277"/>
      <c r="T32" s="277"/>
      <c r="U32" s="277"/>
      <c r="V32" s="278"/>
      <c r="W32" s="277"/>
      <c r="X32" s="277"/>
      <c r="Y32" s="277"/>
      <c r="Z32" s="277"/>
      <c r="AA32" s="277"/>
      <c r="AB32" s="277"/>
      <c r="AC32" s="278"/>
      <c r="AD32" s="277"/>
      <c r="AE32" s="277"/>
      <c r="AF32" s="277"/>
      <c r="AG32" s="279"/>
      <c r="AH32" s="519"/>
    </row>
    <row r="33" spans="2:34" ht="15" customHeight="1">
      <c r="B33" s="303"/>
      <c r="C33" s="274"/>
      <c r="D33" s="274"/>
      <c r="E33" s="274"/>
      <c r="F33" s="274"/>
      <c r="G33" s="274"/>
      <c r="H33" s="275"/>
      <c r="I33" s="274"/>
      <c r="J33" s="274"/>
      <c r="K33" s="274"/>
      <c r="L33" s="274"/>
      <c r="M33" s="274"/>
      <c r="N33" s="274"/>
      <c r="O33" s="275"/>
      <c r="P33" s="274"/>
      <c r="Q33" s="274"/>
      <c r="R33" s="274"/>
      <c r="S33" s="274"/>
      <c r="T33" s="274"/>
      <c r="U33" s="274"/>
      <c r="V33" s="275"/>
      <c r="W33" s="274"/>
      <c r="X33" s="274"/>
      <c r="Y33" s="274"/>
      <c r="Z33" s="274"/>
      <c r="AA33" s="274"/>
      <c r="AB33" s="274"/>
      <c r="AC33" s="275"/>
      <c r="AD33" s="274"/>
      <c r="AE33" s="274"/>
      <c r="AF33" s="274"/>
      <c r="AG33" s="276"/>
      <c r="AH33" s="304"/>
    </row>
    <row r="34" spans="2:34" ht="15" customHeight="1">
      <c r="B34" s="518" t="s">
        <v>58</v>
      </c>
      <c r="C34" s="277"/>
      <c r="D34" s="277"/>
      <c r="E34" s="277"/>
      <c r="F34" s="277"/>
      <c r="G34" s="277"/>
      <c r="H34" s="278"/>
      <c r="I34" s="277"/>
      <c r="J34" s="277"/>
      <c r="K34" s="277"/>
      <c r="L34" s="277"/>
      <c r="M34" s="277"/>
      <c r="N34" s="277"/>
      <c r="O34" s="278"/>
      <c r="P34" s="277"/>
      <c r="Q34" s="277"/>
      <c r="R34" s="277"/>
      <c r="S34" s="277"/>
      <c r="T34" s="277"/>
      <c r="U34" s="277"/>
      <c r="V34" s="278"/>
      <c r="W34" s="277"/>
      <c r="X34" s="277"/>
      <c r="Y34" s="277"/>
      <c r="Z34" s="277"/>
      <c r="AA34" s="277"/>
      <c r="AB34" s="277"/>
      <c r="AC34" s="278"/>
      <c r="AD34" s="277"/>
      <c r="AE34" s="277"/>
      <c r="AF34" s="277"/>
      <c r="AG34" s="279"/>
      <c r="AH34" s="519" t="s">
        <v>58</v>
      </c>
    </row>
    <row r="35" spans="2:34" ht="15" customHeight="1">
      <c r="B35" s="518"/>
      <c r="C35" s="277"/>
      <c r="D35" s="277"/>
      <c r="E35" s="277"/>
      <c r="F35" s="277"/>
      <c r="G35" s="277"/>
      <c r="H35" s="278"/>
      <c r="I35" s="277"/>
      <c r="J35" s="277"/>
      <c r="K35" s="277"/>
      <c r="L35" s="277"/>
      <c r="M35" s="277"/>
      <c r="N35" s="277"/>
      <c r="O35" s="278"/>
      <c r="P35" s="277"/>
      <c r="Q35" s="277"/>
      <c r="R35" s="277"/>
      <c r="S35" s="277"/>
      <c r="T35" s="277"/>
      <c r="U35" s="277"/>
      <c r="V35" s="278"/>
      <c r="W35" s="277"/>
      <c r="X35" s="277"/>
      <c r="Y35" s="277"/>
      <c r="Z35" s="277"/>
      <c r="AA35" s="277"/>
      <c r="AB35" s="277"/>
      <c r="AC35" s="278"/>
      <c r="AD35" s="277"/>
      <c r="AE35" s="277"/>
      <c r="AF35" s="277"/>
      <c r="AG35" s="279"/>
      <c r="AH35" s="519"/>
    </row>
    <row r="36" spans="2:34" ht="15" customHeight="1">
      <c r="B36" s="518"/>
      <c r="C36" s="277"/>
      <c r="D36" s="277"/>
      <c r="E36" s="277"/>
      <c r="F36" s="277"/>
      <c r="G36" s="277"/>
      <c r="H36" s="278"/>
      <c r="I36" s="277"/>
      <c r="J36" s="277"/>
      <c r="K36" s="277"/>
      <c r="L36" s="277"/>
      <c r="M36" s="277"/>
      <c r="N36" s="277"/>
      <c r="O36" s="278"/>
      <c r="P36" s="277"/>
      <c r="Q36" s="277"/>
      <c r="R36" s="277"/>
      <c r="S36" s="277"/>
      <c r="T36" s="277"/>
      <c r="U36" s="277"/>
      <c r="V36" s="278"/>
      <c r="W36" s="277"/>
      <c r="X36" s="277"/>
      <c r="Y36" s="277"/>
      <c r="Z36" s="277"/>
      <c r="AA36" s="277"/>
      <c r="AB36" s="277"/>
      <c r="AC36" s="278"/>
      <c r="AD36" s="277"/>
      <c r="AE36" s="277"/>
      <c r="AF36" s="277"/>
      <c r="AG36" s="279"/>
      <c r="AH36" s="519"/>
    </row>
    <row r="37" spans="2:34" ht="15" customHeight="1">
      <c r="B37" s="518"/>
      <c r="C37" s="277"/>
      <c r="D37" s="277"/>
      <c r="E37" s="277"/>
      <c r="F37" s="277"/>
      <c r="G37" s="277"/>
      <c r="H37" s="278"/>
      <c r="I37" s="277"/>
      <c r="J37" s="277"/>
      <c r="K37" s="277"/>
      <c r="L37" s="277"/>
      <c r="M37" s="277"/>
      <c r="N37" s="277"/>
      <c r="O37" s="278"/>
      <c r="P37" s="277"/>
      <c r="Q37" s="277"/>
      <c r="R37" s="277"/>
      <c r="S37" s="277"/>
      <c r="T37" s="277"/>
      <c r="U37" s="277"/>
      <c r="V37" s="278"/>
      <c r="W37" s="277"/>
      <c r="X37" s="277"/>
      <c r="Y37" s="277"/>
      <c r="Z37" s="277"/>
      <c r="AA37" s="277"/>
      <c r="AB37" s="277"/>
      <c r="AC37" s="278"/>
      <c r="AD37" s="277"/>
      <c r="AE37" s="277"/>
      <c r="AF37" s="277"/>
      <c r="AG37" s="279"/>
      <c r="AH37" s="519"/>
    </row>
    <row r="38" spans="2:34" ht="15" customHeight="1">
      <c r="B38" s="518"/>
      <c r="C38" s="277"/>
      <c r="D38" s="277"/>
      <c r="E38" s="277"/>
      <c r="F38" s="277"/>
      <c r="G38" s="277"/>
      <c r="H38" s="278"/>
      <c r="I38" s="277"/>
      <c r="J38" s="277"/>
      <c r="K38" s="277"/>
      <c r="L38" s="277"/>
      <c r="M38" s="277"/>
      <c r="N38" s="277"/>
      <c r="O38" s="278"/>
      <c r="P38" s="277"/>
      <c r="Q38" s="277"/>
      <c r="R38" s="277"/>
      <c r="S38" s="277"/>
      <c r="T38" s="277"/>
      <c r="U38" s="277"/>
      <c r="V38" s="278"/>
      <c r="W38" s="277"/>
      <c r="X38" s="277"/>
      <c r="Y38" s="277"/>
      <c r="Z38" s="277"/>
      <c r="AA38" s="277"/>
      <c r="AB38" s="277"/>
      <c r="AC38" s="278"/>
      <c r="AD38" s="277"/>
      <c r="AE38" s="277"/>
      <c r="AF38" s="277"/>
      <c r="AG38" s="279"/>
      <c r="AH38" s="519"/>
    </row>
    <row r="39" spans="2:34" ht="15" customHeight="1">
      <c r="B39" s="518"/>
      <c r="C39" s="277"/>
      <c r="D39" s="277"/>
      <c r="E39" s="277"/>
      <c r="F39" s="277"/>
      <c r="G39" s="277"/>
      <c r="H39" s="278"/>
      <c r="I39" s="277"/>
      <c r="J39" s="277"/>
      <c r="K39" s="277"/>
      <c r="L39" s="277"/>
      <c r="M39" s="277"/>
      <c r="N39" s="277"/>
      <c r="O39" s="278"/>
      <c r="P39" s="277"/>
      <c r="Q39" s="277"/>
      <c r="R39" s="277"/>
      <c r="S39" s="277"/>
      <c r="T39" s="277"/>
      <c r="U39" s="277"/>
      <c r="V39" s="278"/>
      <c r="W39" s="277"/>
      <c r="X39" s="277"/>
      <c r="Y39" s="277"/>
      <c r="Z39" s="277"/>
      <c r="AA39" s="277"/>
      <c r="AB39" s="277"/>
      <c r="AC39" s="278"/>
      <c r="AD39" s="277"/>
      <c r="AE39" s="277"/>
      <c r="AF39" s="277"/>
      <c r="AG39" s="279"/>
      <c r="AH39" s="519"/>
    </row>
    <row r="40" spans="2:34" ht="15" customHeight="1">
      <c r="B40" s="518"/>
      <c r="C40" s="277"/>
      <c r="D40" s="277"/>
      <c r="E40" s="277"/>
      <c r="F40" s="277"/>
      <c r="G40" s="277"/>
      <c r="H40" s="278"/>
      <c r="I40" s="277"/>
      <c r="J40" s="277"/>
      <c r="K40" s="277"/>
      <c r="L40" s="277"/>
      <c r="M40" s="277"/>
      <c r="N40" s="277"/>
      <c r="O40" s="278"/>
      <c r="P40" s="277"/>
      <c r="Q40" s="277"/>
      <c r="R40" s="277"/>
      <c r="S40" s="277"/>
      <c r="T40" s="277"/>
      <c r="U40" s="277"/>
      <c r="V40" s="278"/>
      <c r="W40" s="277"/>
      <c r="X40" s="277"/>
      <c r="Y40" s="277"/>
      <c r="Z40" s="277"/>
      <c r="AA40" s="277"/>
      <c r="AB40" s="277"/>
      <c r="AC40" s="278"/>
      <c r="AD40" s="277"/>
      <c r="AE40" s="277"/>
      <c r="AF40" s="277"/>
      <c r="AG40" s="279"/>
      <c r="AH40" s="519"/>
    </row>
    <row r="41" spans="2:34" ht="15" customHeight="1">
      <c r="B41" s="518"/>
      <c r="C41" s="277"/>
      <c r="D41" s="277"/>
      <c r="E41" s="277"/>
      <c r="F41" s="277"/>
      <c r="G41" s="277"/>
      <c r="H41" s="278"/>
      <c r="I41" s="277"/>
      <c r="J41" s="277"/>
      <c r="K41" s="277"/>
      <c r="L41" s="277"/>
      <c r="M41" s="277"/>
      <c r="N41" s="277"/>
      <c r="O41" s="278"/>
      <c r="P41" s="277"/>
      <c r="Q41" s="277"/>
      <c r="R41" s="277"/>
      <c r="S41" s="277"/>
      <c r="T41" s="277"/>
      <c r="U41" s="277"/>
      <c r="V41" s="278"/>
      <c r="W41" s="277"/>
      <c r="X41" s="277"/>
      <c r="Y41" s="277"/>
      <c r="Z41" s="277"/>
      <c r="AA41" s="277"/>
      <c r="AB41" s="277"/>
      <c r="AC41" s="278"/>
      <c r="AD41" s="277"/>
      <c r="AE41" s="277"/>
      <c r="AF41" s="277"/>
      <c r="AG41" s="279"/>
      <c r="AH41" s="519"/>
    </row>
    <row r="42" spans="2:34" ht="15" customHeight="1" thickBot="1">
      <c r="B42" s="424"/>
      <c r="C42" s="435"/>
      <c r="D42" s="435"/>
      <c r="E42" s="435"/>
      <c r="F42" s="435"/>
      <c r="G42" s="435"/>
      <c r="H42" s="481"/>
      <c r="I42" s="435"/>
      <c r="J42" s="435"/>
      <c r="K42" s="435"/>
      <c r="L42" s="435"/>
      <c r="M42" s="435"/>
      <c r="N42" s="435"/>
      <c r="O42" s="481"/>
      <c r="P42" s="435"/>
      <c r="Q42" s="435"/>
      <c r="R42" s="435"/>
      <c r="S42" s="435"/>
      <c r="T42" s="435"/>
      <c r="U42" s="435"/>
      <c r="V42" s="481"/>
      <c r="W42" s="435"/>
      <c r="X42" s="435"/>
      <c r="Y42" s="435"/>
      <c r="Z42" s="435"/>
      <c r="AA42" s="435"/>
      <c r="AB42" s="435"/>
      <c r="AC42" s="481"/>
      <c r="AD42" s="435"/>
      <c r="AE42" s="435"/>
      <c r="AF42" s="435"/>
      <c r="AG42" s="436"/>
      <c r="AH42" s="425"/>
    </row>
    <row r="43" spans="2:34" ht="15" customHeight="1">
      <c r="B43" s="23"/>
      <c r="C43" s="349" t="s">
        <v>422</v>
      </c>
      <c r="D43" s="349" t="s">
        <v>422</v>
      </c>
      <c r="E43" s="349" t="s">
        <v>422</v>
      </c>
      <c r="F43" s="349" t="s">
        <v>422</v>
      </c>
      <c r="G43" s="349" t="s">
        <v>422</v>
      </c>
      <c r="H43" s="350"/>
      <c r="I43" s="349"/>
      <c r="J43" s="349" t="s">
        <v>422</v>
      </c>
      <c r="K43" s="349" t="s">
        <v>422</v>
      </c>
      <c r="L43" s="349" t="s">
        <v>422</v>
      </c>
      <c r="M43" s="349" t="s">
        <v>422</v>
      </c>
      <c r="N43" s="349" t="s">
        <v>422</v>
      </c>
      <c r="O43" s="350" t="s">
        <v>423</v>
      </c>
      <c r="P43" s="349"/>
      <c r="Q43" s="349" t="s">
        <v>422</v>
      </c>
      <c r="R43" s="349" t="s">
        <v>422</v>
      </c>
      <c r="S43" s="349" t="s">
        <v>422</v>
      </c>
      <c r="T43" s="349" t="s">
        <v>422</v>
      </c>
      <c r="U43" s="349" t="s">
        <v>422</v>
      </c>
      <c r="V43" s="350"/>
      <c r="W43" s="349"/>
      <c r="X43" s="349" t="s">
        <v>422</v>
      </c>
      <c r="Y43" s="349" t="s">
        <v>422</v>
      </c>
      <c r="Z43" s="349" t="s">
        <v>422</v>
      </c>
      <c r="AA43" s="349" t="s">
        <v>422</v>
      </c>
      <c r="AB43" s="349" t="s">
        <v>422</v>
      </c>
      <c r="AC43" s="350" t="s">
        <v>423</v>
      </c>
      <c r="AD43" s="349"/>
      <c r="AE43" s="349" t="s">
        <v>422</v>
      </c>
      <c r="AF43" s="349" t="s">
        <v>422</v>
      </c>
      <c r="AG43" s="351"/>
      <c r="AH43" s="293"/>
    </row>
    <row r="44" spans="2:34" ht="15" customHeight="1">
      <c r="B44" s="23" t="s">
        <v>6</v>
      </c>
      <c r="C44" s="349" t="s">
        <v>424</v>
      </c>
      <c r="D44" s="349" t="s">
        <v>424</v>
      </c>
      <c r="E44" s="349" t="s">
        <v>424</v>
      </c>
      <c r="F44" s="349" t="s">
        <v>424</v>
      </c>
      <c r="G44" s="349" t="s">
        <v>424</v>
      </c>
      <c r="H44" s="350"/>
      <c r="I44" s="349"/>
      <c r="J44" s="349" t="s">
        <v>424</v>
      </c>
      <c r="K44" s="349" t="s">
        <v>424</v>
      </c>
      <c r="L44" s="349" t="s">
        <v>424</v>
      </c>
      <c r="M44" s="349" t="s">
        <v>424</v>
      </c>
      <c r="N44" s="349" t="s">
        <v>424</v>
      </c>
      <c r="O44" s="350"/>
      <c r="P44" s="349"/>
      <c r="Q44" s="349" t="s">
        <v>424</v>
      </c>
      <c r="R44" s="349" t="s">
        <v>424</v>
      </c>
      <c r="S44" s="349" t="s">
        <v>424</v>
      </c>
      <c r="T44" s="349" t="s">
        <v>424</v>
      </c>
      <c r="U44" s="349" t="s">
        <v>424</v>
      </c>
      <c r="V44" s="350"/>
      <c r="W44" s="349"/>
      <c r="X44" s="349" t="s">
        <v>424</v>
      </c>
      <c r="Y44" s="349" t="s">
        <v>424</v>
      </c>
      <c r="Z44" s="349" t="s">
        <v>424</v>
      </c>
      <c r="AA44" s="349" t="s">
        <v>424</v>
      </c>
      <c r="AB44" s="349" t="s">
        <v>424</v>
      </c>
      <c r="AC44" s="350"/>
      <c r="AD44" s="349"/>
      <c r="AE44" s="349" t="s">
        <v>424</v>
      </c>
      <c r="AF44" s="349" t="s">
        <v>424</v>
      </c>
      <c r="AG44" s="351"/>
      <c r="AH44" s="293" t="s">
        <v>6</v>
      </c>
    </row>
    <row r="45" spans="2:34" ht="15" customHeight="1">
      <c r="B45" s="24"/>
      <c r="C45" s="355"/>
      <c r="D45" s="355"/>
      <c r="E45" s="355"/>
      <c r="F45" s="355"/>
      <c r="G45" s="355"/>
      <c r="H45" s="356"/>
      <c r="I45" s="355"/>
      <c r="J45" s="355"/>
      <c r="K45" s="355"/>
      <c r="L45" s="355"/>
      <c r="M45" s="355"/>
      <c r="N45" s="355"/>
      <c r="O45" s="356"/>
      <c r="P45" s="355"/>
      <c r="Q45" s="355"/>
      <c r="R45" s="355"/>
      <c r="S45" s="355"/>
      <c r="T45" s="355"/>
      <c r="U45" s="355"/>
      <c r="V45" s="356"/>
      <c r="W45" s="355"/>
      <c r="X45" s="355"/>
      <c r="Y45" s="355"/>
      <c r="Z45" s="355"/>
      <c r="AA45" s="355"/>
      <c r="AB45" s="355"/>
      <c r="AC45" s="356"/>
      <c r="AD45" s="355"/>
      <c r="AE45" s="355"/>
      <c r="AF45" s="355"/>
      <c r="AG45" s="357"/>
      <c r="AH45" s="296"/>
    </row>
    <row r="46" spans="2:34" ht="15" customHeight="1">
      <c r="B46" s="23"/>
      <c r="C46" s="349"/>
      <c r="D46" s="349"/>
      <c r="E46" s="349"/>
      <c r="F46" s="349"/>
      <c r="G46" s="349" t="s">
        <v>425</v>
      </c>
      <c r="H46" s="350"/>
      <c r="I46" s="349"/>
      <c r="J46" s="349"/>
      <c r="K46" s="349"/>
      <c r="L46" s="349" t="s">
        <v>426</v>
      </c>
      <c r="M46" s="349"/>
      <c r="N46" s="349"/>
      <c r="O46" s="350"/>
      <c r="P46" s="349"/>
      <c r="Q46" s="349"/>
      <c r="R46" s="349"/>
      <c r="S46" s="349"/>
      <c r="T46" s="349" t="s">
        <v>425</v>
      </c>
      <c r="U46" s="349"/>
      <c r="V46" s="350"/>
      <c r="W46" s="349"/>
      <c r="X46" s="349" t="s">
        <v>427</v>
      </c>
      <c r="Y46" s="349"/>
      <c r="Z46" s="349"/>
      <c r="AA46" s="349"/>
      <c r="AB46" s="349"/>
      <c r="AC46" s="350"/>
      <c r="AD46" s="349"/>
      <c r="AE46" s="349"/>
      <c r="AF46" s="349"/>
      <c r="AG46" s="351"/>
      <c r="AH46" s="293"/>
    </row>
    <row r="47" spans="2:34" ht="15" customHeight="1">
      <c r="B47" s="23" t="s">
        <v>8</v>
      </c>
      <c r="C47" s="349"/>
      <c r="D47" s="349"/>
      <c r="E47" s="349"/>
      <c r="F47" s="349"/>
      <c r="G47" s="349"/>
      <c r="H47" s="350"/>
      <c r="I47" s="349"/>
      <c r="J47" s="349"/>
      <c r="K47" s="349"/>
      <c r="L47" s="349"/>
      <c r="M47" s="349"/>
      <c r="N47" s="349"/>
      <c r="O47" s="350"/>
      <c r="P47" s="349"/>
      <c r="Q47" s="349"/>
      <c r="R47" s="349"/>
      <c r="S47" s="349"/>
      <c r="T47" s="349" t="s">
        <v>428</v>
      </c>
      <c r="U47" s="349"/>
      <c r="V47" s="350"/>
      <c r="W47" s="349"/>
      <c r="X47" s="349"/>
      <c r="Y47" s="349"/>
      <c r="Z47" s="349"/>
      <c r="AA47" s="349"/>
      <c r="AB47" s="349"/>
      <c r="AC47" s="350"/>
      <c r="AD47" s="349"/>
      <c r="AE47" s="349"/>
      <c r="AF47" s="349"/>
      <c r="AG47" s="351"/>
      <c r="AH47" s="293" t="s">
        <v>8</v>
      </c>
    </row>
    <row r="48" spans="2:34" ht="15" customHeight="1">
      <c r="B48" s="24"/>
      <c r="C48" s="355"/>
      <c r="D48" s="355"/>
      <c r="E48" s="355"/>
      <c r="F48" s="355"/>
      <c r="G48" s="355"/>
      <c r="H48" s="356"/>
      <c r="I48" s="355"/>
      <c r="J48" s="355"/>
      <c r="K48" s="355"/>
      <c r="L48" s="355"/>
      <c r="M48" s="355"/>
      <c r="N48" s="355"/>
      <c r="O48" s="356"/>
      <c r="P48" s="355"/>
      <c r="Q48" s="355"/>
      <c r="R48" s="355"/>
      <c r="S48" s="355"/>
      <c r="T48" s="355"/>
      <c r="U48" s="355"/>
      <c r="V48" s="356"/>
      <c r="W48" s="355"/>
      <c r="X48" s="355"/>
      <c r="Y48" s="355"/>
      <c r="Z48" s="355"/>
      <c r="AA48" s="355"/>
      <c r="AB48" s="355"/>
      <c r="AC48" s="356"/>
      <c r="AD48" s="355"/>
      <c r="AE48" s="355"/>
      <c r="AF48" s="355"/>
      <c r="AG48" s="357"/>
      <c r="AH48" s="296"/>
    </row>
    <row r="49" spans="2:34" ht="15" customHeight="1">
      <c r="B49" s="23"/>
      <c r="C49" s="349"/>
      <c r="D49" s="349"/>
      <c r="E49" s="349" t="s">
        <v>429</v>
      </c>
      <c r="F49" s="349"/>
      <c r="G49" s="349"/>
      <c r="H49" s="350" t="s">
        <v>430</v>
      </c>
      <c r="I49" s="349"/>
      <c r="J49" s="349"/>
      <c r="K49" s="349" t="s">
        <v>431</v>
      </c>
      <c r="L49" s="349"/>
      <c r="M49" s="349" t="s">
        <v>432</v>
      </c>
      <c r="N49" s="349" t="s">
        <v>433</v>
      </c>
      <c r="O49" s="350" t="s">
        <v>430</v>
      </c>
      <c r="P49" s="349"/>
      <c r="Q49" s="349" t="s">
        <v>434</v>
      </c>
      <c r="R49" s="349"/>
      <c r="S49" s="349" t="s">
        <v>429</v>
      </c>
      <c r="T49" s="349"/>
      <c r="U49" s="349"/>
      <c r="V49" s="350" t="s">
        <v>430</v>
      </c>
      <c r="W49" s="349"/>
      <c r="X49" s="349" t="s">
        <v>432</v>
      </c>
      <c r="Y49" s="349" t="s">
        <v>431</v>
      </c>
      <c r="Z49" s="349"/>
      <c r="AA49" s="349"/>
      <c r="AB49" s="349" t="s">
        <v>433</v>
      </c>
      <c r="AC49" s="350"/>
      <c r="AD49" s="349"/>
      <c r="AE49" s="349" t="s">
        <v>434</v>
      </c>
      <c r="AF49" s="349"/>
      <c r="AG49" s="351"/>
      <c r="AH49" s="293"/>
    </row>
    <row r="50" spans="2:34" ht="15" customHeight="1">
      <c r="B50" s="23" t="s">
        <v>14</v>
      </c>
      <c r="C50" s="80"/>
      <c r="D50" s="80"/>
      <c r="E50" s="80"/>
      <c r="F50" s="80"/>
      <c r="G50" s="80"/>
      <c r="H50" s="358"/>
      <c r="I50" s="80"/>
      <c r="J50" s="80"/>
      <c r="K50" s="80"/>
      <c r="L50" s="80"/>
      <c r="M50" s="80"/>
      <c r="N50" s="80"/>
      <c r="O50" s="358"/>
      <c r="P50" s="80"/>
      <c r="Q50" s="80"/>
      <c r="R50" s="80"/>
      <c r="S50" s="80" t="s">
        <v>435</v>
      </c>
      <c r="T50" s="80"/>
      <c r="U50" s="80"/>
      <c r="V50" s="358"/>
      <c r="W50" s="80"/>
      <c r="X50" s="80"/>
      <c r="Y50" s="80"/>
      <c r="Z50" s="80"/>
      <c r="AA50" s="80"/>
      <c r="AB50" s="80"/>
      <c r="AC50" s="358"/>
      <c r="AD50" s="80"/>
      <c r="AE50" s="80"/>
      <c r="AF50" s="80"/>
      <c r="AG50" s="359"/>
      <c r="AH50" s="293" t="s">
        <v>14</v>
      </c>
    </row>
    <row r="51" spans="2:34" ht="15" customHeight="1">
      <c r="B51" s="24"/>
      <c r="C51" s="360"/>
      <c r="D51" s="360"/>
      <c r="E51" s="360"/>
      <c r="F51" s="360"/>
      <c r="G51" s="360"/>
      <c r="H51" s="361"/>
      <c r="I51" s="360"/>
      <c r="J51" s="360"/>
      <c r="K51" s="360"/>
      <c r="L51" s="360"/>
      <c r="M51" s="360"/>
      <c r="N51" s="360"/>
      <c r="O51" s="361"/>
      <c r="P51" s="360"/>
      <c r="Q51" s="360"/>
      <c r="R51" s="360"/>
      <c r="S51" s="360"/>
      <c r="T51" s="360"/>
      <c r="U51" s="360"/>
      <c r="V51" s="361"/>
      <c r="W51" s="360"/>
      <c r="X51" s="360"/>
      <c r="Y51" s="360"/>
      <c r="Z51" s="360"/>
      <c r="AA51" s="360"/>
      <c r="AB51" s="360"/>
      <c r="AC51" s="361"/>
      <c r="AD51" s="360"/>
      <c r="AE51" s="360"/>
      <c r="AF51" s="360"/>
      <c r="AG51" s="362"/>
      <c r="AH51" s="296"/>
    </row>
    <row r="52" spans="2:34" ht="15" customHeight="1">
      <c r="B52" s="23" t="s">
        <v>79</v>
      </c>
      <c r="C52" s="80"/>
      <c r="D52" s="80"/>
      <c r="E52" s="80"/>
      <c r="F52" s="80"/>
      <c r="G52" s="80"/>
      <c r="H52" s="358"/>
      <c r="I52" s="80"/>
      <c r="J52" s="80"/>
      <c r="K52" s="80"/>
      <c r="L52" s="80"/>
      <c r="M52" s="80"/>
      <c r="N52" s="80"/>
      <c r="O52" s="358"/>
      <c r="P52" s="80"/>
      <c r="Q52" s="80"/>
      <c r="R52" s="80"/>
      <c r="S52" s="80" t="s">
        <v>441</v>
      </c>
      <c r="T52" s="80"/>
      <c r="U52" s="80"/>
      <c r="V52" s="358"/>
      <c r="W52" s="80"/>
      <c r="X52" s="80"/>
      <c r="Y52" s="80"/>
      <c r="Z52" s="80"/>
      <c r="AA52" s="80"/>
      <c r="AB52" s="80"/>
      <c r="AC52" s="358"/>
      <c r="AD52" s="80"/>
      <c r="AE52" s="80"/>
      <c r="AF52" s="80" t="s">
        <v>442</v>
      </c>
      <c r="AG52" s="359"/>
      <c r="AH52" s="293" t="s">
        <v>79</v>
      </c>
    </row>
    <row r="53" spans="2:34" ht="15" customHeight="1">
      <c r="B53" s="24"/>
      <c r="C53" s="360"/>
      <c r="D53" s="360"/>
      <c r="E53" s="360"/>
      <c r="F53" s="360"/>
      <c r="G53" s="360"/>
      <c r="H53" s="361"/>
      <c r="I53" s="360"/>
      <c r="J53" s="360"/>
      <c r="K53" s="360"/>
      <c r="L53" s="360"/>
      <c r="M53" s="360"/>
      <c r="N53" s="360"/>
      <c r="O53" s="361"/>
      <c r="P53" s="360"/>
      <c r="Q53" s="360"/>
      <c r="R53" s="360"/>
      <c r="S53" s="360"/>
      <c r="T53" s="360"/>
      <c r="U53" s="360"/>
      <c r="V53" s="361"/>
      <c r="W53" s="360"/>
      <c r="X53" s="360"/>
      <c r="Y53" s="360"/>
      <c r="Z53" s="360"/>
      <c r="AA53" s="360"/>
      <c r="AB53" s="360"/>
      <c r="AC53" s="361"/>
      <c r="AD53" s="360"/>
      <c r="AE53" s="360"/>
      <c r="AF53" s="360" t="s">
        <v>443</v>
      </c>
      <c r="AG53" s="362"/>
      <c r="AH53" s="296"/>
    </row>
    <row r="54" spans="2:34" ht="15" customHeight="1">
      <c r="B54" s="23" t="s">
        <v>83</v>
      </c>
      <c r="C54" s="80"/>
      <c r="D54" s="80"/>
      <c r="E54" s="80"/>
      <c r="F54" s="80"/>
      <c r="G54" s="80"/>
      <c r="H54" s="358"/>
      <c r="I54" s="80"/>
      <c r="J54" s="80"/>
      <c r="K54" s="80"/>
      <c r="L54" s="80"/>
      <c r="M54" s="80"/>
      <c r="N54" s="80"/>
      <c r="O54" s="358"/>
      <c r="P54" s="80"/>
      <c r="Q54" s="80"/>
      <c r="R54" s="80"/>
      <c r="S54" s="80"/>
      <c r="T54" s="80"/>
      <c r="U54" s="80"/>
      <c r="V54" s="358"/>
      <c r="W54" s="80"/>
      <c r="X54" s="80"/>
      <c r="Y54" s="80"/>
      <c r="Z54" s="80"/>
      <c r="AA54" s="80"/>
      <c r="AB54" s="80"/>
      <c r="AC54" s="358"/>
      <c r="AD54" s="80"/>
      <c r="AE54" s="80"/>
      <c r="AF54" s="80"/>
      <c r="AG54" s="359"/>
      <c r="AH54" s="293" t="s">
        <v>83</v>
      </c>
    </row>
    <row r="55" spans="2:34" ht="15" customHeight="1" thickBot="1">
      <c r="B55" s="346"/>
      <c r="C55" s="397"/>
      <c r="D55" s="397"/>
      <c r="E55" s="397"/>
      <c r="F55" s="397"/>
      <c r="G55" s="397"/>
      <c r="H55" s="398"/>
      <c r="I55" s="397"/>
      <c r="J55" s="397"/>
      <c r="K55" s="397"/>
      <c r="L55" s="397"/>
      <c r="M55" s="397"/>
      <c r="N55" s="397"/>
      <c r="O55" s="398"/>
      <c r="P55" s="397"/>
      <c r="Q55" s="397"/>
      <c r="R55" s="397"/>
      <c r="S55" s="397"/>
      <c r="T55" s="397"/>
      <c r="U55" s="397"/>
      <c r="V55" s="398"/>
      <c r="W55" s="397"/>
      <c r="X55" s="397"/>
      <c r="Y55" s="397"/>
      <c r="Z55" s="397"/>
      <c r="AA55" s="397"/>
      <c r="AB55" s="397"/>
      <c r="AC55" s="398"/>
      <c r="AD55" s="397"/>
      <c r="AE55" s="397"/>
      <c r="AF55" s="397"/>
      <c r="AG55" s="399"/>
      <c r="AH55" s="345"/>
    </row>
    <row r="56" spans="2:34" ht="15" customHeight="1" thickTop="1"/>
  </sheetData>
  <sheetProtection sheet="1" objects="1" scenarios="1"/>
  <customSheetViews>
    <customSheetView guid="{48D17560-CF9A-4AC4-87A5-512F1C94B1E6}" fitToPage="1" showRuler="0">
      <pageMargins left="0" right="0" top="0" bottom="0" header="0" footer="0"/>
      <pageSetup paperSize="8" scale="96" orientation="landscape" blackAndWhite="1" horizontalDpi="4294967292" verticalDpi="4294967292" r:id="rId1"/>
      <headerFooter alignWithMargins="0">
        <oddHeader>&amp;R&amp;"Osaka,標準"&amp;D　&amp;T</oddHeader>
      </headerFooter>
    </customSheetView>
  </customSheetViews>
  <phoneticPr fontId="6"/>
  <pageMargins left="0.33" right="0.27" top="0.78740157480314965" bottom="0.78740157480314965" header="0.39370078740157483" footer="0.39370078740157483"/>
  <pageSetup paperSize="8" scale="92" orientation="landscape" blackAndWhite="1" horizontalDpi="300" verticalDpi="300" r:id="rId2"/>
  <headerFooter alignWithMargins="0">
    <oddHeader>&amp;R&amp;"Osaka,標準"&amp;D　&amp;T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Line="0" autoPict="0" macro="[0]!編集罫線">
                <anchor moveWithCells="1" sizeWithCells="1">
                  <from>
                    <xdr:col>1</xdr:col>
                    <xdr:colOff>76200</xdr:colOff>
                    <xdr:row>0</xdr:row>
                    <xdr:rowOff>38100</xdr:rowOff>
                  </from>
                  <to>
                    <xdr:col>1</xdr:col>
                    <xdr:colOff>533400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2:AP82"/>
  <sheetViews>
    <sheetView zoomScaleNormal="100" workbookViewId="0">
      <pane xSplit="2" ySplit="4" topLeftCell="I32" activePane="bottomRight" state="frozen"/>
      <selection pane="topRight"/>
      <selection pane="bottomLeft"/>
      <selection pane="bottomRight" activeCell="I38" sqref="I38"/>
    </sheetView>
  </sheetViews>
  <sheetFormatPr defaultColWidth="9" defaultRowHeight="15" customHeight="1"/>
  <cols>
    <col min="1" max="1" width="2.453125" style="347" customWidth="1"/>
    <col min="2" max="2" width="11.453125" style="347" bestFit="1" customWidth="1"/>
    <col min="3" max="33" width="6.453125" style="347" customWidth="1"/>
    <col min="34" max="34" width="9.453125" style="347" customWidth="1"/>
    <col min="35" max="35" width="5.453125" style="347" bestFit="1" customWidth="1"/>
    <col min="36" max="36" width="3.453125" style="347" customWidth="1"/>
    <col min="37" max="37" width="2.453125" style="347" customWidth="1"/>
    <col min="38" max="41" width="3.453125" style="347" bestFit="1" customWidth="1"/>
    <col min="42" max="42" width="3.453125" style="347" customWidth="1"/>
    <col min="43" max="16384" width="9" style="347"/>
  </cols>
  <sheetData>
    <row r="2" spans="2:42" ht="15" customHeight="1" thickBot="1"/>
    <row r="3" spans="2:42" ht="15" customHeight="1" thickTop="1">
      <c r="B3" s="348" t="str">
        <f>月間設定!C1&amp;"年"</f>
        <v>2026年</v>
      </c>
      <c r="C3" s="352">
        <v>1</v>
      </c>
      <c r="D3" s="352">
        <v>2</v>
      </c>
      <c r="E3" s="352">
        <v>3</v>
      </c>
      <c r="F3" s="352">
        <v>4</v>
      </c>
      <c r="G3" s="352">
        <v>5</v>
      </c>
      <c r="H3" s="353">
        <v>6</v>
      </c>
      <c r="I3" s="352">
        <v>7</v>
      </c>
      <c r="J3" s="352">
        <v>8</v>
      </c>
      <c r="K3" s="352">
        <v>9</v>
      </c>
      <c r="L3" s="352">
        <v>10</v>
      </c>
      <c r="M3" s="352">
        <v>11</v>
      </c>
      <c r="N3" s="352">
        <v>12</v>
      </c>
      <c r="O3" s="353">
        <v>13</v>
      </c>
      <c r="P3" s="352">
        <v>14</v>
      </c>
      <c r="Q3" s="352">
        <v>15</v>
      </c>
      <c r="R3" s="352">
        <v>16</v>
      </c>
      <c r="S3" s="352">
        <v>17</v>
      </c>
      <c r="T3" s="352">
        <v>18</v>
      </c>
      <c r="U3" s="352">
        <v>19</v>
      </c>
      <c r="V3" s="353">
        <v>20</v>
      </c>
      <c r="W3" s="352">
        <v>21</v>
      </c>
      <c r="X3" s="352">
        <v>22</v>
      </c>
      <c r="Y3" s="352">
        <v>23</v>
      </c>
      <c r="Z3" s="352">
        <v>24</v>
      </c>
      <c r="AA3" s="352">
        <v>25</v>
      </c>
      <c r="AB3" s="352">
        <v>26</v>
      </c>
      <c r="AC3" s="353">
        <v>27</v>
      </c>
      <c r="AD3" s="352">
        <v>28</v>
      </c>
      <c r="AE3" s="352">
        <f>月間設定!AE3</f>
        <v>29</v>
      </c>
      <c r="AF3" s="352">
        <f>月間設定!AF3</f>
        <v>30</v>
      </c>
      <c r="AG3" s="354" t="str">
        <f>月間設定!AG3</f>
        <v/>
      </c>
      <c r="AH3" s="370" t="s">
        <v>17</v>
      </c>
      <c r="AI3" s="366"/>
      <c r="AJ3" s="366"/>
      <c r="AK3" s="366"/>
      <c r="AL3" s="366"/>
      <c r="AM3" s="366"/>
    </row>
    <row r="4" spans="2:42" ht="15" customHeight="1" thickBot="1">
      <c r="B4" s="459" t="str">
        <f>月間設定!E1&amp;"月"</f>
        <v>6月</v>
      </c>
      <c r="C4" s="460">
        <f>月間設定!C4</f>
        <v>2</v>
      </c>
      <c r="D4" s="460">
        <f>月間設定!D4</f>
        <v>3</v>
      </c>
      <c r="E4" s="460">
        <f>月間設定!E4</f>
        <v>4</v>
      </c>
      <c r="F4" s="460">
        <f>月間設定!F4</f>
        <v>5</v>
      </c>
      <c r="G4" s="460">
        <f>月間設定!G4</f>
        <v>6</v>
      </c>
      <c r="H4" s="461">
        <f>月間設定!H4</f>
        <v>7</v>
      </c>
      <c r="I4" s="460">
        <f>月間設定!I4</f>
        <v>1</v>
      </c>
      <c r="J4" s="460">
        <f>月間設定!J4</f>
        <v>2</v>
      </c>
      <c r="K4" s="460">
        <f>月間設定!K4</f>
        <v>3</v>
      </c>
      <c r="L4" s="460">
        <f>月間設定!L4</f>
        <v>4</v>
      </c>
      <c r="M4" s="460">
        <f>月間設定!M4</f>
        <v>5</v>
      </c>
      <c r="N4" s="460">
        <f>月間設定!N4</f>
        <v>6</v>
      </c>
      <c r="O4" s="461">
        <f>月間設定!O4</f>
        <v>7</v>
      </c>
      <c r="P4" s="460">
        <f>月間設定!P4</f>
        <v>1</v>
      </c>
      <c r="Q4" s="460">
        <f>月間設定!Q4</f>
        <v>2</v>
      </c>
      <c r="R4" s="460">
        <f>月間設定!R4</f>
        <v>3</v>
      </c>
      <c r="S4" s="460">
        <f>月間設定!S4</f>
        <v>4</v>
      </c>
      <c r="T4" s="460">
        <f>月間設定!T4</f>
        <v>5</v>
      </c>
      <c r="U4" s="460">
        <f>月間設定!U4</f>
        <v>6</v>
      </c>
      <c r="V4" s="461">
        <f>月間設定!V4</f>
        <v>7</v>
      </c>
      <c r="W4" s="460">
        <f>月間設定!W4</f>
        <v>1</v>
      </c>
      <c r="X4" s="460">
        <f>月間設定!X4</f>
        <v>2</v>
      </c>
      <c r="Y4" s="460">
        <f>月間設定!Y4</f>
        <v>3</v>
      </c>
      <c r="Z4" s="460">
        <f>月間設定!Z4</f>
        <v>4</v>
      </c>
      <c r="AA4" s="460">
        <f>月間設定!AA4</f>
        <v>5</v>
      </c>
      <c r="AB4" s="460">
        <f>月間設定!AB4</f>
        <v>6</v>
      </c>
      <c r="AC4" s="461">
        <f>月間設定!AC4</f>
        <v>7</v>
      </c>
      <c r="AD4" s="460">
        <f>月間設定!AD4</f>
        <v>1</v>
      </c>
      <c r="AE4" s="460">
        <f>月間設定!AE4</f>
        <v>2</v>
      </c>
      <c r="AF4" s="460">
        <f>月間設定!AF4</f>
        <v>3</v>
      </c>
      <c r="AG4" s="462" t="str">
        <f>月間設定!AG4</f>
        <v/>
      </c>
      <c r="AH4" s="463" t="str">
        <f>月間設定!I1&amp;"日"</f>
        <v>8日</v>
      </c>
      <c r="AI4" s="389" t="s">
        <v>471</v>
      </c>
      <c r="AJ4" s="366" t="s">
        <v>472</v>
      </c>
      <c r="AK4" s="366" t="s">
        <v>473</v>
      </c>
      <c r="AL4" s="366" t="s">
        <v>474</v>
      </c>
      <c r="AM4" s="366" t="s">
        <v>475</v>
      </c>
      <c r="AN4" s="366" t="s">
        <v>476</v>
      </c>
      <c r="AO4" s="347" t="s">
        <v>477</v>
      </c>
      <c r="AP4" s="347" t="s">
        <v>478</v>
      </c>
    </row>
    <row r="5" spans="2:42" ht="15" customHeight="1">
      <c r="B5" s="23"/>
      <c r="C5" s="349" t="s">
        <v>350</v>
      </c>
      <c r="D5" s="349" t="s">
        <v>350</v>
      </c>
      <c r="E5" s="349" t="s">
        <v>350</v>
      </c>
      <c r="F5" s="349" t="s">
        <v>350</v>
      </c>
      <c r="G5" s="349" t="s">
        <v>350</v>
      </c>
      <c r="H5" s="350"/>
      <c r="I5" s="349"/>
      <c r="J5" s="349" t="s">
        <v>350</v>
      </c>
      <c r="K5" s="349" t="s">
        <v>350</v>
      </c>
      <c r="L5" s="349" t="s">
        <v>350</v>
      </c>
      <c r="M5" s="349" t="s">
        <v>350</v>
      </c>
      <c r="N5" s="349" t="s">
        <v>350</v>
      </c>
      <c r="O5" s="350" t="s">
        <v>351</v>
      </c>
      <c r="P5" s="349"/>
      <c r="Q5" s="349" t="s">
        <v>350</v>
      </c>
      <c r="R5" s="349" t="s">
        <v>350</v>
      </c>
      <c r="S5" s="349" t="s">
        <v>350</v>
      </c>
      <c r="T5" s="349" t="s">
        <v>350</v>
      </c>
      <c r="U5" s="349" t="s">
        <v>350</v>
      </c>
      <c r="V5" s="350"/>
      <c r="W5" s="349"/>
      <c r="X5" s="349" t="s">
        <v>350</v>
      </c>
      <c r="Y5" s="349" t="s">
        <v>350</v>
      </c>
      <c r="Z5" s="349" t="s">
        <v>350</v>
      </c>
      <c r="AA5" s="349" t="s">
        <v>350</v>
      </c>
      <c r="AB5" s="349" t="s">
        <v>350</v>
      </c>
      <c r="AC5" s="350" t="s">
        <v>351</v>
      </c>
      <c r="AD5" s="349"/>
      <c r="AE5" s="349" t="s">
        <v>350</v>
      </c>
      <c r="AF5" s="349" t="s">
        <v>350</v>
      </c>
      <c r="AG5" s="351"/>
      <c r="AH5" s="293"/>
      <c r="AI5" s="366"/>
      <c r="AJ5" s="366"/>
      <c r="AK5" s="366"/>
      <c r="AL5" s="366"/>
      <c r="AM5" s="366"/>
    </row>
    <row r="6" spans="2:42" ht="15" customHeight="1">
      <c r="B6" s="23" t="s">
        <v>6</v>
      </c>
      <c r="C6" s="349" t="s">
        <v>352</v>
      </c>
      <c r="D6" s="349" t="s">
        <v>352</v>
      </c>
      <c r="E6" s="349" t="s">
        <v>352</v>
      </c>
      <c r="F6" s="349" t="s">
        <v>352</v>
      </c>
      <c r="G6" s="349" t="s">
        <v>352</v>
      </c>
      <c r="H6" s="350"/>
      <c r="I6" s="349"/>
      <c r="J6" s="349" t="s">
        <v>352</v>
      </c>
      <c r="K6" s="349" t="s">
        <v>352</v>
      </c>
      <c r="L6" s="349" t="s">
        <v>352</v>
      </c>
      <c r="M6" s="349" t="s">
        <v>352</v>
      </c>
      <c r="N6" s="349" t="s">
        <v>352</v>
      </c>
      <c r="O6" s="350"/>
      <c r="P6" s="349"/>
      <c r="Q6" s="349" t="s">
        <v>352</v>
      </c>
      <c r="R6" s="349" t="s">
        <v>352</v>
      </c>
      <c r="S6" s="349" t="s">
        <v>352</v>
      </c>
      <c r="T6" s="349" t="s">
        <v>352</v>
      </c>
      <c r="U6" s="349" t="s">
        <v>352</v>
      </c>
      <c r="V6" s="350"/>
      <c r="W6" s="349"/>
      <c r="X6" s="349" t="s">
        <v>352</v>
      </c>
      <c r="Y6" s="349" t="s">
        <v>352</v>
      </c>
      <c r="Z6" s="349" t="s">
        <v>352</v>
      </c>
      <c r="AA6" s="349" t="s">
        <v>352</v>
      </c>
      <c r="AB6" s="349" t="s">
        <v>352</v>
      </c>
      <c r="AC6" s="350"/>
      <c r="AD6" s="349"/>
      <c r="AE6" s="349" t="s">
        <v>352</v>
      </c>
      <c r="AF6" s="349" t="s">
        <v>352</v>
      </c>
      <c r="AG6" s="351"/>
      <c r="AH6" s="293" t="s">
        <v>6</v>
      </c>
      <c r="AI6" s="366"/>
      <c r="AJ6" s="366"/>
      <c r="AK6" s="366"/>
      <c r="AL6" s="366"/>
      <c r="AM6" s="366"/>
    </row>
    <row r="7" spans="2:42" ht="15" customHeight="1">
      <c r="B7" s="24"/>
      <c r="C7" s="355"/>
      <c r="D7" s="355"/>
      <c r="E7" s="355"/>
      <c r="F7" s="355"/>
      <c r="G7" s="355"/>
      <c r="H7" s="356"/>
      <c r="I7" s="355"/>
      <c r="J7" s="355"/>
      <c r="K7" s="355"/>
      <c r="L7" s="355"/>
      <c r="M7" s="355"/>
      <c r="N7" s="355"/>
      <c r="O7" s="356"/>
      <c r="P7" s="355"/>
      <c r="Q7" s="355"/>
      <c r="R7" s="355"/>
      <c r="S7" s="355"/>
      <c r="T7" s="355"/>
      <c r="U7" s="355"/>
      <c r="V7" s="356"/>
      <c r="W7" s="355"/>
      <c r="X7" s="355"/>
      <c r="Y7" s="355"/>
      <c r="Z7" s="355"/>
      <c r="AA7" s="355"/>
      <c r="AB7" s="355"/>
      <c r="AC7" s="356"/>
      <c r="AD7" s="355"/>
      <c r="AE7" s="355"/>
      <c r="AF7" s="355"/>
      <c r="AG7" s="357"/>
      <c r="AH7" s="296"/>
      <c r="AI7" s="366"/>
      <c r="AJ7" s="366"/>
      <c r="AK7" s="366"/>
      <c r="AL7" s="366"/>
      <c r="AM7" s="366"/>
    </row>
    <row r="8" spans="2:42" ht="15" customHeight="1">
      <c r="B8" s="23"/>
      <c r="C8" s="349"/>
      <c r="D8" s="349"/>
      <c r="E8" s="349"/>
      <c r="F8" s="349"/>
      <c r="G8" s="349" t="s">
        <v>353</v>
      </c>
      <c r="H8" s="350"/>
      <c r="I8" s="349"/>
      <c r="J8" s="349"/>
      <c r="K8" s="349"/>
      <c r="L8" s="349" t="s">
        <v>354</v>
      </c>
      <c r="M8" s="349"/>
      <c r="N8" s="349"/>
      <c r="O8" s="350"/>
      <c r="P8" s="349"/>
      <c r="Q8" s="349"/>
      <c r="R8" s="349"/>
      <c r="S8" s="349"/>
      <c r="T8" s="349" t="s">
        <v>353</v>
      </c>
      <c r="U8" s="349"/>
      <c r="V8" s="350"/>
      <c r="W8" s="349"/>
      <c r="X8" s="349" t="s">
        <v>355</v>
      </c>
      <c r="Y8" s="349"/>
      <c r="Z8" s="349"/>
      <c r="AA8" s="349"/>
      <c r="AB8" s="349"/>
      <c r="AC8" s="350"/>
      <c r="AD8" s="349"/>
      <c r="AE8" s="349"/>
      <c r="AF8" s="349"/>
      <c r="AG8" s="351"/>
      <c r="AH8" s="293"/>
      <c r="AI8" s="366"/>
      <c r="AJ8" s="366"/>
      <c r="AK8" s="366"/>
      <c r="AL8" s="366"/>
      <c r="AM8" s="366"/>
    </row>
    <row r="9" spans="2:42" ht="15" customHeight="1">
      <c r="B9" s="23" t="s">
        <v>8</v>
      </c>
      <c r="C9" s="349"/>
      <c r="D9" s="349"/>
      <c r="E9" s="349"/>
      <c r="F9" s="349"/>
      <c r="G9" s="349"/>
      <c r="H9" s="350"/>
      <c r="I9" s="349"/>
      <c r="J9" s="349"/>
      <c r="K9" s="349"/>
      <c r="L9" s="349"/>
      <c r="M9" s="349"/>
      <c r="N9" s="349"/>
      <c r="O9" s="350"/>
      <c r="P9" s="349"/>
      <c r="Q9" s="349"/>
      <c r="R9" s="349"/>
      <c r="S9" s="349"/>
      <c r="T9" s="349" t="s">
        <v>356</v>
      </c>
      <c r="U9" s="349"/>
      <c r="V9" s="350"/>
      <c r="W9" s="349"/>
      <c r="X9" s="349"/>
      <c r="Y9" s="349"/>
      <c r="Z9" s="349"/>
      <c r="AA9" s="349"/>
      <c r="AB9" s="349"/>
      <c r="AC9" s="350"/>
      <c r="AD9" s="349"/>
      <c r="AE9" s="349"/>
      <c r="AF9" s="349"/>
      <c r="AG9" s="351"/>
      <c r="AH9" s="293" t="s">
        <v>8</v>
      </c>
      <c r="AI9" s="366"/>
      <c r="AJ9" s="366"/>
      <c r="AK9" s="366"/>
      <c r="AL9" s="366"/>
      <c r="AM9" s="366"/>
    </row>
    <row r="10" spans="2:42" ht="15" customHeight="1">
      <c r="B10" s="24"/>
      <c r="C10" s="355"/>
      <c r="D10" s="355"/>
      <c r="E10" s="355"/>
      <c r="F10" s="355"/>
      <c r="G10" s="355"/>
      <c r="H10" s="356"/>
      <c r="I10" s="355"/>
      <c r="J10" s="355"/>
      <c r="K10" s="355"/>
      <c r="L10" s="355"/>
      <c r="M10" s="355"/>
      <c r="N10" s="355"/>
      <c r="O10" s="356"/>
      <c r="P10" s="355"/>
      <c r="Q10" s="355"/>
      <c r="R10" s="355"/>
      <c r="S10" s="355"/>
      <c r="T10" s="355"/>
      <c r="U10" s="355"/>
      <c r="V10" s="356"/>
      <c r="W10" s="355"/>
      <c r="X10" s="355"/>
      <c r="Y10" s="355"/>
      <c r="Z10" s="355"/>
      <c r="AA10" s="355"/>
      <c r="AB10" s="355"/>
      <c r="AC10" s="356"/>
      <c r="AD10" s="355"/>
      <c r="AE10" s="355"/>
      <c r="AF10" s="355"/>
      <c r="AG10" s="357"/>
      <c r="AH10" s="296"/>
      <c r="AI10" s="366"/>
      <c r="AJ10" s="366"/>
      <c r="AK10" s="366"/>
      <c r="AL10" s="366"/>
      <c r="AM10" s="366"/>
    </row>
    <row r="11" spans="2:42" ht="15" customHeight="1">
      <c r="B11" s="23"/>
      <c r="C11" s="349"/>
      <c r="D11" s="349"/>
      <c r="E11" s="349" t="s">
        <v>357</v>
      </c>
      <c r="F11" s="349"/>
      <c r="G11" s="349"/>
      <c r="H11" s="350" t="s">
        <v>358</v>
      </c>
      <c r="I11" s="349"/>
      <c r="J11" s="349"/>
      <c r="K11" s="349" t="s">
        <v>359</v>
      </c>
      <c r="L11" s="349"/>
      <c r="M11" s="349" t="s">
        <v>360</v>
      </c>
      <c r="N11" s="349" t="s">
        <v>361</v>
      </c>
      <c r="O11" s="350" t="s">
        <v>358</v>
      </c>
      <c r="P11" s="349"/>
      <c r="Q11" s="349" t="s">
        <v>362</v>
      </c>
      <c r="R11" s="349"/>
      <c r="S11" s="349" t="s">
        <v>357</v>
      </c>
      <c r="T11" s="349"/>
      <c r="U11" s="349"/>
      <c r="V11" s="350" t="s">
        <v>358</v>
      </c>
      <c r="W11" s="349"/>
      <c r="X11" s="349" t="s">
        <v>360</v>
      </c>
      <c r="Y11" s="349" t="s">
        <v>359</v>
      </c>
      <c r="Z11" s="349"/>
      <c r="AA11" s="349"/>
      <c r="AB11" s="349" t="s">
        <v>361</v>
      </c>
      <c r="AC11" s="350"/>
      <c r="AD11" s="349"/>
      <c r="AE11" s="349" t="s">
        <v>362</v>
      </c>
      <c r="AF11" s="349"/>
      <c r="AG11" s="351"/>
      <c r="AH11" s="293"/>
      <c r="AI11" s="366"/>
      <c r="AJ11" s="366"/>
      <c r="AK11" s="366"/>
      <c r="AL11" s="366"/>
      <c r="AM11" s="366"/>
    </row>
    <row r="12" spans="2:42" ht="15" customHeight="1">
      <c r="B12" s="23" t="s">
        <v>14</v>
      </c>
      <c r="C12" s="349"/>
      <c r="D12" s="349"/>
      <c r="E12" s="349"/>
      <c r="F12" s="349"/>
      <c r="G12" s="349"/>
      <c r="H12" s="350"/>
      <c r="I12" s="349"/>
      <c r="J12" s="349"/>
      <c r="K12" s="349"/>
      <c r="L12" s="349"/>
      <c r="M12" s="349"/>
      <c r="N12" s="349"/>
      <c r="O12" s="350"/>
      <c r="P12" s="349"/>
      <c r="Q12" s="349"/>
      <c r="R12" s="349"/>
      <c r="S12" s="349" t="s">
        <v>363</v>
      </c>
      <c r="T12" s="349"/>
      <c r="U12" s="349"/>
      <c r="V12" s="350"/>
      <c r="W12" s="349"/>
      <c r="X12" s="349"/>
      <c r="Y12" s="349"/>
      <c r="Z12" s="349"/>
      <c r="AA12" s="349"/>
      <c r="AB12" s="349"/>
      <c r="AC12" s="350"/>
      <c r="AD12" s="349"/>
      <c r="AE12" s="349"/>
      <c r="AF12" s="349"/>
      <c r="AG12" s="351"/>
      <c r="AH12" s="293" t="s">
        <v>14</v>
      </c>
      <c r="AI12" s="366"/>
      <c r="AJ12" s="366"/>
      <c r="AK12" s="366"/>
      <c r="AL12" s="366"/>
      <c r="AM12" s="366"/>
    </row>
    <row r="13" spans="2:42" ht="15" customHeight="1">
      <c r="B13" s="24"/>
      <c r="C13" s="355"/>
      <c r="D13" s="355"/>
      <c r="E13" s="355"/>
      <c r="F13" s="355"/>
      <c r="G13" s="355"/>
      <c r="H13" s="356"/>
      <c r="I13" s="355"/>
      <c r="J13" s="355"/>
      <c r="K13" s="355"/>
      <c r="L13" s="355"/>
      <c r="M13" s="355"/>
      <c r="N13" s="355"/>
      <c r="O13" s="356"/>
      <c r="P13" s="355"/>
      <c r="Q13" s="355"/>
      <c r="R13" s="355"/>
      <c r="S13" s="355"/>
      <c r="T13" s="355"/>
      <c r="U13" s="355"/>
      <c r="V13" s="356"/>
      <c r="W13" s="355"/>
      <c r="X13" s="355"/>
      <c r="Y13" s="355"/>
      <c r="Z13" s="355"/>
      <c r="AA13" s="355"/>
      <c r="AB13" s="355"/>
      <c r="AC13" s="356"/>
      <c r="AD13" s="355"/>
      <c r="AE13" s="355"/>
      <c r="AF13" s="355"/>
      <c r="AG13" s="357"/>
      <c r="AH13" s="296"/>
      <c r="AI13" s="366"/>
      <c r="AJ13" s="366"/>
      <c r="AK13" s="366"/>
      <c r="AL13" s="366"/>
      <c r="AM13" s="366"/>
    </row>
    <row r="14" spans="2:42" ht="15" customHeight="1">
      <c r="B14" s="23" t="s">
        <v>79</v>
      </c>
      <c r="C14" s="349"/>
      <c r="D14" s="349"/>
      <c r="E14" s="349"/>
      <c r="F14" s="349"/>
      <c r="G14" s="349"/>
      <c r="H14" s="350"/>
      <c r="I14" s="349"/>
      <c r="J14" s="349"/>
      <c r="K14" s="349"/>
      <c r="L14" s="349"/>
      <c r="M14" s="349"/>
      <c r="N14" s="349"/>
      <c r="O14" s="350"/>
      <c r="P14" s="349"/>
      <c r="Q14" s="349"/>
      <c r="R14" s="349"/>
      <c r="S14" s="349" t="s">
        <v>367</v>
      </c>
      <c r="T14" s="349"/>
      <c r="U14" s="349"/>
      <c r="V14" s="350"/>
      <c r="W14" s="349"/>
      <c r="X14" s="349"/>
      <c r="Y14" s="349"/>
      <c r="Z14" s="349"/>
      <c r="AA14" s="349"/>
      <c r="AB14" s="349"/>
      <c r="AC14" s="350"/>
      <c r="AD14" s="349"/>
      <c r="AE14" s="349"/>
      <c r="AF14" s="349" t="s">
        <v>368</v>
      </c>
      <c r="AG14" s="351"/>
      <c r="AH14" s="293" t="s">
        <v>79</v>
      </c>
      <c r="AI14" s="366"/>
      <c r="AJ14" s="366"/>
      <c r="AK14" s="366"/>
      <c r="AL14" s="366"/>
      <c r="AM14" s="366"/>
    </row>
    <row r="15" spans="2:42" ht="15" customHeight="1">
      <c r="B15" s="24"/>
      <c r="C15" s="355"/>
      <c r="D15" s="355"/>
      <c r="E15" s="355"/>
      <c r="F15" s="355"/>
      <c r="G15" s="355"/>
      <c r="H15" s="356"/>
      <c r="I15" s="355"/>
      <c r="J15" s="355"/>
      <c r="K15" s="355"/>
      <c r="L15" s="355"/>
      <c r="M15" s="355"/>
      <c r="N15" s="355"/>
      <c r="O15" s="356"/>
      <c r="P15" s="355"/>
      <c r="Q15" s="355"/>
      <c r="R15" s="355"/>
      <c r="S15" s="355"/>
      <c r="T15" s="355"/>
      <c r="U15" s="355"/>
      <c r="V15" s="356"/>
      <c r="W15" s="355"/>
      <c r="X15" s="355"/>
      <c r="Y15" s="355"/>
      <c r="Z15" s="355"/>
      <c r="AA15" s="355"/>
      <c r="AB15" s="355"/>
      <c r="AC15" s="356"/>
      <c r="AD15" s="355"/>
      <c r="AE15" s="355"/>
      <c r="AF15" s="355" t="s">
        <v>369</v>
      </c>
      <c r="AG15" s="357"/>
      <c r="AH15" s="296"/>
      <c r="AI15" s="366"/>
      <c r="AJ15" s="366"/>
      <c r="AK15" s="366"/>
      <c r="AL15" s="366"/>
      <c r="AM15" s="366"/>
    </row>
    <row r="16" spans="2:42" ht="15" customHeight="1">
      <c r="B16" s="23" t="s">
        <v>83</v>
      </c>
      <c r="C16" s="349"/>
      <c r="D16" s="349"/>
      <c r="E16" s="349"/>
      <c r="F16" s="349"/>
      <c r="G16" s="349"/>
      <c r="H16" s="350"/>
      <c r="I16" s="349"/>
      <c r="J16" s="349"/>
      <c r="K16" s="349"/>
      <c r="L16" s="349"/>
      <c r="M16" s="349"/>
      <c r="N16" s="349"/>
      <c r="O16" s="350"/>
      <c r="P16" s="349"/>
      <c r="Q16" s="349"/>
      <c r="R16" s="349"/>
      <c r="S16" s="349"/>
      <c r="T16" s="349"/>
      <c r="U16" s="349"/>
      <c r="V16" s="350"/>
      <c r="W16" s="349"/>
      <c r="X16" s="349"/>
      <c r="Y16" s="349"/>
      <c r="Z16" s="349"/>
      <c r="AA16" s="349"/>
      <c r="AB16" s="349"/>
      <c r="AC16" s="350"/>
      <c r="AD16" s="349"/>
      <c r="AE16" s="349"/>
      <c r="AF16" s="349"/>
      <c r="AG16" s="351"/>
      <c r="AH16" s="293" t="s">
        <v>83</v>
      </c>
      <c r="AI16" s="366"/>
      <c r="AJ16" s="366"/>
      <c r="AK16" s="366"/>
      <c r="AL16" s="366"/>
      <c r="AM16" s="366"/>
    </row>
    <row r="17" spans="1:42" ht="15" customHeight="1">
      <c r="B17" s="24"/>
      <c r="C17" s="355"/>
      <c r="D17" s="355"/>
      <c r="E17" s="355"/>
      <c r="F17" s="355"/>
      <c r="G17" s="355"/>
      <c r="H17" s="356"/>
      <c r="I17" s="355"/>
      <c r="J17" s="355"/>
      <c r="K17" s="355"/>
      <c r="L17" s="355"/>
      <c r="M17" s="355"/>
      <c r="N17" s="355"/>
      <c r="O17" s="356"/>
      <c r="P17" s="355"/>
      <c r="Q17" s="355"/>
      <c r="R17" s="355"/>
      <c r="S17" s="355"/>
      <c r="T17" s="355"/>
      <c r="U17" s="355"/>
      <c r="V17" s="356"/>
      <c r="W17" s="355"/>
      <c r="X17" s="355"/>
      <c r="Y17" s="355"/>
      <c r="Z17" s="355"/>
      <c r="AA17" s="355"/>
      <c r="AB17" s="355"/>
      <c r="AC17" s="356"/>
      <c r="AD17" s="355"/>
      <c r="AE17" s="355"/>
      <c r="AF17" s="355"/>
      <c r="AG17" s="357"/>
      <c r="AH17" s="296"/>
      <c r="AI17" s="366"/>
      <c r="AJ17" s="366"/>
      <c r="AK17" s="366"/>
      <c r="AL17" s="366"/>
      <c r="AM17" s="366"/>
    </row>
    <row r="18" spans="1:42" ht="15" customHeight="1">
      <c r="B18" s="23" t="s">
        <v>74</v>
      </c>
      <c r="C18" s="349" t="s">
        <v>16</v>
      </c>
      <c r="D18" s="349" t="s">
        <v>16</v>
      </c>
      <c r="E18" s="349" t="s">
        <v>16</v>
      </c>
      <c r="F18" s="349" t="s">
        <v>16</v>
      </c>
      <c r="G18" s="349" t="s">
        <v>16</v>
      </c>
      <c r="H18" s="350"/>
      <c r="I18" s="349"/>
      <c r="J18" s="349" t="s">
        <v>16</v>
      </c>
      <c r="K18" s="349" t="s">
        <v>16</v>
      </c>
      <c r="L18" s="349" t="s">
        <v>16</v>
      </c>
      <c r="M18" s="349" t="s">
        <v>16</v>
      </c>
      <c r="N18" s="349" t="s">
        <v>16</v>
      </c>
      <c r="O18" s="350" t="s">
        <v>479</v>
      </c>
      <c r="P18" s="349"/>
      <c r="Q18" s="349" t="s">
        <v>364</v>
      </c>
      <c r="R18" s="349" t="s">
        <v>364</v>
      </c>
      <c r="S18" s="349" t="s">
        <v>16</v>
      </c>
      <c r="T18" s="349" t="s">
        <v>16</v>
      </c>
      <c r="U18" s="349" t="s">
        <v>16</v>
      </c>
      <c r="V18" s="350"/>
      <c r="W18" s="349"/>
      <c r="X18" s="349" t="s">
        <v>16</v>
      </c>
      <c r="Y18" s="349" t="s">
        <v>16</v>
      </c>
      <c r="Z18" s="349" t="s">
        <v>16</v>
      </c>
      <c r="AA18" s="349" t="s">
        <v>16</v>
      </c>
      <c r="AB18" s="349" t="s">
        <v>16</v>
      </c>
      <c r="AC18" s="350"/>
      <c r="AD18" s="349"/>
      <c r="AE18" s="349" t="s">
        <v>16</v>
      </c>
      <c r="AF18" s="349" t="s">
        <v>16</v>
      </c>
      <c r="AG18" s="351"/>
      <c r="AH18" s="293" t="s">
        <v>74</v>
      </c>
      <c r="AI18" s="366"/>
      <c r="AJ18" s="366"/>
      <c r="AK18" s="366"/>
      <c r="AL18" s="366"/>
      <c r="AM18" s="366"/>
    </row>
    <row r="19" spans="1:42" ht="15" customHeight="1">
      <c r="B19" s="24"/>
      <c r="C19" s="355"/>
      <c r="D19" s="355"/>
      <c r="E19" s="355"/>
      <c r="F19" s="355"/>
      <c r="G19" s="355"/>
      <c r="H19" s="356"/>
      <c r="I19" s="355"/>
      <c r="J19" s="355"/>
      <c r="K19" s="355"/>
      <c r="L19" s="355"/>
      <c r="M19" s="355"/>
      <c r="N19" s="355"/>
      <c r="O19" s="356" t="s">
        <v>480</v>
      </c>
      <c r="P19" s="355"/>
      <c r="Q19" s="355"/>
      <c r="R19" s="355"/>
      <c r="S19" s="355"/>
      <c r="T19" s="355"/>
      <c r="U19" s="355"/>
      <c r="V19" s="356"/>
      <c r="W19" s="355"/>
      <c r="X19" s="355"/>
      <c r="Y19" s="355"/>
      <c r="Z19" s="355"/>
      <c r="AA19" s="355"/>
      <c r="AB19" s="355"/>
      <c r="AC19" s="356"/>
      <c r="AD19" s="355"/>
      <c r="AE19" s="355"/>
      <c r="AF19" s="355"/>
      <c r="AG19" s="357"/>
      <c r="AH19" s="296"/>
      <c r="AI19" s="366"/>
      <c r="AJ19" s="366"/>
      <c r="AK19" s="366"/>
      <c r="AL19" s="366"/>
      <c r="AM19" s="366"/>
    </row>
    <row r="20" spans="1:42" ht="15" customHeight="1">
      <c r="B20" s="23"/>
      <c r="C20" s="349"/>
      <c r="D20" s="349"/>
      <c r="E20" s="349"/>
      <c r="F20" s="349" t="s">
        <v>373</v>
      </c>
      <c r="G20" s="349"/>
      <c r="H20" s="350"/>
      <c r="I20" s="349"/>
      <c r="J20" s="349"/>
      <c r="K20" s="349"/>
      <c r="L20" s="349"/>
      <c r="M20" s="349" t="s">
        <v>373</v>
      </c>
      <c r="N20" s="349"/>
      <c r="O20" s="350"/>
      <c r="P20" s="349"/>
      <c r="Q20" s="349"/>
      <c r="R20" s="349"/>
      <c r="S20" s="349"/>
      <c r="T20" s="349" t="s">
        <v>373</v>
      </c>
      <c r="U20" s="349"/>
      <c r="V20" s="350"/>
      <c r="W20" s="349"/>
      <c r="X20" s="349"/>
      <c r="Y20" s="349"/>
      <c r="Z20" s="349"/>
      <c r="AA20" s="349" t="s">
        <v>373</v>
      </c>
      <c r="AB20" s="349"/>
      <c r="AC20" s="350"/>
      <c r="AD20" s="349"/>
      <c r="AE20" s="349"/>
      <c r="AF20" s="349"/>
      <c r="AG20" s="351"/>
      <c r="AH20" s="293"/>
      <c r="AI20" s="366"/>
      <c r="AJ20" s="366"/>
      <c r="AK20" s="366"/>
      <c r="AL20" s="366"/>
      <c r="AM20" s="366"/>
    </row>
    <row r="21" spans="1:42" ht="15" customHeight="1">
      <c r="B21" s="23" t="s">
        <v>42</v>
      </c>
      <c r="C21" s="349"/>
      <c r="D21" s="349"/>
      <c r="E21" s="349" t="s">
        <v>374</v>
      </c>
      <c r="F21" s="349" t="s">
        <v>363</v>
      </c>
      <c r="G21" s="349"/>
      <c r="H21" s="350"/>
      <c r="I21" s="349"/>
      <c r="J21" s="349"/>
      <c r="K21" s="349"/>
      <c r="L21" s="349"/>
      <c r="M21" s="349" t="s">
        <v>375</v>
      </c>
      <c r="N21" s="349"/>
      <c r="O21" s="350" t="s">
        <v>365</v>
      </c>
      <c r="P21" s="349"/>
      <c r="Q21" s="349"/>
      <c r="R21" s="349"/>
      <c r="S21" s="349"/>
      <c r="T21" s="349" t="s">
        <v>376</v>
      </c>
      <c r="U21" s="349"/>
      <c r="V21" s="350"/>
      <c r="W21" s="349"/>
      <c r="X21" s="349" t="s">
        <v>377</v>
      </c>
      <c r="Y21" s="349"/>
      <c r="Z21" s="349"/>
      <c r="AA21" s="349" t="s">
        <v>363</v>
      </c>
      <c r="AB21" s="349"/>
      <c r="AC21" s="350"/>
      <c r="AD21" s="349"/>
      <c r="AE21" s="349"/>
      <c r="AF21" s="349" t="s">
        <v>378</v>
      </c>
      <c r="AG21" s="351"/>
      <c r="AH21" s="293" t="s">
        <v>42</v>
      </c>
      <c r="AI21" s="366"/>
      <c r="AJ21" s="366"/>
      <c r="AK21" s="366"/>
      <c r="AL21" s="366"/>
      <c r="AM21" s="366"/>
    </row>
    <row r="22" spans="1:42" ht="15" customHeight="1">
      <c r="B22" s="430"/>
      <c r="C22" s="464"/>
      <c r="D22" s="464"/>
      <c r="E22" s="464" t="s">
        <v>379</v>
      </c>
      <c r="F22" s="464"/>
      <c r="G22" s="464"/>
      <c r="H22" s="465"/>
      <c r="I22" s="464"/>
      <c r="J22" s="464"/>
      <c r="K22" s="464"/>
      <c r="L22" s="464"/>
      <c r="M22" s="464"/>
      <c r="N22" s="464"/>
      <c r="O22" s="465" t="s">
        <v>366</v>
      </c>
      <c r="P22" s="464"/>
      <c r="Q22" s="464"/>
      <c r="R22" s="464"/>
      <c r="S22" s="464"/>
      <c r="T22" s="464" t="s">
        <v>380</v>
      </c>
      <c r="U22" s="464"/>
      <c r="V22" s="465"/>
      <c r="W22" s="464"/>
      <c r="X22" s="464" t="s">
        <v>381</v>
      </c>
      <c r="Y22" s="464"/>
      <c r="Z22" s="464"/>
      <c r="AA22" s="464" t="s">
        <v>382</v>
      </c>
      <c r="AB22" s="464"/>
      <c r="AC22" s="465"/>
      <c r="AD22" s="464"/>
      <c r="AE22" s="464" t="s">
        <v>383</v>
      </c>
      <c r="AF22" s="464" t="s">
        <v>369</v>
      </c>
      <c r="AG22" s="466"/>
      <c r="AH22" s="437"/>
      <c r="AI22" s="389" t="s">
        <v>471</v>
      </c>
      <c r="AJ22" s="366" t="s">
        <v>472</v>
      </c>
      <c r="AK22" s="366" t="s">
        <v>473</v>
      </c>
      <c r="AL22" s="366" t="s">
        <v>474</v>
      </c>
      <c r="AM22" s="366" t="s">
        <v>475</v>
      </c>
      <c r="AN22" s="366" t="s">
        <v>481</v>
      </c>
      <c r="AO22" s="347" t="s">
        <v>477</v>
      </c>
      <c r="AP22" s="347" t="s">
        <v>478</v>
      </c>
    </row>
    <row r="23" spans="1:42" ht="15" customHeight="1">
      <c r="A23" s="347">
        <f>COUNTIF(C23:AG23,"★★")</f>
        <v>4</v>
      </c>
      <c r="B23" s="518" t="str">
        <f>IF(一覧!B27="","",一覧!B27)</f>
        <v>小池　一暢</v>
      </c>
      <c r="C23" s="349" t="str">
        <f>IF(一覧!C27="","",一覧!C27)</f>
        <v>局会</v>
      </c>
      <c r="D23" s="349" t="str">
        <f>IF(一覧!D27="","",一覧!D27)</f>
        <v/>
      </c>
      <c r="E23" s="349" t="str">
        <f>IF(一覧!E27="","",一覧!E27)</f>
        <v/>
      </c>
      <c r="F23" s="349" t="str">
        <f>IF(一覧!F27="","",一覧!F27)</f>
        <v/>
      </c>
      <c r="G23" s="349" t="str">
        <f>IF(一覧!G27="","",一覧!G27)</f>
        <v>ＲＤ</v>
      </c>
      <c r="H23" s="350" t="str">
        <f>IF(一覧!H27="","",一覧!H27)</f>
        <v>★</v>
      </c>
      <c r="I23" s="349" t="str">
        <f>IF(一覧!I27="","",一覧!I27)</f>
        <v>★★</v>
      </c>
      <c r="J23" s="349" t="str">
        <f>IF(一覧!J27="","",一覧!J27)</f>
        <v/>
      </c>
      <c r="K23" s="349" t="str">
        <f>IF(一覧!K27="","",一覧!K27)</f>
        <v/>
      </c>
      <c r="L23" s="349" t="str">
        <f>IF(一覧!L27="","",一覧!L27)</f>
        <v/>
      </c>
      <c r="M23" s="349" t="str">
        <f>IF(一覧!M27="","",一覧!M27)</f>
        <v>じゅっと</v>
      </c>
      <c r="N23" s="349" t="str">
        <f>IF(一覧!N27="","",一覧!N27)</f>
        <v/>
      </c>
      <c r="O23" s="350" t="str">
        <f>IF(一覧!O27="","",一覧!O27)</f>
        <v>★</v>
      </c>
      <c r="P23" s="349" t="str">
        <f>IF(一覧!P27="","",一覧!P27)</f>
        <v>★★</v>
      </c>
      <c r="Q23" s="349" t="str">
        <f>IF(一覧!Q27="","",一覧!Q27)</f>
        <v/>
      </c>
      <c r="R23" s="349" t="str">
        <f>IF(一覧!R27="","",一覧!R27)</f>
        <v>年休</v>
      </c>
      <c r="S23" s="349" t="str">
        <f>IF(一覧!S27="","",一覧!S27)</f>
        <v>ＲＤ</v>
      </c>
      <c r="T23" s="349" t="str">
        <f>IF(一覧!T27="","",一覧!T27)</f>
        <v>じゅっと</v>
      </c>
      <c r="U23" s="349" t="str">
        <f>IF(一覧!U27="","",一覧!U27)</f>
        <v>ｶﾒﾗG会</v>
      </c>
      <c r="V23" s="350" t="str">
        <f>IF(一覧!V27="","",一覧!V27)</f>
        <v>★</v>
      </c>
      <c r="W23" s="349" t="str">
        <f>IF(一覧!W27="","",一覧!W27)</f>
        <v>★★</v>
      </c>
      <c r="X23" s="349" t="str">
        <f>IF(一覧!X27="","",一覧!X27)</f>
        <v>ＲＤ</v>
      </c>
      <c r="Y23" s="349" t="str">
        <f>IF(一覧!Y27="","",一覧!Y27)</f>
        <v/>
      </c>
      <c r="Z23" s="349" t="str">
        <f>IF(一覧!Z27="","",一覧!Z27)</f>
        <v>音G/VEG</v>
      </c>
      <c r="AA23" s="349" t="str">
        <f>IF(一覧!AA27="","",一覧!AA27)</f>
        <v/>
      </c>
      <c r="AB23" s="349" t="str">
        <f>IF(一覧!AB27="","",一覧!AB27)</f>
        <v>技術会議</v>
      </c>
      <c r="AC23" s="350" t="str">
        <f>IF(一覧!AC27="","",一覧!AC27)</f>
        <v>★</v>
      </c>
      <c r="AD23" s="349" t="str">
        <f>IF(一覧!AD27="","",一覧!AD27)</f>
        <v>★★</v>
      </c>
      <c r="AE23" s="349" t="str">
        <f>IF(一覧!AE27="","",一覧!AE27)</f>
        <v>　　　━</v>
      </c>
      <c r="AF23" s="349" t="str">
        <f>IF(一覧!AF27="","",一覧!AF27)</f>
        <v>━　　　</v>
      </c>
      <c r="AG23" s="351" t="str">
        <f>IF(一覧!AG27="","",一覧!AG27)</f>
        <v/>
      </c>
      <c r="AH23" s="519" t="str">
        <f>IF(一覧!AH27="","",一覧!AH27)</f>
        <v>小池</v>
      </c>
      <c r="AI23" s="347">
        <f t="shared" ref="AI23:AI65" si="0">SUM(AJ23,AN23,AO23,AP23)</f>
        <v>3</v>
      </c>
      <c r="AJ23" s="347">
        <f>COUNTIF(C23:AG23,"　　　━")+COUNTIF(D24:AG24,"　　　━")</f>
        <v>1</v>
      </c>
      <c r="AK23" s="347">
        <f t="shared" ref="AK23:AK24" si="1">COUNTIF(C23:AG23,"NsubTD")</f>
        <v>0</v>
      </c>
      <c r="AL23" s="347">
        <f t="shared" ref="AL23:AL24" si="2">COUNTIF(C23:AG23,"ｔｅｎ！")</f>
        <v>0</v>
      </c>
      <c r="AM23" s="347">
        <f t="shared" ref="AM23:AM24" si="3">COUNTIF(C23:AG23,"ＲＤ")</f>
        <v>3</v>
      </c>
      <c r="AN23" s="366">
        <f>COUNTIF(C23:AG23,"じゅっと")</f>
        <v>2</v>
      </c>
      <c r="AO23" s="347">
        <f>COUNTIF(C23:AG23,"ウェーク")</f>
        <v>0</v>
      </c>
      <c r="AP23" s="347">
        <f>COUNTIF(C23:AG23,"ノビしろ")</f>
        <v>0</v>
      </c>
    </row>
    <row r="24" spans="1:42" ht="15" customHeight="1">
      <c r="A24" s="347">
        <f>COUNTIF(C23:AG23,"★")</f>
        <v>4</v>
      </c>
      <c r="B24" s="303" t="str">
        <f>IF(一覧!B28="","",一覧!B28)</f>
        <v/>
      </c>
      <c r="C24" s="355" t="str">
        <f>IF(一覧!C28="","",一覧!C28)</f>
        <v>部長会</v>
      </c>
      <c r="D24" s="355" t="str">
        <f>IF(一覧!D28="","",一覧!D28)</f>
        <v>車両会議</v>
      </c>
      <c r="E24" s="355" t="str">
        <f>IF(一覧!E28="","",一覧!E28)</f>
        <v/>
      </c>
      <c r="F24" s="355" t="str">
        <f>IF(一覧!F28="","",一覧!F28)</f>
        <v/>
      </c>
      <c r="G24" s="355" t="str">
        <f>IF(一覧!G28="","",一覧!G28)</f>
        <v/>
      </c>
      <c r="H24" s="356" t="str">
        <f>IF(一覧!H28="","",一覧!H28)</f>
        <v/>
      </c>
      <c r="I24" s="355" t="str">
        <f>IF(一覧!I28="","",一覧!I28)</f>
        <v/>
      </c>
      <c r="J24" s="355" t="str">
        <f>IF(一覧!J28="","",一覧!J28)</f>
        <v>部長会</v>
      </c>
      <c r="K24" s="355" t="str">
        <f>IF(一覧!K28="","",一覧!K28)</f>
        <v/>
      </c>
      <c r="L24" s="355" t="str">
        <f>IF(一覧!L28="","",一覧!L28)</f>
        <v>照明G</v>
      </c>
      <c r="M24" s="355" t="str">
        <f>IF(一覧!M28="","",一覧!M28)</f>
        <v>ＴＤ</v>
      </c>
      <c r="N24" s="355" t="str">
        <f>IF(一覧!N28="","",一覧!N28)</f>
        <v/>
      </c>
      <c r="O24" s="356" t="str">
        <f>IF(一覧!O28="","",一覧!O28)</f>
        <v/>
      </c>
      <c r="P24" s="355" t="str">
        <f>IF(一覧!P28="","",一覧!P28)</f>
        <v/>
      </c>
      <c r="Q24" s="355" t="str">
        <f>IF(一覧!Q28="","",一覧!Q28)</f>
        <v>部長会</v>
      </c>
      <c r="R24" s="355" t="str">
        <f>IF(一覧!R28="","",一覧!R28)</f>
        <v/>
      </c>
      <c r="S24" s="355" t="str">
        <f>IF(一覧!S28="","",一覧!S28)</f>
        <v/>
      </c>
      <c r="T24" s="355" t="str">
        <f>IF(一覧!T28="","",一覧!T28)</f>
        <v>ＴＤ</v>
      </c>
      <c r="U24" s="355" t="str">
        <f>IF(一覧!U28="","",一覧!U28)</f>
        <v>回線Ｇ</v>
      </c>
      <c r="V24" s="356" t="str">
        <f>IF(一覧!V28="","",一覧!V28)</f>
        <v/>
      </c>
      <c r="W24" s="355" t="str">
        <f>IF(一覧!W28="","",一覧!W28)</f>
        <v/>
      </c>
      <c r="X24" s="355" t="str">
        <f>IF(一覧!X28="","",一覧!X28)</f>
        <v>部長会</v>
      </c>
      <c r="Y24" s="355" t="str">
        <f>IF(一覧!Y28="","",一覧!Y28)</f>
        <v/>
      </c>
      <c r="Z24" s="355" t="str">
        <f>IF(一覧!Z28="","",一覧!Z28)</f>
        <v>制作費会議</v>
      </c>
      <c r="AA24" s="355" t="str">
        <f>IF(一覧!AA28="","",一覧!AA28)</f>
        <v/>
      </c>
      <c r="AB24" s="355" t="str">
        <f>IF(一覧!AB28="","",一覧!AB28)</f>
        <v>NT会議</v>
      </c>
      <c r="AC24" s="356" t="str">
        <f>IF(一覧!AC28="","",一覧!AC28)</f>
        <v/>
      </c>
      <c r="AD24" s="355" t="str">
        <f>IF(一覧!AD28="","",一覧!AD28)</f>
        <v/>
      </c>
      <c r="AE24" s="355" t="str">
        <f>IF(一覧!AE28="","",一覧!AE28)</f>
        <v>部長会</v>
      </c>
      <c r="AF24" s="355" t="str">
        <f>IF(一覧!AF28="","",一覧!AF28)</f>
        <v/>
      </c>
      <c r="AG24" s="357" t="str">
        <f>IF(一覧!AG28="","",一覧!AG28)</f>
        <v/>
      </c>
      <c r="AH24" s="304" t="str">
        <f>IF(一覧!AH28="","",一覧!AH28)</f>
        <v/>
      </c>
      <c r="AI24" s="347">
        <f t="shared" si="0"/>
        <v>0</v>
      </c>
      <c r="AK24" s="347">
        <f t="shared" si="1"/>
        <v>0</v>
      </c>
      <c r="AL24" s="347">
        <f t="shared" si="2"/>
        <v>0</v>
      </c>
      <c r="AM24" s="347">
        <f t="shared" si="3"/>
        <v>0</v>
      </c>
      <c r="AN24" s="366"/>
    </row>
    <row r="25" spans="1:42" ht="15" customHeight="1">
      <c r="A25" s="347">
        <f>COUNTIF(C25:AG25,"★★")</f>
        <v>4</v>
      </c>
      <c r="B25" s="518" t="str">
        <f>IF(一覧!B33="","",一覧!B33)</f>
        <v>森本　泰輔</v>
      </c>
      <c r="C25" s="349" t="str">
        <f>IF(一覧!C33="","",一覧!C33)</f>
        <v/>
      </c>
      <c r="D25" s="349" t="str">
        <f>IF(一覧!D33="","",一覧!D33)</f>
        <v>　　　━</v>
      </c>
      <c r="E25" s="349" t="str">
        <f>IF(一覧!E33="","",一覧!E33)</f>
        <v>━　　　</v>
      </c>
      <c r="F25" s="349" t="str">
        <f>IF(一覧!F33="","",一覧!F33)</f>
        <v>ＲＤ</v>
      </c>
      <c r="G25" s="349" t="str">
        <f>IF(一覧!G33="","",一覧!G33)</f>
        <v>大規模</v>
      </c>
      <c r="H25" s="350" t="str">
        <f>IF(一覧!H33="","",一覧!H33)</f>
        <v>★</v>
      </c>
      <c r="I25" s="349" t="str">
        <f>IF(一覧!I33="","",一覧!I33)</f>
        <v>★★</v>
      </c>
      <c r="J25" s="349" t="str">
        <f>IF(一覧!J33="","",一覧!J33)</f>
        <v>ｔｅｎ！</v>
      </c>
      <c r="K25" s="349" t="str">
        <f>IF(一覧!K33="","",一覧!K33)</f>
        <v>ｔｅｎ！</v>
      </c>
      <c r="L25" s="349" t="str">
        <f>IF(一覧!L33="","",一覧!L33)</f>
        <v>勤務作成</v>
      </c>
      <c r="M25" s="349" t="str">
        <f>IF(一覧!M33="","",一覧!M33)</f>
        <v>NsubTD</v>
      </c>
      <c r="N25" s="349" t="str">
        <f>IF(一覧!N33="","",一覧!N33)</f>
        <v>　　　━</v>
      </c>
      <c r="O25" s="350" t="str">
        <f>IF(一覧!O33="","",一覧!O33)</f>
        <v>━　　　</v>
      </c>
      <c r="P25" s="349" t="str">
        <f>IF(一覧!P33="","",一覧!P33)</f>
        <v>★★</v>
      </c>
      <c r="Q25" s="349" t="str">
        <f>IF(一覧!Q33="","",一覧!Q33)</f>
        <v>★</v>
      </c>
      <c r="R25" s="349" t="str">
        <f>IF(一覧!R33="","",一覧!R33)</f>
        <v/>
      </c>
      <c r="S25" s="349" t="str">
        <f>IF(一覧!S33="","",一覧!S33)</f>
        <v>NsubTD</v>
      </c>
      <c r="T25" s="349" t="str">
        <f>IF(一覧!T33="","",一覧!T33)</f>
        <v>ｔｅｎ！</v>
      </c>
      <c r="U25" s="349" t="str">
        <f>IF(一覧!U33="","",一覧!U33)</f>
        <v>回線Ｇ</v>
      </c>
      <c r="V25" s="350" t="str">
        <f>IF(一覧!V33="","",一覧!V33)</f>
        <v>★</v>
      </c>
      <c r="W25" s="349" t="str">
        <f>IF(一覧!W33="","",一覧!W33)</f>
        <v>★★</v>
      </c>
      <c r="X25" s="349" t="str">
        <f>IF(一覧!X33="","",一覧!X33)</f>
        <v>ノビしろ</v>
      </c>
      <c r="Y25" s="349" t="str">
        <f>IF(一覧!Y33="","",一覧!Y33)</f>
        <v>年休</v>
      </c>
      <c r="Z25" s="349" t="str">
        <f>IF(一覧!Z33="","",一覧!Z33)</f>
        <v>ＲＤ</v>
      </c>
      <c r="AA25" s="349" t="str">
        <f>IF(一覧!AA33="","",一覧!AA33)</f>
        <v>NsubTD</v>
      </c>
      <c r="AB25" s="349" t="str">
        <f>IF(一覧!AB33="","",一覧!AB33)</f>
        <v>技術会議</v>
      </c>
      <c r="AC25" s="350" t="str">
        <f>IF(一覧!AC33="","",一覧!AC33)</f>
        <v>　　　━</v>
      </c>
      <c r="AD25" s="349" t="str">
        <f>IF(一覧!AD33="","",一覧!AD33)</f>
        <v>━　　　</v>
      </c>
      <c r="AE25" s="349" t="str">
        <f>IF(一覧!AE33="","",一覧!AE33)</f>
        <v>★★</v>
      </c>
      <c r="AF25" s="349" t="str">
        <f>IF(一覧!AF33="","",一覧!AF33)</f>
        <v>★</v>
      </c>
      <c r="AG25" s="351" t="str">
        <f>IF(一覧!AG33="","",一覧!AG33)</f>
        <v/>
      </c>
      <c r="AH25" s="382" t="str">
        <f>IF(一覧!AH33="","",一覧!AH33)</f>
        <v>森本</v>
      </c>
      <c r="AI25" s="347">
        <f>SUM(AJ25,AN25,AO25,AP25)</f>
        <v>4</v>
      </c>
      <c r="AJ25" s="347">
        <f t="shared" ref="AJ25" si="4">COUNTIF(C25:AG25,"　　　━")+COUNTIF(D26:AG26,"　　　━")</f>
        <v>3</v>
      </c>
      <c r="AK25" s="347">
        <f>COUNTIF(C25:AG25,"NsubTD")</f>
        <v>3</v>
      </c>
      <c r="AL25" s="347">
        <f>COUNTIF(C25:AG25,"ｔｅｎ！")</f>
        <v>3</v>
      </c>
      <c r="AM25" s="347">
        <f>COUNTIF(C25:AG25,"ＲＤ")</f>
        <v>2</v>
      </c>
      <c r="AN25" s="366">
        <f t="shared" ref="AN25" si="5">COUNTIF(C25:AG25,"じゅっと")</f>
        <v>0</v>
      </c>
      <c r="AO25" s="347">
        <f>COUNTIF(C25:AG25,"ウェーク")</f>
        <v>0</v>
      </c>
      <c r="AP25" s="347">
        <f t="shared" ref="AP25" si="6">COUNTIF(C25:AG25,"ノビしろ")</f>
        <v>1</v>
      </c>
    </row>
    <row r="26" spans="1:42" ht="15" customHeight="1">
      <c r="A26" s="347">
        <f>COUNTIF(C25:AG25,"★")</f>
        <v>4</v>
      </c>
      <c r="B26" s="303" t="str">
        <f>IF(一覧!B34="","",一覧!B34)</f>
        <v/>
      </c>
      <c r="C26" s="355" t="str">
        <f>IF(一覧!C34="","",一覧!C34)</f>
        <v>局会</v>
      </c>
      <c r="D26" s="355" t="str">
        <f>IF(一覧!D34="","",一覧!D34)</f>
        <v>TVU内覧</v>
      </c>
      <c r="E26" s="355" t="str">
        <f>IF(一覧!E34="","",一覧!E34)</f>
        <v/>
      </c>
      <c r="F26" s="355" t="str">
        <f>IF(一覧!F34="","",一覧!F34)</f>
        <v/>
      </c>
      <c r="G26" s="355" t="str">
        <f>IF(一覧!G34="","",一覧!G34)</f>
        <v>災害</v>
      </c>
      <c r="H26" s="356" t="str">
        <f>IF(一覧!H34="","",一覧!H34)</f>
        <v>※</v>
      </c>
      <c r="I26" s="355" t="str">
        <f>IF(一覧!I34="","",一覧!I34)</f>
        <v>※</v>
      </c>
      <c r="J26" s="355" t="str">
        <f>IF(一覧!J34="","",一覧!J34)</f>
        <v>NsubTD</v>
      </c>
      <c r="K26" s="355" t="str">
        <f>IF(一覧!K34="","",一覧!K34)</f>
        <v>ＴＤ</v>
      </c>
      <c r="L26" s="355" t="str">
        <f>IF(一覧!L34="","",一覧!L34)</f>
        <v/>
      </c>
      <c r="M26" s="355" t="str">
        <f>IF(一覧!M34="","",一覧!M34)</f>
        <v/>
      </c>
      <c r="N26" s="355" t="str">
        <f>IF(一覧!N34="","",一覧!N34)</f>
        <v>訓練準備</v>
      </c>
      <c r="O26" s="356" t="str">
        <f>IF(一覧!O34="","",一覧!O34)</f>
        <v>ﾍﾘ訓練</v>
      </c>
      <c r="P26" s="355" t="str">
        <f>IF(一覧!P34="","",一覧!P34)</f>
        <v>ﾍﾘ訓練</v>
      </c>
      <c r="Q26" s="355" t="str">
        <f>IF(一覧!Q34="","",一覧!Q34)</f>
        <v/>
      </c>
      <c r="R26" s="355" t="str">
        <f>IF(一覧!R34="","",一覧!R34)</f>
        <v/>
      </c>
      <c r="S26" s="355" t="str">
        <f>IF(一覧!S34="","",一覧!S34)</f>
        <v/>
      </c>
      <c r="T26" s="355" t="str">
        <f>IF(一覧!T34="","",一覧!T34)</f>
        <v>ＴＤ</v>
      </c>
      <c r="U26" s="355" t="str">
        <f>IF(一覧!U34="","",一覧!U34)</f>
        <v/>
      </c>
      <c r="V26" s="356" t="str">
        <f>IF(一覧!V34="","",一覧!V34)</f>
        <v/>
      </c>
      <c r="W26" s="355" t="str">
        <f>IF(一覧!W34="","",一覧!W34)</f>
        <v/>
      </c>
      <c r="X26" s="355" t="str">
        <f>IF(一覧!X34="","",一覧!X34)</f>
        <v>ＴＤ</v>
      </c>
      <c r="Y26" s="355" t="str">
        <f>IF(一覧!Y34="","",一覧!Y34)</f>
        <v>※</v>
      </c>
      <c r="Z26" s="355" t="str">
        <f>IF(一覧!Z34="","",一覧!Z34)</f>
        <v>VEG会議</v>
      </c>
      <c r="AA26" s="355" t="str">
        <f>IF(一覧!AA34="","",一覧!AA34)</f>
        <v/>
      </c>
      <c r="AB26" s="355" t="str">
        <f>IF(一覧!AB34="","",一覧!AB34)</f>
        <v>NT会議</v>
      </c>
      <c r="AC26" s="356" t="str">
        <f>IF(一覧!AC34="","",一覧!AC34)</f>
        <v/>
      </c>
      <c r="AD26" s="355" t="str">
        <f>IF(一覧!AD34="","",一覧!AD34)</f>
        <v/>
      </c>
      <c r="AE26" s="355" t="str">
        <f>IF(一覧!AE34="","",一覧!AE34)</f>
        <v/>
      </c>
      <c r="AF26" s="355" t="str">
        <f>IF(一覧!AF34="","",一覧!AF34)</f>
        <v/>
      </c>
      <c r="AG26" s="357" t="str">
        <f>IF(一覧!AG34="","",一覧!AG34)</f>
        <v/>
      </c>
      <c r="AH26" s="383" t="str">
        <f>IF(一覧!AH34="","",一覧!AH34)</f>
        <v/>
      </c>
      <c r="AI26" s="347">
        <f>SUM(AJ26,AN26,AO26,AP26)</f>
        <v>0</v>
      </c>
      <c r="AK26" s="347">
        <f>COUNTIF(C26:AG26,"NsubTD")</f>
        <v>1</v>
      </c>
      <c r="AL26" s="347">
        <f>COUNTIF(C26:AG26,"ｔｅｎ！")</f>
        <v>0</v>
      </c>
      <c r="AM26" s="347">
        <f>COUNTIF(C26:AG26,"ＲＤ")</f>
        <v>0</v>
      </c>
      <c r="AN26" s="366"/>
    </row>
    <row r="27" spans="1:42" ht="15" customHeight="1">
      <c r="A27" s="347">
        <f>COUNTIF(C27:AG27,"★★")</f>
        <v>4</v>
      </c>
      <c r="B27" s="518" t="str">
        <f>IF(一覧!B37="","",一覧!B37)</f>
        <v>湯川　洋輔</v>
      </c>
      <c r="C27" s="349" t="str">
        <f>IF(一覧!C37="","",一覧!C37)</f>
        <v/>
      </c>
      <c r="D27" s="349" t="str">
        <f>IF(一覧!D37="","",一覧!D37)</f>
        <v/>
      </c>
      <c r="E27" s="349" t="str">
        <f>IF(一覧!E37="","",一覧!E37)</f>
        <v>　　　━</v>
      </c>
      <c r="F27" s="349" t="str">
        <f>IF(一覧!F37="","",一覧!F37)</f>
        <v>━　　　</v>
      </c>
      <c r="G27" s="349" t="str">
        <f>IF(一覧!G37="","",一覧!G37)</f>
        <v/>
      </c>
      <c r="H27" s="350" t="str">
        <f>IF(一覧!H37="","",一覧!H37)</f>
        <v>★</v>
      </c>
      <c r="I27" s="349" t="str">
        <f>IF(一覧!I37="","",一覧!I37)</f>
        <v>★★</v>
      </c>
      <c r="J27" s="349" t="str">
        <f>IF(一覧!J37="","",一覧!J37)</f>
        <v/>
      </c>
      <c r="K27" s="349" t="str">
        <f>IF(一覧!K37="","",一覧!K37)</f>
        <v>近総通</v>
      </c>
      <c r="L27" s="349" t="str">
        <f>IF(一覧!L37="","",一覧!L37)</f>
        <v>NTV会議</v>
      </c>
      <c r="M27" s="349" t="str">
        <f>IF(一覧!M37="","",一覧!M37)</f>
        <v/>
      </c>
      <c r="N27" s="349" t="str">
        <f>IF(一覧!N37="","",一覧!N37)</f>
        <v>ＲＤ</v>
      </c>
      <c r="O27" s="350" t="str">
        <f>IF(一覧!O37="","",一覧!O37)</f>
        <v>★</v>
      </c>
      <c r="P27" s="349" t="str">
        <f>IF(一覧!P37="","",一覧!P37)</f>
        <v>★★</v>
      </c>
      <c r="Q27" s="349" t="str">
        <f>IF(一覧!Q37="","",一覧!Q37)</f>
        <v>ＲＤ</v>
      </c>
      <c r="R27" s="349" t="str">
        <f>IF(一覧!R37="","",一覧!R37)</f>
        <v>ＲＤ</v>
      </c>
      <c r="S27" s="349" t="str">
        <f>IF(一覧!S37="","",一覧!S37)</f>
        <v>　　　━</v>
      </c>
      <c r="T27" s="349" t="str">
        <f>IF(一覧!T37="","",一覧!T37)</f>
        <v>━　　　</v>
      </c>
      <c r="U27" s="349" t="str">
        <f>IF(一覧!U37="","",一覧!U37)</f>
        <v>回線Ｇ</v>
      </c>
      <c r="V27" s="350" t="str">
        <f>IF(一覧!V37="","",一覧!V37)</f>
        <v>　　　━</v>
      </c>
      <c r="W27" s="349" t="str">
        <f>IF(一覧!W37="","",一覧!W37)</f>
        <v>━　　　</v>
      </c>
      <c r="X27" s="349" t="str">
        <f>IF(一覧!X37="","",一覧!X37)</f>
        <v>★★</v>
      </c>
      <c r="Y27" s="349" t="str">
        <f>IF(一覧!Y37="","",一覧!Y37)</f>
        <v>ヤ</v>
      </c>
      <c r="Z27" s="349" t="str">
        <f>IF(一覧!Z37="","",一覧!Z37)</f>
        <v>年休</v>
      </c>
      <c r="AA27" s="349" t="str">
        <f>IF(一覧!AA37="","",一覧!AA37)</f>
        <v>年休</v>
      </c>
      <c r="AB27" s="349" t="str">
        <f>IF(一覧!AB37="","",一覧!AB37)</f>
        <v>★</v>
      </c>
      <c r="AC27" s="350" t="str">
        <f>IF(一覧!AC37="","",一覧!AC37)</f>
        <v>★★</v>
      </c>
      <c r="AD27" s="349" t="str">
        <f>IF(一覧!AD37="","",一覧!AD37)</f>
        <v>　　　━</v>
      </c>
      <c r="AE27" s="349" t="str">
        <f>IF(一覧!AE37="","",一覧!AE37)</f>
        <v>━　　　</v>
      </c>
      <c r="AF27" s="349" t="str">
        <f>IF(一覧!AF37="","",一覧!AF37)</f>
        <v>★</v>
      </c>
      <c r="AG27" s="351" t="str">
        <f>IF(一覧!AG37="","",一覧!AG37)</f>
        <v/>
      </c>
      <c r="AH27" s="519" t="str">
        <f>IF(一覧!AH37="","",一覧!AH37)</f>
        <v>湯川</v>
      </c>
      <c r="AI27" s="347">
        <f t="shared" si="0"/>
        <v>4</v>
      </c>
      <c r="AJ27" s="347">
        <f t="shared" ref="AJ27" si="7">COUNTIF(C27:AG27,"　　　━")+COUNTIF(D28:AG28,"　　　━")</f>
        <v>4</v>
      </c>
      <c r="AK27" s="347">
        <f t="shared" ref="AK27:AK38" si="8">COUNTIF(C27:AG27,"NsubTD")</f>
        <v>0</v>
      </c>
      <c r="AL27" s="347">
        <f t="shared" ref="AL27:AL28" si="9">COUNTIF(C27:AG27,"ｔｅｎ！")</f>
        <v>0</v>
      </c>
      <c r="AM27" s="347">
        <f t="shared" ref="AM27:AM28" si="10">COUNTIF(C27:AG27,"ＲＤ")</f>
        <v>3</v>
      </c>
      <c r="AN27" s="366">
        <f t="shared" ref="AN27" si="11">COUNTIF(C27:AG27,"じゅっと")</f>
        <v>0</v>
      </c>
      <c r="AO27" s="347">
        <f t="shared" ref="AO27:AO61" si="12">COUNTIF(C27:AG27,"ウェーク")</f>
        <v>0</v>
      </c>
      <c r="AP27" s="347">
        <f t="shared" ref="AP27" si="13">COUNTIF(C27:AG27,"ノビしろ")</f>
        <v>0</v>
      </c>
    </row>
    <row r="28" spans="1:42" ht="15" customHeight="1">
      <c r="A28" s="347">
        <f>COUNTIF(C27:AG27,"★")</f>
        <v>4</v>
      </c>
      <c r="B28" s="303" t="str">
        <f>IF(一覧!B38="","",一覧!B38)</f>
        <v/>
      </c>
      <c r="C28" s="355" t="str">
        <f>IF(一覧!C38="","",一覧!C38)</f>
        <v>局会</v>
      </c>
      <c r="D28" s="355" t="str">
        <f>IF(一覧!D38="","",一覧!D38)</f>
        <v/>
      </c>
      <c r="E28" s="355" t="str">
        <f>IF(一覧!E38="","",一覧!E38)</f>
        <v/>
      </c>
      <c r="F28" s="355" t="str">
        <f>IF(一覧!F38="","",一覧!F38)</f>
        <v/>
      </c>
      <c r="G28" s="355" t="str">
        <f>IF(一覧!G38="","",一覧!G38)</f>
        <v/>
      </c>
      <c r="H28" s="356" t="str">
        <f>IF(一覧!H38="","",一覧!H38)</f>
        <v>※</v>
      </c>
      <c r="I28" s="355" t="str">
        <f>IF(一覧!I38="","",一覧!I38)</f>
        <v/>
      </c>
      <c r="J28" s="355" t="str">
        <f>IF(一覧!J38="","",一覧!J38)</f>
        <v/>
      </c>
      <c r="K28" s="355" t="str">
        <f>IF(一覧!K38="","",一覧!K38)</f>
        <v>現地視察</v>
      </c>
      <c r="L28" s="355" t="str">
        <f>IF(一覧!L38="","",一覧!L38)</f>
        <v/>
      </c>
      <c r="M28" s="355" t="str">
        <f>IF(一覧!M38="","",一覧!M38)</f>
        <v/>
      </c>
      <c r="N28" s="355" t="str">
        <f>IF(一覧!N38="","",一覧!N38)</f>
        <v/>
      </c>
      <c r="O28" s="356" t="str">
        <f>IF(一覧!O38="","",一覧!O38)</f>
        <v/>
      </c>
      <c r="P28" s="355" t="str">
        <f>IF(一覧!P38="","",一覧!P38)</f>
        <v/>
      </c>
      <c r="Q28" s="355" t="str">
        <f>IF(一覧!Q38="","",一覧!Q38)</f>
        <v/>
      </c>
      <c r="R28" s="355" t="str">
        <f>IF(一覧!R38="","",一覧!R38)</f>
        <v/>
      </c>
      <c r="S28" s="355" t="str">
        <f>IF(一覧!S38="","",一覧!S38)</f>
        <v/>
      </c>
      <c r="T28" s="355" t="str">
        <f>IF(一覧!T38="","",一覧!T38)</f>
        <v/>
      </c>
      <c r="U28" s="355" t="str">
        <f>IF(一覧!U38="","",一覧!U38)</f>
        <v>ＲＤ</v>
      </c>
      <c r="V28" s="356" t="str">
        <f>IF(一覧!V38="","",一覧!V38)</f>
        <v/>
      </c>
      <c r="W28" s="355" t="str">
        <f>IF(一覧!W38="","",一覧!W38)</f>
        <v/>
      </c>
      <c r="X28" s="355" t="str">
        <f>IF(一覧!X38="","",一覧!X38)</f>
        <v>※</v>
      </c>
      <c r="Y28" s="355" t="str">
        <f>IF(一覧!Y38="","",一覧!Y38)</f>
        <v>※</v>
      </c>
      <c r="Z28" s="355" t="str">
        <f>IF(一覧!Z38="","",一覧!Z38)</f>
        <v>※</v>
      </c>
      <c r="AA28" s="355" t="str">
        <f>IF(一覧!AA38="","",一覧!AA38)</f>
        <v>※</v>
      </c>
      <c r="AB28" s="355" t="str">
        <f>IF(一覧!AB38="","",一覧!AB38)</f>
        <v>技術会議</v>
      </c>
      <c r="AC28" s="356" t="str">
        <f>IF(一覧!AC38="","",一覧!AC38)</f>
        <v/>
      </c>
      <c r="AD28" s="355" t="str">
        <f>IF(一覧!AD38="","",一覧!AD38)</f>
        <v/>
      </c>
      <c r="AE28" s="355" t="str">
        <f>IF(一覧!AE38="","",一覧!AE38)</f>
        <v/>
      </c>
      <c r="AF28" s="355" t="str">
        <f>IF(一覧!AF38="","",一覧!AF38)</f>
        <v/>
      </c>
      <c r="AG28" s="357" t="str">
        <f>IF(一覧!AG38="","",一覧!AG38)</f>
        <v/>
      </c>
      <c r="AH28" s="304" t="str">
        <f>IF(一覧!AH38="","",一覧!AH38)</f>
        <v/>
      </c>
      <c r="AI28" s="347">
        <f t="shared" si="0"/>
        <v>0</v>
      </c>
      <c r="AK28" s="347">
        <f t="shared" si="8"/>
        <v>0</v>
      </c>
      <c r="AL28" s="347">
        <f t="shared" si="9"/>
        <v>0</v>
      </c>
      <c r="AM28" s="347">
        <f t="shared" si="10"/>
        <v>1</v>
      </c>
      <c r="AN28" s="366"/>
    </row>
    <row r="29" spans="1:42" ht="15" customHeight="1">
      <c r="A29" s="347">
        <f>COUNTIF(C29:AG29,"★★")</f>
        <v>4</v>
      </c>
      <c r="B29" s="518" t="str">
        <f>IF(一覧!B49="","",一覧!B49)</f>
        <v>浅地　裕夫</v>
      </c>
      <c r="C29" s="349" t="str">
        <f>IF(一覧!C49="","",一覧!C49)</f>
        <v>ten下見</v>
      </c>
      <c r="D29" s="349" t="str">
        <f>IF(一覧!D49="","",一覧!D49)</f>
        <v>NsubTD</v>
      </c>
      <c r="E29" s="349" t="str">
        <f>IF(一覧!E49="","",一覧!E49)</f>
        <v>ＲＤ</v>
      </c>
      <c r="F29" s="349" t="str">
        <f>IF(一覧!F49="","",一覧!F49)</f>
        <v>ten中継</v>
      </c>
      <c r="G29" s="349" t="str">
        <f>IF(一覧!G49="","",一覧!G49)</f>
        <v>　　　━</v>
      </c>
      <c r="H29" s="350" t="str">
        <f>IF(一覧!H49="","",一覧!H49)</f>
        <v>━　　　</v>
      </c>
      <c r="I29" s="349" t="str">
        <f>IF(一覧!I49="","",一覧!I49)</f>
        <v>★★</v>
      </c>
      <c r="J29" s="349" t="str">
        <f>IF(一覧!J49="","",一覧!J49)</f>
        <v>★</v>
      </c>
      <c r="K29" s="349" t="str">
        <f>IF(一覧!K49="","",一覧!K49)</f>
        <v>ＲＤ</v>
      </c>
      <c r="L29" s="349" t="str">
        <f>IF(一覧!L49="","",一覧!L49)</f>
        <v>NsubTD</v>
      </c>
      <c r="M29" s="349" t="str">
        <f>IF(一覧!M49="","",一覧!M49)</f>
        <v>ＲＤ</v>
      </c>
      <c r="N29" s="349" t="str">
        <f>IF(一覧!N49="","",一覧!N49)</f>
        <v>じゅっと</v>
      </c>
      <c r="O29" s="350" t="str">
        <f>IF(一覧!O49="","",一覧!O49)</f>
        <v>★</v>
      </c>
      <c r="P29" s="349" t="str">
        <f>IF(一覧!P49="","",一覧!P49)</f>
        <v>★★</v>
      </c>
      <c r="Q29" s="349" t="str">
        <f>IF(一覧!Q49="","",一覧!Q49)</f>
        <v>ミヤネ屋</v>
      </c>
      <c r="R29" s="349" t="str">
        <f>IF(一覧!R49="","",一覧!R49)</f>
        <v>ｔｅｎ！</v>
      </c>
      <c r="S29" s="349" t="str">
        <f>IF(一覧!S49="","",一覧!S49)</f>
        <v>ﾊﾟｰﾙｶｯﾌﾟ</v>
      </c>
      <c r="T29" s="349" t="str">
        <f>IF(一覧!T49="","",一覧!T49)</f>
        <v>ﾊﾟｰﾙｶｯﾌﾟ</v>
      </c>
      <c r="U29" s="349" t="str">
        <f>IF(一覧!U49="","",一覧!U49)</f>
        <v>回線G</v>
      </c>
      <c r="V29" s="350" t="str">
        <f>IF(一覧!V49="","",一覧!V49)</f>
        <v>★★</v>
      </c>
      <c r="W29" s="349" t="str">
        <f>IF(一覧!W49="","",一覧!W49)</f>
        <v>高松宮杯</v>
      </c>
      <c r="X29" s="349" t="str">
        <f>IF(一覧!X49="","",一覧!X49)</f>
        <v>ミヤネ屋</v>
      </c>
      <c r="Y29" s="349" t="str">
        <f>IF(一覧!Y49="","",一覧!Y49)</f>
        <v>ミヤネ屋</v>
      </c>
      <c r="Z29" s="349" t="str">
        <f>IF(一覧!Z49="","",一覧!Z49)</f>
        <v>ｔｅｎ！</v>
      </c>
      <c r="AA29" s="349" t="str">
        <f>IF(一覧!AA49="","",一覧!AA49)</f>
        <v>★</v>
      </c>
      <c r="AB29" s="349" t="str">
        <f>IF(一覧!AB49="","",一覧!AB49)</f>
        <v>　　　━</v>
      </c>
      <c r="AC29" s="350" t="str">
        <f>IF(一覧!AC49="","",一覧!AC49)</f>
        <v>━　　　</v>
      </c>
      <c r="AD29" s="349" t="str">
        <f>IF(一覧!AD49="","",一覧!AD49)</f>
        <v>★★</v>
      </c>
      <c r="AE29" s="349" t="str">
        <f>IF(一覧!AE49="","",一覧!AE49)</f>
        <v>★</v>
      </c>
      <c r="AF29" s="349" t="str">
        <f>IF(一覧!AF49="","",一覧!AF49)</f>
        <v>ＲＤ</v>
      </c>
      <c r="AG29" s="351" t="str">
        <f>IF(一覧!AG49="","",一覧!AG49)</f>
        <v/>
      </c>
      <c r="AH29" s="519" t="str">
        <f>IF(一覧!AH49="","",一覧!AH49)</f>
        <v>浅地</v>
      </c>
      <c r="AI29" s="347">
        <f t="shared" si="0"/>
        <v>3</v>
      </c>
      <c r="AJ29" s="347">
        <f t="shared" ref="AJ29" si="14">COUNTIF(C29:AG29,"　　　━")+COUNTIF(D30:AG30,"　　　━")</f>
        <v>2</v>
      </c>
      <c r="AK29" s="347">
        <f t="shared" si="8"/>
        <v>2</v>
      </c>
      <c r="AL29" s="347">
        <f t="shared" ref="AL29:AL34" si="15">COUNTIF(C29:AG29,"ｔｅｎ！")</f>
        <v>2</v>
      </c>
      <c r="AM29" s="347">
        <f t="shared" ref="AM29:AM34" si="16">COUNTIF(C29:AG29,"ＲＤ")</f>
        <v>4</v>
      </c>
      <c r="AN29" s="366">
        <f t="shared" ref="AN29" si="17">COUNTIF(C29:AG29,"じゅっと")</f>
        <v>1</v>
      </c>
      <c r="AO29" s="347">
        <f t="shared" si="12"/>
        <v>0</v>
      </c>
      <c r="AP29" s="347">
        <f t="shared" ref="AP29" si="18">COUNTIF(C29:AG29,"ノビしろ")</f>
        <v>0</v>
      </c>
    </row>
    <row r="30" spans="1:42" ht="15" customHeight="1">
      <c r="A30" s="347">
        <f>COUNTIF(C29:AG29,"★")</f>
        <v>4</v>
      </c>
      <c r="B30" s="303" t="str">
        <f>IF(一覧!B50="","",一覧!B50)</f>
        <v/>
      </c>
      <c r="C30" s="355" t="str">
        <f>IF(一覧!C50="","",一覧!C50)</f>
        <v>局会</v>
      </c>
      <c r="D30" s="355" t="str">
        <f>IF(一覧!D50="","",一覧!D50)</f>
        <v/>
      </c>
      <c r="E30" s="355" t="str">
        <f>IF(一覧!E50="","",一覧!E50)</f>
        <v/>
      </c>
      <c r="F30" s="355" t="str">
        <f>IF(一覧!F50="","",一覧!F50)</f>
        <v>ＴＤ</v>
      </c>
      <c r="G30" s="355" t="str">
        <f>IF(一覧!G50="","",一覧!G50)</f>
        <v/>
      </c>
      <c r="H30" s="356" t="str">
        <f>IF(一覧!H50="","",一覧!H50)</f>
        <v/>
      </c>
      <c r="I30" s="355" t="str">
        <f>IF(一覧!I50="","",一覧!I50)</f>
        <v/>
      </c>
      <c r="J30" s="355" t="str">
        <f>IF(一覧!J50="","",一覧!J50)</f>
        <v/>
      </c>
      <c r="K30" s="355" t="str">
        <f>IF(一覧!K50="","",一覧!K50)</f>
        <v/>
      </c>
      <c r="L30" s="355" t="str">
        <f>IF(一覧!L50="","",一覧!L50)</f>
        <v/>
      </c>
      <c r="M30" s="355" t="str">
        <f>IF(一覧!M50="","",一覧!M50)</f>
        <v/>
      </c>
      <c r="N30" s="355" t="str">
        <f>IF(一覧!N50="","",一覧!N50)</f>
        <v>ＴＤ</v>
      </c>
      <c r="O30" s="356" t="str">
        <f>IF(一覧!O50="","",一覧!O50)</f>
        <v/>
      </c>
      <c r="P30" s="355" t="str">
        <f>IF(一覧!P50="","",一覧!P50)</f>
        <v/>
      </c>
      <c r="Q30" s="355" t="str">
        <f>IF(一覧!Q50="","",一覧!Q50)</f>
        <v>ＴＤ</v>
      </c>
      <c r="R30" s="355" t="str">
        <f>IF(一覧!R50="","",一覧!R50)</f>
        <v>ＴＤ</v>
      </c>
      <c r="S30" s="355" t="str">
        <f>IF(一覧!S50="","",一覧!S50)</f>
        <v>岸和田</v>
      </c>
      <c r="T30" s="355" t="str">
        <f>IF(一覧!T50="","",一覧!T50)</f>
        <v>岸和田</v>
      </c>
      <c r="U30" s="355" t="str">
        <f>IF(一覧!U50="","",一覧!U50)</f>
        <v/>
      </c>
      <c r="V30" s="356" t="str">
        <f>IF(一覧!V50="","",一覧!V50)</f>
        <v/>
      </c>
      <c r="W30" s="355" t="str">
        <f>IF(一覧!W50="","",一覧!W50)</f>
        <v>岸和田</v>
      </c>
      <c r="X30" s="355" t="str">
        <f>IF(一覧!X50="","",一覧!X50)</f>
        <v>ＴＤ</v>
      </c>
      <c r="Y30" s="355" t="str">
        <f>IF(一覧!Y50="","",一覧!Y50)</f>
        <v>ＴＤ</v>
      </c>
      <c r="Z30" s="355" t="str">
        <f>IF(一覧!Z50="","",一覧!Z50)</f>
        <v>NsubTD</v>
      </c>
      <c r="AA30" s="355" t="str">
        <f>IF(一覧!AA50="","",一覧!AA50)</f>
        <v/>
      </c>
      <c r="AB30" s="355" t="str">
        <f>IF(一覧!AB50="","",一覧!AB50)</f>
        <v/>
      </c>
      <c r="AC30" s="356" t="str">
        <f>IF(一覧!AC50="","",一覧!AC50)</f>
        <v/>
      </c>
      <c r="AD30" s="355" t="str">
        <f>IF(一覧!AD50="","",一覧!AD50)</f>
        <v/>
      </c>
      <c r="AE30" s="355" t="str">
        <f>IF(一覧!AE50="","",一覧!AE50)</f>
        <v/>
      </c>
      <c r="AF30" s="355" t="str">
        <f>IF(一覧!AF50="","",一覧!AF50)</f>
        <v/>
      </c>
      <c r="AG30" s="357" t="str">
        <f>IF(一覧!AG50="","",一覧!AG50)</f>
        <v/>
      </c>
      <c r="AH30" s="304" t="str">
        <f>IF(一覧!AH50="","",一覧!AH50)</f>
        <v/>
      </c>
      <c r="AI30" s="347">
        <f t="shared" si="0"/>
        <v>0</v>
      </c>
      <c r="AK30" s="347">
        <f t="shared" si="8"/>
        <v>1</v>
      </c>
      <c r="AL30" s="347">
        <f t="shared" si="15"/>
        <v>0</v>
      </c>
      <c r="AM30" s="347">
        <f t="shared" si="16"/>
        <v>0</v>
      </c>
      <c r="AN30" s="366"/>
    </row>
    <row r="31" spans="1:42" ht="15" customHeight="1">
      <c r="A31" s="347">
        <f>COUNTIF(C31:AG31,"★★")</f>
        <v>4</v>
      </c>
      <c r="B31" s="518" t="str">
        <f>IF(一覧!B51="","",一覧!B51)</f>
        <v>高田　裕都</v>
      </c>
      <c r="C31" s="349" t="str">
        <f>IF(一覧!C51="","",一覧!C51)</f>
        <v>ＲＤ</v>
      </c>
      <c r="D31" s="349" t="str">
        <f>IF(一覧!D51="","",一覧!D51)</f>
        <v>ＲＤ</v>
      </c>
      <c r="E31" s="349" t="str">
        <f>IF(一覧!E51="","",一覧!E51)</f>
        <v>じゅっと</v>
      </c>
      <c r="F31" s="349" t="str">
        <f>IF(一覧!F51="","",一覧!F51)</f>
        <v>代休</v>
      </c>
      <c r="G31" s="349" t="str">
        <f>IF(一覧!G51="","",一覧!G51)</f>
        <v>代休</v>
      </c>
      <c r="H31" s="350" t="str">
        <f>IF(一覧!H51="","",一覧!H51)</f>
        <v>★</v>
      </c>
      <c r="I31" s="349" t="str">
        <f>IF(一覧!I51="","",一覧!I51)</f>
        <v>★★</v>
      </c>
      <c r="J31" s="349" t="str">
        <f>IF(一覧!J51="","",一覧!J51)</f>
        <v>ＲＤ</v>
      </c>
      <c r="K31" s="349" t="str">
        <f>IF(一覧!K51="","",一覧!K51)</f>
        <v>NsubTD</v>
      </c>
      <c r="L31" s="349" t="str">
        <f>IF(一覧!L51="","",一覧!L51)</f>
        <v>　　　━</v>
      </c>
      <c r="M31" s="349" t="str">
        <f>IF(一覧!M51="","",一覧!M51)</f>
        <v>━　　　</v>
      </c>
      <c r="N31" s="349" t="str">
        <f>IF(一覧!N51="","",一覧!N51)</f>
        <v>訓練準備</v>
      </c>
      <c r="O31" s="350" t="str">
        <f>IF(一覧!O51="","",一覧!O51)</f>
        <v/>
      </c>
      <c r="P31" s="349" t="str">
        <f>IF(一覧!P51="","",一覧!P51)</f>
        <v>NsubTD</v>
      </c>
      <c r="Q31" s="349" t="str">
        <f>IF(一覧!Q51="","",一覧!Q51)</f>
        <v>じゅっと</v>
      </c>
      <c r="R31" s="349" t="str">
        <f>IF(一覧!R51="","",一覧!R51)</f>
        <v>NsubTD</v>
      </c>
      <c r="S31" s="349" t="str">
        <f>IF(一覧!S51="","",一覧!S51)</f>
        <v>★★</v>
      </c>
      <c r="T31" s="349" t="str">
        <f>IF(一覧!T51="","",一覧!T51)</f>
        <v>★</v>
      </c>
      <c r="U31" s="349" t="str">
        <f>IF(一覧!U51="","",一覧!U51)</f>
        <v>回線G</v>
      </c>
      <c r="V31" s="350" t="str">
        <f>IF(一覧!V51="","",一覧!V51)</f>
        <v>NsubTD</v>
      </c>
      <c r="W31" s="349" t="str">
        <f>IF(一覧!W51="","",一覧!W51)</f>
        <v>　　　━</v>
      </c>
      <c r="X31" s="349" t="str">
        <f>IF(一覧!X51="","",一覧!X51)</f>
        <v>━　　　</v>
      </c>
      <c r="Y31" s="349" t="str">
        <f>IF(一覧!Y51="","",一覧!Y51)</f>
        <v>★★</v>
      </c>
      <c r="Z31" s="349" t="str">
        <f>IF(一覧!Z51="","",一覧!Z51)</f>
        <v>★</v>
      </c>
      <c r="AA31" s="349" t="str">
        <f>IF(一覧!AA51="","",一覧!AA51)</f>
        <v>年休</v>
      </c>
      <c r="AB31" s="349" t="str">
        <f>IF(一覧!AB51="","",一覧!AB51)</f>
        <v>ＲＤ</v>
      </c>
      <c r="AC31" s="350" t="str">
        <f>IF(一覧!AC51="","",一覧!AC51)</f>
        <v>NsubTD</v>
      </c>
      <c r="AD31" s="349" t="str">
        <f>IF(一覧!AD51="","",一覧!AD51)</f>
        <v>★★</v>
      </c>
      <c r="AE31" s="349" t="str">
        <f>IF(一覧!AE51="","",一覧!AE51)</f>
        <v>ten下見</v>
      </c>
      <c r="AF31" s="349" t="str">
        <f>IF(一覧!AF51="","",一覧!AF51)</f>
        <v>★</v>
      </c>
      <c r="AG31" s="351" t="str">
        <f>IF(一覧!AG51="","",一覧!AG51)</f>
        <v/>
      </c>
      <c r="AH31" s="519" t="str">
        <f>IF(一覧!AH51="","",一覧!AH51)</f>
        <v>高田</v>
      </c>
      <c r="AI31" s="347">
        <f t="shared" si="0"/>
        <v>4</v>
      </c>
      <c r="AJ31" s="347">
        <f t="shared" ref="AJ31" si="19">COUNTIF(C31:AG31,"　　　━")+COUNTIF(D32:AG32,"　　　━")</f>
        <v>2</v>
      </c>
      <c r="AK31" s="347">
        <f>COUNTIF(C31:AG31,"NsubTD")</f>
        <v>5</v>
      </c>
      <c r="AL31" s="347">
        <f t="shared" si="15"/>
        <v>0</v>
      </c>
      <c r="AM31" s="347">
        <f t="shared" si="16"/>
        <v>4</v>
      </c>
      <c r="AN31" s="366">
        <f t="shared" ref="AN31" si="20">COUNTIF(C31:AG31,"じゅっと")</f>
        <v>2</v>
      </c>
      <c r="AO31" s="347">
        <f>COUNTIF(C31:AG31,"ウェーク")</f>
        <v>0</v>
      </c>
      <c r="AP31" s="347">
        <f t="shared" ref="AP31" si="21">COUNTIF(C31:AG31,"ノビしろ")</f>
        <v>0</v>
      </c>
    </row>
    <row r="32" spans="1:42" ht="15" customHeight="1">
      <c r="A32" s="347">
        <f>COUNTIF(C31:AG31,"★")</f>
        <v>4</v>
      </c>
      <c r="B32" s="303" t="str">
        <f>IF(一覧!B52="","",一覧!B52)</f>
        <v/>
      </c>
      <c r="C32" s="355" t="str">
        <f>IF(一覧!C52="","",一覧!C52)</f>
        <v>局会</v>
      </c>
      <c r="D32" s="355" t="str">
        <f>IF(一覧!D52="","",一覧!D52)</f>
        <v/>
      </c>
      <c r="E32" s="355" t="str">
        <f>IF(一覧!E52="","",一覧!E52)</f>
        <v>ＴＤ</v>
      </c>
      <c r="F32" s="355" t="str">
        <f>IF(一覧!F52="","",一覧!F52)</f>
        <v>5/19分</v>
      </c>
      <c r="G32" s="355" t="str">
        <f>IF(一覧!G52="","",一覧!G52)</f>
        <v>5/23分</v>
      </c>
      <c r="H32" s="356" t="str">
        <f>IF(一覧!H52="","",一覧!H52)</f>
        <v/>
      </c>
      <c r="I32" s="355" t="str">
        <f>IF(一覧!I52="","",一覧!I52)</f>
        <v/>
      </c>
      <c r="J32" s="355" t="str">
        <f>IF(一覧!J52="","",一覧!J52)</f>
        <v/>
      </c>
      <c r="K32" s="355" t="str">
        <f>IF(一覧!K52="","",一覧!K52)</f>
        <v/>
      </c>
      <c r="L32" s="355" t="str">
        <f>IF(一覧!L52="","",一覧!L52)</f>
        <v/>
      </c>
      <c r="M32" s="355" t="str">
        <f>IF(一覧!M52="","",一覧!M52)</f>
        <v/>
      </c>
      <c r="N32" s="355" t="str">
        <f>IF(一覧!N52="","",一覧!N52)</f>
        <v/>
      </c>
      <c r="O32" s="356" t="str">
        <f>IF(一覧!O52="","",一覧!O52)</f>
        <v>ﾍﾘ訓練</v>
      </c>
      <c r="P32" s="355" t="str">
        <f>IF(一覧!P52="","",一覧!P52)</f>
        <v>ﾍﾘ訓練</v>
      </c>
      <c r="Q32" s="355" t="str">
        <f>IF(一覧!Q52="","",一覧!Q52)</f>
        <v>ＴＤ</v>
      </c>
      <c r="R32" s="355" t="str">
        <f>IF(一覧!R52="","",一覧!R52)</f>
        <v/>
      </c>
      <c r="S32" s="355" t="str">
        <f>IF(一覧!S52="","",一覧!S52)</f>
        <v>※</v>
      </c>
      <c r="T32" s="355" t="str">
        <f>IF(一覧!T52="","",一覧!T52)</f>
        <v>※</v>
      </c>
      <c r="U32" s="355" t="str">
        <f>IF(一覧!U52="","",一覧!U52)</f>
        <v/>
      </c>
      <c r="V32" s="356" t="str">
        <f>IF(一覧!V52="","",一覧!V52)</f>
        <v/>
      </c>
      <c r="W32" s="355" t="str">
        <f>IF(一覧!W52="","",一覧!W52)</f>
        <v/>
      </c>
      <c r="X32" s="355" t="str">
        <f>IF(一覧!X52="","",一覧!X52)</f>
        <v/>
      </c>
      <c r="Y32" s="355" t="str">
        <f>IF(一覧!Y52="","",一覧!Y52)</f>
        <v/>
      </c>
      <c r="Z32" s="355" t="str">
        <f>IF(一覧!Z52="","",一覧!Z52)</f>
        <v/>
      </c>
      <c r="AA32" s="355" t="str">
        <f>IF(一覧!AA52="","",一覧!AA52)</f>
        <v>※</v>
      </c>
      <c r="AB32" s="355" t="str">
        <f>IF(一覧!AB52="","",一覧!AB52)</f>
        <v/>
      </c>
      <c r="AC32" s="356" t="str">
        <f>IF(一覧!AC52="","",一覧!AC52)</f>
        <v/>
      </c>
      <c r="AD32" s="355" t="str">
        <f>IF(一覧!AD52="","",一覧!AD52)</f>
        <v/>
      </c>
      <c r="AE32" s="355" t="str">
        <f>IF(一覧!AE52="","",一覧!AE52)</f>
        <v/>
      </c>
      <c r="AF32" s="355" t="str">
        <f>IF(一覧!AF52="","",一覧!AF52)</f>
        <v>※</v>
      </c>
      <c r="AG32" s="357" t="str">
        <f>IF(一覧!AG52="","",一覧!AG52)</f>
        <v/>
      </c>
      <c r="AH32" s="304" t="str">
        <f>IF(一覧!AH52="","",一覧!AH52)</f>
        <v/>
      </c>
      <c r="AI32" s="347">
        <f t="shared" si="0"/>
        <v>0</v>
      </c>
      <c r="AK32" s="347">
        <f>COUNTIF(C32:AG32,"NsubTD")</f>
        <v>0</v>
      </c>
      <c r="AL32" s="347">
        <f t="shared" si="15"/>
        <v>0</v>
      </c>
      <c r="AM32" s="347">
        <f t="shared" si="16"/>
        <v>0</v>
      </c>
      <c r="AN32" s="366"/>
    </row>
    <row r="33" spans="1:42" ht="15" customHeight="1">
      <c r="A33" s="347">
        <f>COUNTIF(C33:AG33,"★★")</f>
        <v>4</v>
      </c>
      <c r="B33" s="518" t="str">
        <f>IF(一覧!B55="","",一覧!B55)</f>
        <v>山岡　宗馬</v>
      </c>
      <c r="C33" s="349" t="str">
        <f>IF(一覧!C55="","",一覧!C55)</f>
        <v>ｔｅｎ！</v>
      </c>
      <c r="D33" s="349" t="str">
        <f>IF(一覧!D55="","",一覧!D55)</f>
        <v>ｔｅｎ！</v>
      </c>
      <c r="E33" s="349" t="str">
        <f>IF(一覧!E55="","",一覧!E55)</f>
        <v>NsubTD</v>
      </c>
      <c r="F33" s="349" t="str">
        <f>IF(一覧!F55="","",一覧!F55)</f>
        <v>ｔｅｎ！</v>
      </c>
      <c r="G33" s="349" t="str">
        <f>IF(一覧!G55="","",一覧!G55)</f>
        <v>ｔｅｎ！</v>
      </c>
      <c r="H33" s="350" t="str">
        <f>IF(一覧!H55="","",一覧!H55)</f>
        <v>代休</v>
      </c>
      <c r="I33" s="349" t="str">
        <f>IF(一覧!I55="","",一覧!I55)</f>
        <v>★★</v>
      </c>
      <c r="J33" s="349" t="str">
        <f>IF(一覧!J55="","",一覧!J55)</f>
        <v>★</v>
      </c>
      <c r="K33" s="349" t="str">
        <f>IF(一覧!K55="","",一覧!K55)</f>
        <v>年休</v>
      </c>
      <c r="L33" s="349" t="str">
        <f>IF(一覧!L55="","",一覧!L55)</f>
        <v>マスター</v>
      </c>
      <c r="M33" s="349" t="str">
        <f>IF(一覧!M55="","",一覧!M55)</f>
        <v>マスター</v>
      </c>
      <c r="N33" s="349" t="str">
        <f>IF(一覧!N55="","",一覧!N55)</f>
        <v>NsubTD</v>
      </c>
      <c r="O33" s="350" t="str">
        <f>IF(一覧!O55="","",一覧!O55)</f>
        <v>NsubTD</v>
      </c>
      <c r="P33" s="349" t="str">
        <f>IF(一覧!P55="","",一覧!P55)</f>
        <v>★★</v>
      </c>
      <c r="Q33" s="349" t="str">
        <f>IF(一覧!Q55="","",一覧!Q55)</f>
        <v>NsubTD</v>
      </c>
      <c r="R33" s="349" t="str">
        <f>IF(一覧!R55="","",一覧!R55)</f>
        <v>★</v>
      </c>
      <c r="S33" s="349" t="str">
        <f>IF(一覧!S55="","",一覧!S55)</f>
        <v>ﾊﾟｰﾙｶｯﾌﾟ</v>
      </c>
      <c r="T33" s="349" t="str">
        <f>IF(一覧!T55="","",一覧!T55)</f>
        <v>ﾊﾟｰﾙｶｯﾌﾟ</v>
      </c>
      <c r="U33" s="349" t="str">
        <f>IF(一覧!U55="","",一覧!U55)</f>
        <v>回線Ｇ</v>
      </c>
      <c r="V33" s="350" t="str">
        <f>IF(一覧!V55="","",一覧!V55)</f>
        <v>　　　━</v>
      </c>
      <c r="W33" s="349" t="str">
        <f>IF(一覧!W55="","",一覧!W55)</f>
        <v>━　　　</v>
      </c>
      <c r="X33" s="349" t="str">
        <f>IF(一覧!X55="","",一覧!X55)</f>
        <v>★★</v>
      </c>
      <c r="Y33" s="349" t="str">
        <f>IF(一覧!Y55="","",一覧!Y55)</f>
        <v>代休</v>
      </c>
      <c r="Z33" s="349" t="str">
        <f>IF(一覧!Z55="","",一覧!Z55)</f>
        <v>年休</v>
      </c>
      <c r="AA33" s="349" t="str">
        <f>IF(一覧!AA55="","",一覧!AA55)</f>
        <v>★</v>
      </c>
      <c r="AB33" s="349" t="str">
        <f>IF(一覧!AB55="","",一覧!AB55)</f>
        <v>マスター</v>
      </c>
      <c r="AC33" s="350" t="str">
        <f>IF(一覧!AC55="","",一覧!AC55)</f>
        <v>マスター</v>
      </c>
      <c r="AD33" s="349" t="str">
        <f>IF(一覧!AD55="","",一覧!AD55)</f>
        <v>★★</v>
      </c>
      <c r="AE33" s="349" t="str">
        <f>IF(一覧!AE55="","",一覧!AE55)</f>
        <v>ｔｅｎ！</v>
      </c>
      <c r="AF33" s="349" t="str">
        <f>IF(一覧!AF55="","",一覧!AF55)</f>
        <v>★</v>
      </c>
      <c r="AG33" s="351" t="str">
        <f>IF(一覧!AG55="","",一覧!AG55)</f>
        <v/>
      </c>
      <c r="AH33" s="519" t="str">
        <f>IF(一覧!AH55="","",一覧!AH55)</f>
        <v>山岡</v>
      </c>
      <c r="AI33" s="347">
        <f t="shared" ref="AI33:AI34" si="22">SUM(AJ33,AN33,AO33,AP33)</f>
        <v>1</v>
      </c>
      <c r="AJ33" s="347">
        <f t="shared" ref="AJ33" si="23">COUNTIF(C33:AG33,"　　　━")+COUNTIF(D34:AG34,"　　　━")</f>
        <v>1</v>
      </c>
      <c r="AK33" s="347">
        <f t="shared" ref="AK33:AK34" si="24">COUNTIF(C33:AG33,"NsubTD")</f>
        <v>4</v>
      </c>
      <c r="AL33" s="347">
        <f t="shared" si="15"/>
        <v>5</v>
      </c>
      <c r="AM33" s="347">
        <f t="shared" si="16"/>
        <v>0</v>
      </c>
      <c r="AN33" s="366">
        <f t="shared" ref="AN33" si="25">COUNTIF(C33:AG33,"じゅっと")</f>
        <v>0</v>
      </c>
      <c r="AO33" s="347">
        <f t="shared" ref="AO33" si="26">COUNTIF(C33:AG33,"ウェーク")</f>
        <v>0</v>
      </c>
      <c r="AP33" s="347">
        <f t="shared" ref="AP33" si="27">COUNTIF(C33:AG33,"ノビしろ")</f>
        <v>0</v>
      </c>
    </row>
    <row r="34" spans="1:42" ht="15" customHeight="1">
      <c r="A34" s="347">
        <f>COUNTIF(C33:AG33,"★")</f>
        <v>4</v>
      </c>
      <c r="B34" s="303" t="str">
        <f>IF(一覧!B56="","",一覧!B56)</f>
        <v/>
      </c>
      <c r="C34" s="355" t="str">
        <f>IF(一覧!C56="","",一覧!C56)</f>
        <v>ＴＤ</v>
      </c>
      <c r="D34" s="355" t="str">
        <f>IF(一覧!D56="","",一覧!D56)</f>
        <v>ＴＤ</v>
      </c>
      <c r="E34" s="355" t="str">
        <f>IF(一覧!E56="","",一覧!E56)</f>
        <v/>
      </c>
      <c r="F34" s="355" t="str">
        <f>IF(一覧!F56="","",一覧!F56)</f>
        <v>ＴＤ</v>
      </c>
      <c r="G34" s="355" t="str">
        <f>IF(一覧!G56="","",一覧!G56)</f>
        <v>ＴＤ</v>
      </c>
      <c r="H34" s="356" t="str">
        <f>IF(一覧!H56="","",一覧!H56)</f>
        <v>5/30分</v>
      </c>
      <c r="I34" s="355" t="str">
        <f>IF(一覧!I56="","",一覧!I56)</f>
        <v>※</v>
      </c>
      <c r="J34" s="355" t="str">
        <f>IF(一覧!J56="","",一覧!J56)</f>
        <v>※</v>
      </c>
      <c r="K34" s="355" t="str">
        <f>IF(一覧!K56="","",一覧!K56)</f>
        <v>※</v>
      </c>
      <c r="L34" s="355" t="str">
        <f>IF(一覧!L56="","",一覧!L56)</f>
        <v>泊り</v>
      </c>
      <c r="M34" s="355" t="str">
        <f>IF(一覧!M56="","",一覧!M56)</f>
        <v>あけ</v>
      </c>
      <c r="N34" s="355" t="str">
        <f>IF(一覧!N56="","",一覧!N56)</f>
        <v/>
      </c>
      <c r="O34" s="356" t="str">
        <f>IF(一覧!O56="","",一覧!O56)</f>
        <v/>
      </c>
      <c r="P34" s="355" t="str">
        <f>IF(一覧!P56="","",一覧!P56)</f>
        <v/>
      </c>
      <c r="Q34" s="355" t="str">
        <f>IF(一覧!Q56="","",一覧!Q56)</f>
        <v/>
      </c>
      <c r="R34" s="355" t="str">
        <f>IF(一覧!R56="","",一覧!R56)</f>
        <v/>
      </c>
      <c r="S34" s="355" t="str">
        <f>IF(一覧!S56="","",一覧!S56)</f>
        <v>岸和田</v>
      </c>
      <c r="T34" s="355" t="str">
        <f>IF(一覧!T56="","",一覧!T56)</f>
        <v>岸和田</v>
      </c>
      <c r="U34" s="355" t="str">
        <f>IF(一覧!U56="","",一覧!U56)</f>
        <v/>
      </c>
      <c r="V34" s="356" t="str">
        <f>IF(一覧!V56="","",一覧!V56)</f>
        <v>※</v>
      </c>
      <c r="W34" s="355" t="str">
        <f>IF(一覧!W56="","",一覧!W56)</f>
        <v>※</v>
      </c>
      <c r="X34" s="355" t="str">
        <f>IF(一覧!X56="","",一覧!X56)</f>
        <v>※</v>
      </c>
      <c r="Y34" s="355" t="str">
        <f>IF(一覧!Y56="","",一覧!Y56)</f>
        <v>※5/31分</v>
      </c>
      <c r="Z34" s="355" t="str">
        <f>IF(一覧!Z56="","",一覧!Z56)</f>
        <v>※</v>
      </c>
      <c r="AA34" s="355" t="str">
        <f>IF(一覧!AA56="","",一覧!AA56)</f>
        <v>※</v>
      </c>
      <c r="AB34" s="355" t="str">
        <f>IF(一覧!AB56="","",一覧!AB56)</f>
        <v>泊り</v>
      </c>
      <c r="AC34" s="356" t="str">
        <f>IF(一覧!AC56="","",一覧!AC56)</f>
        <v>あけ</v>
      </c>
      <c r="AD34" s="355" t="str">
        <f>IF(一覧!AD56="","",一覧!AD56)</f>
        <v/>
      </c>
      <c r="AE34" s="355" t="str">
        <f>IF(一覧!AE56="","",一覧!AE56)</f>
        <v>NsubTD</v>
      </c>
      <c r="AF34" s="355" t="str">
        <f>IF(一覧!AF56="","",一覧!AF56)</f>
        <v/>
      </c>
      <c r="AG34" s="357" t="str">
        <f>IF(一覧!AG56="","",一覧!AG56)</f>
        <v/>
      </c>
      <c r="AH34" s="304" t="str">
        <f>IF(一覧!AH56="","",一覧!AH56)</f>
        <v/>
      </c>
      <c r="AI34" s="347">
        <f t="shared" si="22"/>
        <v>0</v>
      </c>
      <c r="AK34" s="347">
        <f t="shared" si="24"/>
        <v>1</v>
      </c>
      <c r="AL34" s="347">
        <f t="shared" si="15"/>
        <v>0</v>
      </c>
      <c r="AM34" s="347">
        <f t="shared" si="16"/>
        <v>0</v>
      </c>
      <c r="AN34" s="366"/>
    </row>
    <row r="35" spans="1:42" ht="15" customHeight="1">
      <c r="A35" s="347">
        <f>COUNTIF(C35:AG35,"★★")</f>
        <v>4</v>
      </c>
      <c r="B35" s="518" t="str">
        <f>IF(一覧!B57="","",一覧!B57)</f>
        <v>加藤　裕視</v>
      </c>
      <c r="C35" s="349" t="str">
        <f>IF(一覧!C57="","",一覧!C57)</f>
        <v>NsubTD</v>
      </c>
      <c r="D35" s="349" t="str">
        <f>IF(一覧!D57="","",一覧!D57)</f>
        <v>TVU内覧</v>
      </c>
      <c r="E35" s="349" t="str">
        <f>IF(一覧!E57="","",一覧!E57)</f>
        <v>ミヤネ屋</v>
      </c>
      <c r="F35" s="349" t="str">
        <f>IF(一覧!F57="","",一覧!F57)</f>
        <v>　　　━</v>
      </c>
      <c r="G35" s="349" t="str">
        <f>IF(一覧!G57="","",一覧!G57)</f>
        <v>━　　　</v>
      </c>
      <c r="H35" s="350" t="str">
        <f>IF(一覧!H57="","",一覧!H57)</f>
        <v>★</v>
      </c>
      <c r="I35" s="349" t="str">
        <f>IF(一覧!I57="","",一覧!I57)</f>
        <v>★★</v>
      </c>
      <c r="J35" s="349" t="str">
        <f>IF(一覧!J57="","",一覧!J57)</f>
        <v>ten下見</v>
      </c>
      <c r="K35" s="349" t="str">
        <f>IF(一覧!K57="","",一覧!K57)</f>
        <v>ミヤネ屋</v>
      </c>
      <c r="L35" s="349" t="str">
        <f>IF(一覧!L57="","",一覧!L57)</f>
        <v>ＲＤ</v>
      </c>
      <c r="M35" s="349" t="str">
        <f>IF(一覧!M57="","",一覧!M57)</f>
        <v>ten中継</v>
      </c>
      <c r="N35" s="349" t="str">
        <f>IF(一覧!N57="","",一覧!N57)</f>
        <v>ｔｅｎ！</v>
      </c>
      <c r="O35" s="350" t="str">
        <f>IF(一覧!O57="","",一覧!O57)</f>
        <v>★</v>
      </c>
      <c r="P35" s="349" t="str">
        <f>IF(一覧!P57="","",一覧!P57)</f>
        <v>★★</v>
      </c>
      <c r="Q35" s="349" t="str">
        <f>IF(一覧!Q57="","",一覧!Q57)</f>
        <v>ｔｅｎ！</v>
      </c>
      <c r="R35" s="349" t="str">
        <f>IF(一覧!R57="","",一覧!R57)</f>
        <v>　　　━</v>
      </c>
      <c r="S35" s="349" t="str">
        <f>IF(一覧!S57="","",一覧!S57)</f>
        <v>━　　　</v>
      </c>
      <c r="T35" s="349" t="str">
        <f>IF(一覧!T57="","",一覧!T57)</f>
        <v>NsubTD</v>
      </c>
      <c r="U35" s="349" t="str">
        <f>IF(一覧!U57="","",一覧!U57)</f>
        <v>回線Ｇ</v>
      </c>
      <c r="V35" s="350" t="str">
        <f>IF(一覧!V57="","",一覧!V57)</f>
        <v>★</v>
      </c>
      <c r="W35" s="349" t="str">
        <f>IF(一覧!W57="","",一覧!W57)</f>
        <v>★★</v>
      </c>
      <c r="X35" s="349" t="str">
        <f>IF(一覧!X57="","",一覧!X57)</f>
        <v>ｔｅｎ！</v>
      </c>
      <c r="Y35" s="349" t="str">
        <f>IF(一覧!Y57="","",一覧!Y57)</f>
        <v>NsubTD</v>
      </c>
      <c r="Z35" s="349" t="str">
        <f>IF(一覧!Z57="","",一覧!Z57)</f>
        <v>　　　━</v>
      </c>
      <c r="AA35" s="349" t="str">
        <f>IF(一覧!AA57="","",一覧!AA57)</f>
        <v>━　　　</v>
      </c>
      <c r="AB35" s="349" t="str">
        <f>IF(一覧!AB57="","",一覧!AB57)</f>
        <v>委員会</v>
      </c>
      <c r="AC35" s="350" t="str">
        <f>IF(一覧!AC57="","",一覧!AC57)</f>
        <v>★★</v>
      </c>
      <c r="AD35" s="349" t="str">
        <f>IF(一覧!AD57="","",一覧!AD57)</f>
        <v>NsubTD</v>
      </c>
      <c r="AE35" s="349" t="str">
        <f>IF(一覧!AE57="","",一覧!AE57)</f>
        <v>じゅっと</v>
      </c>
      <c r="AF35" s="349" t="str">
        <f>IF(一覧!AF57="","",一覧!AF57)</f>
        <v>★</v>
      </c>
      <c r="AG35" s="351" t="str">
        <f>IF(一覧!AG57="","",一覧!AG57)</f>
        <v/>
      </c>
      <c r="AH35" s="519" t="str">
        <f>IF(一覧!AH57="","",一覧!AH57)</f>
        <v>加藤</v>
      </c>
      <c r="AI35" s="347">
        <f t="shared" si="0"/>
        <v>4</v>
      </c>
      <c r="AJ35" s="347">
        <f t="shared" ref="AJ35" si="28">COUNTIF(C35:AG35,"　　　━")+COUNTIF(D36:AG36,"　　　━")</f>
        <v>3</v>
      </c>
      <c r="AK35" s="347">
        <f t="shared" si="8"/>
        <v>4</v>
      </c>
      <c r="AL35" s="347">
        <f t="shared" ref="AL35:AL38" si="29">COUNTIF(C35:AG35,"ｔｅｎ！")</f>
        <v>3</v>
      </c>
      <c r="AM35" s="347">
        <f t="shared" ref="AM35:AM38" si="30">COUNTIF(C35:AG35,"ＲＤ")</f>
        <v>1</v>
      </c>
      <c r="AN35" s="366">
        <f t="shared" ref="AN35" si="31">COUNTIF(C35:AG35,"じゅっと")</f>
        <v>1</v>
      </c>
      <c r="AO35" s="347">
        <f t="shared" si="12"/>
        <v>0</v>
      </c>
      <c r="AP35" s="347">
        <f t="shared" ref="AP35" si="32">COUNTIF(C35:AG35,"ノビしろ")</f>
        <v>0</v>
      </c>
    </row>
    <row r="36" spans="1:42" ht="15" customHeight="1">
      <c r="A36" s="347">
        <f>COUNTIF(C35:AG35,"★")</f>
        <v>4</v>
      </c>
      <c r="B36" s="303" t="str">
        <f>IF(一覧!B58="","",一覧!B58)</f>
        <v/>
      </c>
      <c r="C36" s="355" t="str">
        <f>IF(一覧!C58="","",一覧!C58)</f>
        <v>局会</v>
      </c>
      <c r="D36" s="355" t="str">
        <f>IF(一覧!D58="","",一覧!D58)</f>
        <v/>
      </c>
      <c r="E36" s="355" t="str">
        <f>IF(一覧!E58="","",一覧!E58)</f>
        <v>ＴＤ</v>
      </c>
      <c r="F36" s="355" t="str">
        <f>IF(一覧!F58="","",一覧!F58)</f>
        <v/>
      </c>
      <c r="G36" s="355" t="str">
        <f>IF(一覧!G58="","",一覧!G58)</f>
        <v/>
      </c>
      <c r="H36" s="356" t="str">
        <f>IF(一覧!H58="","",一覧!H58)</f>
        <v>※</v>
      </c>
      <c r="I36" s="355" t="str">
        <f>IF(一覧!I58="","",一覧!I58)</f>
        <v/>
      </c>
      <c r="J36" s="355" t="str">
        <f>IF(一覧!J58="","",一覧!J58)</f>
        <v/>
      </c>
      <c r="K36" s="355" t="str">
        <f>IF(一覧!K58="","",一覧!K58)</f>
        <v>ＳＷ</v>
      </c>
      <c r="L36" s="355" t="str">
        <f>IF(一覧!L58="","",一覧!L58)</f>
        <v/>
      </c>
      <c r="M36" s="355" t="str">
        <f>IF(一覧!M58="","",一覧!M58)</f>
        <v>ＴＤ</v>
      </c>
      <c r="N36" s="355" t="str">
        <f>IF(一覧!N58="","",一覧!N58)</f>
        <v>ＴＤ</v>
      </c>
      <c r="O36" s="356" t="str">
        <f>IF(一覧!O58="","",一覧!O58)</f>
        <v/>
      </c>
      <c r="P36" s="355" t="str">
        <f>IF(一覧!P58="","",一覧!P58)</f>
        <v/>
      </c>
      <c r="Q36" s="355" t="str">
        <f>IF(一覧!Q58="","",一覧!Q58)</f>
        <v>ＴＤ</v>
      </c>
      <c r="R36" s="355" t="str">
        <f>IF(一覧!R58="","",一覧!R58)</f>
        <v/>
      </c>
      <c r="S36" s="355" t="str">
        <f>IF(一覧!S58="","",一覧!S58)</f>
        <v/>
      </c>
      <c r="T36" s="355" t="str">
        <f>IF(一覧!T58="","",一覧!T58)</f>
        <v/>
      </c>
      <c r="U36" s="355" t="str">
        <f>IF(一覧!U58="","",一覧!U58)</f>
        <v/>
      </c>
      <c r="V36" s="356" t="str">
        <f>IF(一覧!V58="","",一覧!V58)</f>
        <v/>
      </c>
      <c r="W36" s="355" t="str">
        <f>IF(一覧!W58="","",一覧!W58)</f>
        <v>※</v>
      </c>
      <c r="X36" s="355" t="str">
        <f>IF(一覧!X58="","",一覧!X58)</f>
        <v>NsubTD</v>
      </c>
      <c r="Y36" s="355" t="str">
        <f>IF(一覧!Y58="","",一覧!Y58)</f>
        <v/>
      </c>
      <c r="Z36" s="355" t="str">
        <f>IF(一覧!Z58="","",一覧!Z58)</f>
        <v/>
      </c>
      <c r="AA36" s="355" t="str">
        <f>IF(一覧!AA58="","",一覧!AA58)</f>
        <v/>
      </c>
      <c r="AB36" s="355" t="str">
        <f>IF(一覧!AB58="","",一覧!AB58)</f>
        <v>ＣＡＭ</v>
      </c>
      <c r="AC36" s="356" t="str">
        <f>IF(一覧!AC58="","",一覧!AC58)</f>
        <v>※</v>
      </c>
      <c r="AD36" s="355" t="str">
        <f>IF(一覧!AD58="","",一覧!AD58)</f>
        <v/>
      </c>
      <c r="AE36" s="355" t="str">
        <f>IF(一覧!AE58="","",一覧!AE58)</f>
        <v>ＴＤ</v>
      </c>
      <c r="AF36" s="355" t="str">
        <f>IF(一覧!AF58="","",一覧!AF58)</f>
        <v/>
      </c>
      <c r="AG36" s="357" t="str">
        <f>IF(一覧!AG58="","",一覧!AG58)</f>
        <v/>
      </c>
      <c r="AH36" s="304" t="str">
        <f>IF(一覧!AH58="","",一覧!AH58)</f>
        <v/>
      </c>
      <c r="AI36" s="347">
        <f t="shared" si="0"/>
        <v>0</v>
      </c>
      <c r="AK36" s="347">
        <f t="shared" si="8"/>
        <v>1</v>
      </c>
      <c r="AL36" s="347">
        <f t="shared" si="29"/>
        <v>0</v>
      </c>
      <c r="AM36" s="347">
        <f t="shared" si="30"/>
        <v>0</v>
      </c>
      <c r="AN36" s="366"/>
    </row>
    <row r="37" spans="1:42" ht="15" customHeight="1">
      <c r="A37" s="347">
        <f>COUNTIF(C37:AG37,"★★")</f>
        <v>4</v>
      </c>
      <c r="B37" s="518" t="str">
        <f>IF(一覧!B63="","",一覧!B63)</f>
        <v>正木　良</v>
      </c>
      <c r="C37" s="349" t="str">
        <f>IF(一覧!C63="","",一覧!C63)</f>
        <v>　　　━</v>
      </c>
      <c r="D37" s="349" t="str">
        <f>IF(一覧!D63="","",一覧!D63)</f>
        <v>━　　　</v>
      </c>
      <c r="E37" s="349" t="str">
        <f>IF(一覧!E63="","",一覧!E63)</f>
        <v>ｔｅｎ！</v>
      </c>
      <c r="F37" s="349" t="str">
        <f>IF(一覧!F63="","",一覧!F63)</f>
        <v>NsubTD</v>
      </c>
      <c r="G37" s="349" t="str">
        <f>IF(一覧!G63="","",一覧!G63)</f>
        <v>代休</v>
      </c>
      <c r="H37" s="350" t="str">
        <f>IF(一覧!H63="","",一覧!H63)</f>
        <v>　　　━</v>
      </c>
      <c r="I37" s="349" t="str">
        <f>IF(一覧!I63="","",一覧!I63)</f>
        <v>━　　　</v>
      </c>
      <c r="J37" s="349" t="str">
        <f>IF(一覧!J63="","",一覧!J63)</f>
        <v>★★</v>
      </c>
      <c r="K37" s="349" t="str">
        <f>IF(一覧!K63="","",一覧!K63)</f>
        <v>近総通</v>
      </c>
      <c r="L37" s="349" t="str">
        <f>IF(一覧!L63="","",一覧!L63)</f>
        <v>ｔｅｎ！</v>
      </c>
      <c r="M37" s="349" t="str">
        <f>IF(一覧!M63="","",一覧!M63)</f>
        <v>ｔｅｎ！</v>
      </c>
      <c r="N37" s="349" t="str">
        <f>IF(一覧!N63="","",一覧!N63)</f>
        <v>★</v>
      </c>
      <c r="O37" s="350" t="str">
        <f>IF(一覧!O63="","",一覧!O63)</f>
        <v>読響</v>
      </c>
      <c r="P37" s="349" t="str">
        <f>IF(一覧!P63="","",一覧!P63)</f>
        <v>　　　━</v>
      </c>
      <c r="Q37" s="349" t="str">
        <f>IF(一覧!Q63="","",一覧!Q63)</f>
        <v>━　　　</v>
      </c>
      <c r="R37" s="349" t="str">
        <f>IF(一覧!R63="","",一覧!R63)</f>
        <v>★★</v>
      </c>
      <c r="S37" s="349" t="str">
        <f>IF(一覧!S63="","",一覧!S63)</f>
        <v>読響</v>
      </c>
      <c r="T37" s="349" t="str">
        <f>IF(一覧!T63="","",一覧!T63)</f>
        <v>★</v>
      </c>
      <c r="U37" s="349" t="str">
        <f>IF(一覧!U63="","",一覧!U63)</f>
        <v>NsubTD</v>
      </c>
      <c r="V37" s="350" t="str">
        <f>IF(一覧!V63="","",一覧!V63)</f>
        <v>★</v>
      </c>
      <c r="W37" s="349" t="str">
        <f>IF(一覧!W63="","",一覧!W63)</f>
        <v>★★</v>
      </c>
      <c r="X37" s="349" t="str">
        <f>IF(一覧!X63="","",一覧!X63)</f>
        <v>ten下見</v>
      </c>
      <c r="Y37" s="349" t="str">
        <f>IF(一覧!Y63="","",一覧!Y63)</f>
        <v>ＲＤ</v>
      </c>
      <c r="Z37" s="349" t="str">
        <f>IF(一覧!Z63="","",一覧!Z63)</f>
        <v>年休</v>
      </c>
      <c r="AA37" s="349" t="str">
        <f>IF(一覧!AA63="","",一覧!AA63)</f>
        <v>ten中継</v>
      </c>
      <c r="AB37" s="349" t="str">
        <f>IF(一覧!AB63="","",一覧!AB63)</f>
        <v>ｔｅｎ！</v>
      </c>
      <c r="AC37" s="350" t="str">
        <f>IF(一覧!AC63="","",一覧!AC63)</f>
        <v>★</v>
      </c>
      <c r="AD37" s="349" t="str">
        <f>IF(一覧!AD63="","",一覧!AD63)</f>
        <v>★★</v>
      </c>
      <c r="AE37" s="349" t="str">
        <f>IF(一覧!AE63="","",一覧!AE63)</f>
        <v>ＲＤ</v>
      </c>
      <c r="AF37" s="349" t="str">
        <f>IF(一覧!AF63="","",一覧!AF63)</f>
        <v>ｔｅｎ！</v>
      </c>
      <c r="AG37" s="351" t="str">
        <f>IF(一覧!AG63="","",一覧!AG63)</f>
        <v/>
      </c>
      <c r="AH37" s="519" t="str">
        <f>IF(一覧!AH63="","",一覧!AH63)</f>
        <v>正木</v>
      </c>
      <c r="AI37" s="347">
        <f t="shared" si="0"/>
        <v>3</v>
      </c>
      <c r="AJ37" s="347">
        <f t="shared" ref="AJ37" si="33">COUNTIF(C37:AG37,"　　　━")+COUNTIF(D38:AG38,"　　　━")</f>
        <v>3</v>
      </c>
      <c r="AK37" s="347">
        <f t="shared" si="8"/>
        <v>2</v>
      </c>
      <c r="AL37" s="347">
        <f t="shared" si="29"/>
        <v>5</v>
      </c>
      <c r="AM37" s="347">
        <f>COUNTIF(C37:AG37,"ＲＤ")</f>
        <v>2</v>
      </c>
      <c r="AN37" s="366">
        <f t="shared" ref="AN37" si="34">COUNTIF(C37:AG37,"じゅっと")</f>
        <v>0</v>
      </c>
      <c r="AO37" s="347">
        <f t="shared" si="12"/>
        <v>0</v>
      </c>
      <c r="AP37" s="347">
        <f t="shared" ref="AP37" si="35">COUNTIF(C37:AG37,"ノビしろ")</f>
        <v>0</v>
      </c>
    </row>
    <row r="38" spans="1:42" ht="15" customHeight="1">
      <c r="A38" s="347">
        <f>COUNTIF(C37:AG37,"★")</f>
        <v>4</v>
      </c>
      <c r="B38" s="303" t="str">
        <f>IF(一覧!B64="","",一覧!B64)</f>
        <v/>
      </c>
      <c r="C38" s="355" t="str">
        <f>IF(一覧!C64="","",一覧!C64)</f>
        <v/>
      </c>
      <c r="D38" s="355" t="str">
        <f>IF(一覧!D64="","",一覧!D64)</f>
        <v>TVU内覧</v>
      </c>
      <c r="E38" s="355" t="str">
        <f>IF(一覧!E64="","",一覧!E64)</f>
        <v>ＴＤ</v>
      </c>
      <c r="F38" s="355" t="str">
        <f>IF(一覧!F64="","",一覧!F64)</f>
        <v/>
      </c>
      <c r="G38" s="355" t="str">
        <f>IF(一覧!G64="","",一覧!G64)</f>
        <v>5/31分</v>
      </c>
      <c r="H38" s="356" t="str">
        <f>IF(一覧!H64="","",一覧!H64)</f>
        <v/>
      </c>
      <c r="I38" s="355" t="str">
        <f>IF(一覧!I64="","",一覧!I64)</f>
        <v/>
      </c>
      <c r="J38" s="355" t="str">
        <f>IF(一覧!J64="","",一覧!J64)</f>
        <v/>
      </c>
      <c r="K38" s="355" t="str">
        <f>IF(一覧!K64="","",一覧!K64)</f>
        <v>現地視察</v>
      </c>
      <c r="L38" s="355" t="str">
        <f>IF(一覧!L64="","",一覧!L64)</f>
        <v>ＴＤ</v>
      </c>
      <c r="M38" s="355" t="str">
        <f>IF(一覧!M64="","",一覧!M64)</f>
        <v>ＴＤ</v>
      </c>
      <c r="N38" s="355" t="str">
        <f>IF(一覧!N64="","",一覧!N64)</f>
        <v/>
      </c>
      <c r="O38" s="356" t="str">
        <f>IF(一覧!O64="","",一覧!O64)</f>
        <v>ﾘﾊｰｻﾙ</v>
      </c>
      <c r="P38" s="355" t="str">
        <f>IF(一覧!P64="","",一覧!P64)</f>
        <v/>
      </c>
      <c r="Q38" s="355" t="str">
        <f>IF(一覧!Q64="","",一覧!Q64)</f>
        <v/>
      </c>
      <c r="R38" s="355" t="str">
        <f>IF(一覧!R64="","",一覧!R64)</f>
        <v/>
      </c>
      <c r="S38" s="355" t="str">
        <f>IF(一覧!S64="","",一覧!S64)</f>
        <v>ＴＤ</v>
      </c>
      <c r="T38" s="355" t="str">
        <f>IF(一覧!T64="","",一覧!T64)</f>
        <v/>
      </c>
      <c r="U38" s="355" t="str">
        <f>IF(一覧!U64="","",一覧!U64)</f>
        <v>回線Ｇ</v>
      </c>
      <c r="V38" s="356" t="str">
        <f>IF(一覧!V64="","",一覧!V64)</f>
        <v/>
      </c>
      <c r="W38" s="355" t="str">
        <f>IF(一覧!W64="","",一覧!W64)</f>
        <v/>
      </c>
      <c r="X38" s="355" t="str">
        <f>IF(一覧!X64="","",一覧!X64)</f>
        <v/>
      </c>
      <c r="Y38" s="355" t="str">
        <f>IF(一覧!Y64="","",一覧!Y64)</f>
        <v/>
      </c>
      <c r="Z38" s="355" t="str">
        <f>IF(一覧!Z64="","",一覧!Z64)</f>
        <v>※</v>
      </c>
      <c r="AA38" s="355" t="str">
        <f>IF(一覧!AA64="","",一覧!AA64)</f>
        <v>ＴＤ</v>
      </c>
      <c r="AB38" s="355" t="str">
        <f>IF(一覧!AB64="","",一覧!AB64)</f>
        <v>ＴＤ</v>
      </c>
      <c r="AC38" s="356" t="str">
        <f>IF(一覧!AC64="","",一覧!AC64)</f>
        <v/>
      </c>
      <c r="AD38" s="355" t="str">
        <f>IF(一覧!AD64="","",一覧!AD64)</f>
        <v/>
      </c>
      <c r="AE38" s="355" t="str">
        <f>IF(一覧!AE64="","",一覧!AE64)</f>
        <v/>
      </c>
      <c r="AF38" s="355" t="str">
        <f>IF(一覧!AF64="","",一覧!AF64)</f>
        <v>NsubTD</v>
      </c>
      <c r="AG38" s="357" t="str">
        <f>IF(一覧!AG64="","",一覧!AG64)</f>
        <v/>
      </c>
      <c r="AH38" s="304" t="str">
        <f>IF(一覧!AH64="","",一覧!AH64)</f>
        <v/>
      </c>
      <c r="AI38" s="347">
        <f t="shared" si="0"/>
        <v>0</v>
      </c>
      <c r="AK38" s="347">
        <f t="shared" si="8"/>
        <v>1</v>
      </c>
      <c r="AL38" s="347">
        <f t="shared" si="29"/>
        <v>0</v>
      </c>
      <c r="AM38" s="347">
        <f t="shared" si="30"/>
        <v>0</v>
      </c>
      <c r="AN38" s="366"/>
    </row>
    <row r="39" spans="1:42" ht="15" customHeight="1">
      <c r="A39" s="347">
        <f>COUNTIF(C39:AG39,"★★")</f>
        <v>4</v>
      </c>
      <c r="B39" s="518" t="str">
        <f>IF(一覧!B81="","",一覧!B81)</f>
        <v>中嶋　祥吾</v>
      </c>
      <c r="C39" s="349" t="str">
        <f>IF(一覧!C81="","",一覧!C81)</f>
        <v>━　　　</v>
      </c>
      <c r="D39" s="349" t="str">
        <f>IF(一覧!D81="","",一覧!D81)</f>
        <v>TVU内覧</v>
      </c>
      <c r="E39" s="349" t="str">
        <f>IF(一覧!E81="","",一覧!E81)</f>
        <v/>
      </c>
      <c r="F39" s="349" t="str">
        <f>IF(一覧!F81="","",一覧!F81)</f>
        <v>代休</v>
      </c>
      <c r="G39" s="349" t="str">
        <f>IF(一覧!G81="","",一覧!G81)</f>
        <v>NsubTD</v>
      </c>
      <c r="H39" s="350" t="str">
        <f>IF(一覧!H81="","",一覧!H81)</f>
        <v>★</v>
      </c>
      <c r="I39" s="349" t="str">
        <f>IF(一覧!I81="","",一覧!I81)</f>
        <v>★★</v>
      </c>
      <c r="J39" s="349" t="str">
        <f>IF(一覧!J81="","",一覧!J81)</f>
        <v>ten下見</v>
      </c>
      <c r="K39" s="349" t="str">
        <f>IF(一覧!K81="","",一覧!K81)</f>
        <v/>
      </c>
      <c r="L39" s="349" t="str">
        <f>IF(一覧!L81="","",一覧!L81)</f>
        <v/>
      </c>
      <c r="M39" s="349" t="str">
        <f>IF(一覧!M81="","",一覧!M81)</f>
        <v>ten中継</v>
      </c>
      <c r="N39" s="349" t="str">
        <f>IF(一覧!N81="","",一覧!N81)</f>
        <v>訓練準備</v>
      </c>
      <c r="O39" s="350" t="str">
        <f>IF(一覧!O81="","",一覧!O81)</f>
        <v>　　　━</v>
      </c>
      <c r="P39" s="349" t="str">
        <f>IF(一覧!P81="","",一覧!P81)</f>
        <v>━　　　</v>
      </c>
      <c r="Q39" s="349" t="str">
        <f>IF(一覧!Q81="","",一覧!Q81)</f>
        <v>★★</v>
      </c>
      <c r="R39" s="349" t="str">
        <f>IF(一覧!R81="","",一覧!R81)</f>
        <v>★</v>
      </c>
      <c r="S39" s="349" t="str">
        <f>IF(一覧!S81="","",一覧!S81)</f>
        <v>ﾊﾟｰﾙｶｯﾌﾟ</v>
      </c>
      <c r="T39" s="349" t="str">
        <f>IF(一覧!T81="","",一覧!T81)</f>
        <v>ﾊﾟｰﾙｶｯﾌﾟ</v>
      </c>
      <c r="U39" s="349" t="str">
        <f>IF(一覧!U81="","",一覧!U81)</f>
        <v>回線Ｇ</v>
      </c>
      <c r="V39" s="350" t="str">
        <f>IF(一覧!V81="","",一覧!V81)</f>
        <v>★★</v>
      </c>
      <c r="W39" s="349" t="str">
        <f>IF(一覧!W81="","",一覧!W81)</f>
        <v>高松宮杯</v>
      </c>
      <c r="X39" s="349" t="str">
        <f>IF(一覧!X81="","",一覧!X81)</f>
        <v>★</v>
      </c>
      <c r="Y39" s="349" t="str">
        <f>IF(一覧!Y81="","",一覧!Y81)</f>
        <v>　　　━</v>
      </c>
      <c r="Z39" s="349" t="str">
        <f>IF(一覧!Z81="","",一覧!Z81)</f>
        <v>━　　　</v>
      </c>
      <c r="AA39" s="349" t="str">
        <f>IF(一覧!AA81="","",一覧!AA81)</f>
        <v/>
      </c>
      <c r="AB39" s="349" t="str">
        <f>IF(一覧!AB81="","",一覧!AB81)</f>
        <v>NsubTD</v>
      </c>
      <c r="AC39" s="350" t="str">
        <f>IF(一覧!AC81="","",一覧!AC81)</f>
        <v>★</v>
      </c>
      <c r="AD39" s="349" t="str">
        <f>IF(一覧!AD81="","",一覧!AD81)</f>
        <v>★★</v>
      </c>
      <c r="AE39" s="349" t="str">
        <f>IF(一覧!AE81="","",一覧!AE81)</f>
        <v>ten下見</v>
      </c>
      <c r="AF39" s="349" t="str">
        <f>IF(一覧!AF81="","",一覧!AF81)</f>
        <v>年休</v>
      </c>
      <c r="AG39" s="351" t="str">
        <f>IF(一覧!AG81="","",一覧!AG81)</f>
        <v/>
      </c>
      <c r="AH39" s="519" t="str">
        <f>IF(一覧!AH81="","",一覧!AH81)</f>
        <v>中嶋</v>
      </c>
      <c r="AI39" s="347">
        <f t="shared" si="0"/>
        <v>2</v>
      </c>
      <c r="AJ39" s="347">
        <f t="shared" ref="AJ39" si="36">COUNTIF(C39:AG39,"　　　━")+COUNTIF(D40:AG40,"　　　━")</f>
        <v>2</v>
      </c>
      <c r="AK39" s="347">
        <f>COUNTIF(C39:AG39,"NsubTD")</f>
        <v>2</v>
      </c>
      <c r="AL39" s="347">
        <f>COUNTIF(C39:AG39,"ｔｅｎ！")</f>
        <v>0</v>
      </c>
      <c r="AM39" s="347">
        <f>COUNTIF(C39:AG39,"ＲＤ")</f>
        <v>0</v>
      </c>
      <c r="AN39" s="366">
        <f t="shared" ref="AN39" si="37">COUNTIF(C39:AG39,"じゅっと")</f>
        <v>0</v>
      </c>
      <c r="AO39" s="347">
        <f t="shared" si="12"/>
        <v>0</v>
      </c>
      <c r="AP39" s="347">
        <f t="shared" ref="AP39" si="38">COUNTIF(C39:AG39,"ノビしろ")</f>
        <v>0</v>
      </c>
    </row>
    <row r="40" spans="1:42" ht="15" customHeight="1" thickBot="1">
      <c r="A40" s="347">
        <f>COUNTIF(C39:AG39,"★")</f>
        <v>4</v>
      </c>
      <c r="B40" s="424" t="str">
        <f>IF(一覧!B82="","",一覧!B82)</f>
        <v/>
      </c>
      <c r="C40" s="464" t="str">
        <f>IF(一覧!C82="","",一覧!C82)</f>
        <v/>
      </c>
      <c r="D40" s="464" t="str">
        <f>IF(一覧!D82="","",一覧!D82)</f>
        <v/>
      </c>
      <c r="E40" s="464" t="str">
        <f>IF(一覧!E82="","",一覧!E82)</f>
        <v>DX会議</v>
      </c>
      <c r="F40" s="464" t="str">
        <f>IF(一覧!F82="","",一覧!F82)</f>
        <v>5/31分</v>
      </c>
      <c r="G40" s="464" t="str">
        <f>IF(一覧!G82="","",一覧!G82)</f>
        <v/>
      </c>
      <c r="H40" s="465" t="str">
        <f>IF(一覧!H82="","",一覧!H82)</f>
        <v/>
      </c>
      <c r="I40" s="464" t="str">
        <f>IF(一覧!I82="","",一覧!I82)</f>
        <v/>
      </c>
      <c r="J40" s="464" t="str">
        <f>IF(一覧!J82="","",一覧!J82)</f>
        <v/>
      </c>
      <c r="K40" s="464" t="str">
        <f>IF(一覧!K82="","",一覧!K82)</f>
        <v/>
      </c>
      <c r="L40" s="464" t="str">
        <f>IF(一覧!L82="","",一覧!L82)</f>
        <v>DX会議</v>
      </c>
      <c r="M40" s="464" t="str">
        <f>IF(一覧!M82="","",一覧!M82)</f>
        <v>ＴＤ’</v>
      </c>
      <c r="N40" s="464" t="str">
        <f>IF(一覧!N82="","",一覧!N82)</f>
        <v/>
      </c>
      <c r="O40" s="465" t="str">
        <f>IF(一覧!O82="","",一覧!O82)</f>
        <v>ﾍﾘ訓練TD</v>
      </c>
      <c r="P40" s="464" t="str">
        <f>IF(一覧!P82="","",一覧!P82)</f>
        <v>ﾍﾘ訓練TD</v>
      </c>
      <c r="Q40" s="464" t="str">
        <f>IF(一覧!Q82="","",一覧!Q82)</f>
        <v/>
      </c>
      <c r="R40" s="464" t="str">
        <f>IF(一覧!R82="","",一覧!R82)</f>
        <v/>
      </c>
      <c r="S40" s="464" t="str">
        <f>IF(一覧!S82="","",一覧!S82)</f>
        <v>岸和田</v>
      </c>
      <c r="T40" s="464" t="str">
        <f>IF(一覧!T82="","",一覧!T82)</f>
        <v>岸和田</v>
      </c>
      <c r="U40" s="464" t="str">
        <f>IF(一覧!U82="","",一覧!U82)</f>
        <v/>
      </c>
      <c r="V40" s="465" t="str">
        <f>IF(一覧!V82="","",一覧!V82)</f>
        <v/>
      </c>
      <c r="W40" s="464" t="str">
        <f>IF(一覧!W82="","",一覧!W82)</f>
        <v>岸和田</v>
      </c>
      <c r="X40" s="464" t="str">
        <f>IF(一覧!X82="","",一覧!X82)</f>
        <v/>
      </c>
      <c r="Y40" s="464" t="str">
        <f>IF(一覧!Y82="","",一覧!Y82)</f>
        <v/>
      </c>
      <c r="Z40" s="464" t="str">
        <f>IF(一覧!Z82="","",一覧!Z82)</f>
        <v>DX会議</v>
      </c>
      <c r="AA40" s="464" t="str">
        <f>IF(一覧!AA82="","",一覧!AA82)</f>
        <v/>
      </c>
      <c r="AB40" s="464" t="str">
        <f>IF(一覧!AB82="","",一覧!AB82)</f>
        <v/>
      </c>
      <c r="AC40" s="465" t="str">
        <f>IF(一覧!AC82="","",一覧!AC82)</f>
        <v/>
      </c>
      <c r="AD40" s="464" t="str">
        <f>IF(一覧!AD82="","",一覧!AD82)</f>
        <v/>
      </c>
      <c r="AE40" s="464" t="str">
        <f>IF(一覧!AE82="","",一覧!AE82)</f>
        <v/>
      </c>
      <c r="AF40" s="464" t="str">
        <f>IF(一覧!AF82="","",一覧!AF82)</f>
        <v>※</v>
      </c>
      <c r="AG40" s="466" t="str">
        <f>IF(一覧!AG82="","",一覧!AG82)</f>
        <v/>
      </c>
      <c r="AH40" s="425" t="str">
        <f>IF(一覧!AH82="","",一覧!AH82)</f>
        <v/>
      </c>
      <c r="AI40" s="347">
        <f t="shared" si="0"/>
        <v>0</v>
      </c>
      <c r="AK40" s="347">
        <f>COUNTIF(C40:AG40,"NsubTD")</f>
        <v>0</v>
      </c>
      <c r="AL40" s="347">
        <f>COUNTIF(C40:AG40,"ｔｅｎ！")</f>
        <v>0</v>
      </c>
      <c r="AM40" s="347">
        <f>COUNTIF(C40:AG40,"ＲＤ")</f>
        <v>0</v>
      </c>
      <c r="AN40" s="366"/>
    </row>
    <row r="41" spans="1:42" ht="15" customHeight="1">
      <c r="A41" s="347">
        <f>COUNTIF(C41:AG41,"★★")</f>
        <v>4</v>
      </c>
      <c r="B41" s="518" t="str">
        <f>IF(一覧!B29="","",一覧!B29)</f>
        <v>鈴木　直人</v>
      </c>
      <c r="C41" s="280" t="str">
        <f>IF(一覧!C29="","",一覧!C29)</f>
        <v>局会</v>
      </c>
      <c r="D41" s="280" t="str">
        <f>IF(一覧!D29="","",一覧!D29)</f>
        <v/>
      </c>
      <c r="E41" s="280" t="str">
        <f>IF(一覧!E29="","",一覧!E29)</f>
        <v/>
      </c>
      <c r="F41" s="280" t="str">
        <f>IF(一覧!F29="","",一覧!F29)</f>
        <v/>
      </c>
      <c r="G41" s="280" t="str">
        <f>IF(一覧!G29="","",一覧!G29)</f>
        <v/>
      </c>
      <c r="H41" s="281" t="str">
        <f>IF(一覧!H29="","",一覧!H29)</f>
        <v>★</v>
      </c>
      <c r="I41" s="280" t="str">
        <f>IF(一覧!I29="","",一覧!I29)</f>
        <v>★★</v>
      </c>
      <c r="J41" s="280" t="str">
        <f>IF(一覧!J29="","",一覧!J29)</f>
        <v/>
      </c>
      <c r="K41" s="280" t="str">
        <f>IF(一覧!K29="","",一覧!K29)</f>
        <v/>
      </c>
      <c r="L41" s="280" t="str">
        <f>IF(一覧!L29="","",一覧!L29)</f>
        <v/>
      </c>
      <c r="M41" s="280" t="str">
        <f>IF(一覧!M29="","",一覧!M29)</f>
        <v>　　　━</v>
      </c>
      <c r="N41" s="280" t="str">
        <f>IF(一覧!N29="","",一覧!N29)</f>
        <v>━　　　</v>
      </c>
      <c r="O41" s="281" t="str">
        <f>IF(一覧!O29="","",一覧!O29)</f>
        <v>★</v>
      </c>
      <c r="P41" s="280" t="str">
        <f>IF(一覧!P29="","",一覧!P29)</f>
        <v>★★</v>
      </c>
      <c r="Q41" s="280" t="str">
        <f>IF(一覧!Q29="","",一覧!Q29)</f>
        <v/>
      </c>
      <c r="R41" s="280" t="str">
        <f>IF(一覧!R29="","",一覧!R29)</f>
        <v/>
      </c>
      <c r="S41" s="280" t="str">
        <f>IF(一覧!S29="","",一覧!S29)</f>
        <v/>
      </c>
      <c r="T41" s="280" t="str">
        <f>IF(一覧!T29="","",一覧!T29)</f>
        <v>ＲＤ</v>
      </c>
      <c r="U41" s="280" t="str">
        <f>IF(一覧!U29="","",一覧!U29)</f>
        <v>ｶﾒﾗG会</v>
      </c>
      <c r="V41" s="281" t="str">
        <f>IF(一覧!V29="","",一覧!V29)</f>
        <v>★</v>
      </c>
      <c r="W41" s="280" t="str">
        <f>IF(一覧!W29="","",一覧!W29)</f>
        <v>★★</v>
      </c>
      <c r="X41" s="280" t="str">
        <f>IF(一覧!X29="","",一覧!X29)</f>
        <v/>
      </c>
      <c r="Y41" s="280" t="str">
        <f>IF(一覧!Y29="","",一覧!Y29)</f>
        <v/>
      </c>
      <c r="Z41" s="280" t="str">
        <f>IF(一覧!Z29="","",一覧!Z29)</f>
        <v>音G/VEG</v>
      </c>
      <c r="AA41" s="280" t="str">
        <f>IF(一覧!AA29="","",一覧!AA29)</f>
        <v>ＲＤ</v>
      </c>
      <c r="AB41" s="280" t="str">
        <f>IF(一覧!AB29="","",一覧!AB29)</f>
        <v>技術会議</v>
      </c>
      <c r="AC41" s="281" t="str">
        <f>IF(一覧!AC29="","",一覧!AC29)</f>
        <v>★</v>
      </c>
      <c r="AD41" s="280" t="str">
        <f>IF(一覧!AD29="","",一覧!AD29)</f>
        <v>★★</v>
      </c>
      <c r="AE41" s="280" t="str">
        <f>IF(一覧!AE29="","",一覧!AE29)</f>
        <v/>
      </c>
      <c r="AF41" s="280" t="str">
        <f>IF(一覧!AF29="","",一覧!AF29)</f>
        <v/>
      </c>
      <c r="AG41" s="282" t="str">
        <f>IF(一覧!AG29="","",一覧!AG29)</f>
        <v/>
      </c>
      <c r="AH41" s="519" t="str">
        <f>IF(一覧!AH29="","",一覧!AH29)</f>
        <v>鈴木</v>
      </c>
      <c r="AI41" s="347">
        <f>SUM(AJ41,AN41,AO41,AP41)</f>
        <v>1</v>
      </c>
      <c r="AJ41" s="347">
        <f t="shared" ref="AJ41" si="39">COUNTIF(C41:AG41,"　　　━")+COUNTIF(D42:AG42,"　　　━")</f>
        <v>1</v>
      </c>
      <c r="AK41" s="347">
        <f>COUNTIF(C41:AG41,"NsubTD")</f>
        <v>0</v>
      </c>
      <c r="AL41" s="347">
        <f>COUNTIF(C41:AG41,"ｔｅｎ！")</f>
        <v>0</v>
      </c>
      <c r="AM41" s="347">
        <f>COUNTIF(C41:AG41,"ＲＤ")</f>
        <v>2</v>
      </c>
      <c r="AN41" s="366">
        <f t="shared" ref="AN41" si="40">COUNTIF(C41:AG41,"じゅっと")</f>
        <v>0</v>
      </c>
      <c r="AO41" s="347">
        <f>COUNTIF(C41:AG41,"ウェーク")</f>
        <v>0</v>
      </c>
      <c r="AP41" s="347">
        <f t="shared" ref="AP41" si="41">COUNTIF(C41:AG41,"ノビしろ")</f>
        <v>0</v>
      </c>
    </row>
    <row r="42" spans="1:42" ht="15" customHeight="1" thickBot="1">
      <c r="A42" s="347">
        <f>COUNTIF(C41:AG41,"★")</f>
        <v>4</v>
      </c>
      <c r="B42" s="424" t="str">
        <f>IF(一覧!B30="","",一覧!B30)</f>
        <v/>
      </c>
      <c r="C42" s="482" t="str">
        <f>IF(一覧!C30="","",一覧!C30)</f>
        <v>部長会</v>
      </c>
      <c r="D42" s="482" t="str">
        <f>IF(一覧!D30="","",一覧!D30)</f>
        <v>車両会議</v>
      </c>
      <c r="E42" s="482" t="str">
        <f>IF(一覧!E30="","",一覧!E30)</f>
        <v/>
      </c>
      <c r="F42" s="482" t="str">
        <f>IF(一覧!F30="","",一覧!F30)</f>
        <v/>
      </c>
      <c r="G42" s="482" t="str">
        <f>IF(一覧!G30="","",一覧!G30)</f>
        <v>セミナー</v>
      </c>
      <c r="H42" s="483" t="str">
        <f>IF(一覧!H30="","",一覧!H30)</f>
        <v/>
      </c>
      <c r="I42" s="482" t="str">
        <f>IF(一覧!I30="","",一覧!I30)</f>
        <v/>
      </c>
      <c r="J42" s="482" t="str">
        <f>IF(一覧!J30="","",一覧!J30)</f>
        <v>部長会</v>
      </c>
      <c r="K42" s="482" t="str">
        <f>IF(一覧!K30="","",一覧!K30)</f>
        <v/>
      </c>
      <c r="L42" s="482" t="str">
        <f>IF(一覧!L30="","",一覧!L30)</f>
        <v>照明G</v>
      </c>
      <c r="M42" s="482" t="str">
        <f>IF(一覧!M30="","",一覧!M30)</f>
        <v>コンプラ</v>
      </c>
      <c r="N42" s="482" t="str">
        <f>IF(一覧!N30="","",一覧!N30)</f>
        <v>事故対</v>
      </c>
      <c r="O42" s="483" t="str">
        <f>IF(一覧!O30="","",一覧!O30)</f>
        <v>※</v>
      </c>
      <c r="P42" s="482" t="str">
        <f>IF(一覧!P30="","",一覧!P30)</f>
        <v/>
      </c>
      <c r="Q42" s="482" t="str">
        <f>IF(一覧!Q30="","",一覧!Q30)</f>
        <v>部長会</v>
      </c>
      <c r="R42" s="482" t="str">
        <f>IF(一覧!R30="","",一覧!R30)</f>
        <v/>
      </c>
      <c r="S42" s="482" t="str">
        <f>IF(一覧!S30="","",一覧!S30)</f>
        <v/>
      </c>
      <c r="T42" s="482" t="str">
        <f>IF(一覧!T30="","",一覧!T30)</f>
        <v/>
      </c>
      <c r="U42" s="482" t="str">
        <f>IF(一覧!U30="","",一覧!U30)</f>
        <v>回線Ｇ</v>
      </c>
      <c r="V42" s="483" t="str">
        <f>IF(一覧!V30="","",一覧!V30)</f>
        <v>※</v>
      </c>
      <c r="W42" s="482" t="str">
        <f>IF(一覧!W30="","",一覧!W30)</f>
        <v>※</v>
      </c>
      <c r="X42" s="482" t="str">
        <f>IF(一覧!X30="","",一覧!X30)</f>
        <v>部長会</v>
      </c>
      <c r="Y42" s="482" t="str">
        <f>IF(一覧!Y30="","",一覧!Y30)</f>
        <v/>
      </c>
      <c r="Z42" s="482" t="str">
        <f>IF(一覧!Z30="","",一覧!Z30)</f>
        <v>制作費会議</v>
      </c>
      <c r="AA42" s="482" t="str">
        <f>IF(一覧!AA30="","",一覧!AA30)</f>
        <v/>
      </c>
      <c r="AB42" s="482" t="str">
        <f>IF(一覧!AB30="","",一覧!AB30)</f>
        <v>NT会議</v>
      </c>
      <c r="AC42" s="483" t="str">
        <f>IF(一覧!AC30="","",一覧!AC30)</f>
        <v/>
      </c>
      <c r="AD42" s="482" t="str">
        <f>IF(一覧!AD30="","",一覧!AD30)</f>
        <v/>
      </c>
      <c r="AE42" s="482" t="str">
        <f>IF(一覧!AE30="","",一覧!AE30)</f>
        <v>部長会</v>
      </c>
      <c r="AF42" s="482" t="str">
        <f>IF(一覧!AF30="","",一覧!AF30)</f>
        <v/>
      </c>
      <c r="AG42" s="484" t="str">
        <f>IF(一覧!AG30="","",一覧!AG30)</f>
        <v/>
      </c>
      <c r="AH42" s="425" t="str">
        <f>IF(一覧!AH30="","",一覧!AH30)</f>
        <v/>
      </c>
      <c r="AI42" s="347">
        <f>SUM(AJ42,AN42,AO42,AP42)</f>
        <v>0</v>
      </c>
      <c r="AK42" s="347">
        <f>COUNTIF(C42:AG42,"NsubTD")</f>
        <v>0</v>
      </c>
      <c r="AL42" s="347">
        <f>COUNTIF(C42:AG42,"ｔｅｎ！")</f>
        <v>0</v>
      </c>
      <c r="AM42" s="347">
        <f>COUNTIF(C42:AG42,"ＲＤ")</f>
        <v>0</v>
      </c>
      <c r="AN42" s="366"/>
    </row>
    <row r="43" spans="1:42" ht="15" customHeight="1">
      <c r="A43" s="347">
        <f>COUNTIF(C43:AG43,"★★")</f>
        <v>4</v>
      </c>
      <c r="B43" s="518" t="str">
        <f>IF(一覧!B35="","",一覧!B35)</f>
        <v>坂口　裕一</v>
      </c>
      <c r="C43" s="280" t="str">
        <f>IF(一覧!C35="","",一覧!C35)</f>
        <v>じゅっと</v>
      </c>
      <c r="D43" s="280" t="str">
        <f>IF(一覧!D35="","",一覧!D35)</f>
        <v>ミヤネ屋</v>
      </c>
      <c r="E43" s="280" t="str">
        <f>IF(一覧!E35="","",一覧!E35)</f>
        <v>代休</v>
      </c>
      <c r="F43" s="280" t="str">
        <f>IF(一覧!F35="","",一覧!F35)</f>
        <v>ｔｅｎ！</v>
      </c>
      <c r="G43" s="280" t="str">
        <f>IF(一覧!G35="","",一覧!G35)</f>
        <v>吉田粗品</v>
      </c>
      <c r="H43" s="281" t="str">
        <f>IF(一覧!H35="","",一覧!H35)</f>
        <v>★★</v>
      </c>
      <c r="I43" s="280" t="str">
        <f>IF(一覧!I35="","",一覧!I35)</f>
        <v>　　　━</v>
      </c>
      <c r="J43" s="280" t="str">
        <f>IF(一覧!J35="","",一覧!J35)</f>
        <v>━　　　</v>
      </c>
      <c r="K43" s="280" t="str">
        <f>IF(一覧!K35="","",一覧!K35)</f>
        <v>中継車WG</v>
      </c>
      <c r="L43" s="280" t="str">
        <f>IF(一覧!L35="","",一覧!L35)</f>
        <v>NTV会議</v>
      </c>
      <c r="M43" s="280" t="str">
        <f>IF(一覧!M35="","",一覧!M35)</f>
        <v/>
      </c>
      <c r="N43" s="280" t="str">
        <f>IF(一覧!N35="","",一覧!N35)</f>
        <v>★</v>
      </c>
      <c r="O43" s="281" t="str">
        <f>IF(一覧!O35="","",一覧!O35)</f>
        <v>★</v>
      </c>
      <c r="P43" s="280" t="str">
        <f>IF(一覧!P35="","",一覧!P35)</f>
        <v>★★</v>
      </c>
      <c r="Q43" s="280" t="str">
        <f>IF(一覧!Q35="","",一覧!Q35)</f>
        <v/>
      </c>
      <c r="R43" s="280" t="str">
        <f>IF(一覧!R35="","",一覧!R35)</f>
        <v/>
      </c>
      <c r="S43" s="280" t="str">
        <f>IF(一覧!S35="","",一覧!S35)</f>
        <v>うさかめ</v>
      </c>
      <c r="T43" s="280" t="str">
        <f>IF(一覧!T35="","",一覧!T35)</f>
        <v>吉田粗品</v>
      </c>
      <c r="U43" s="280" t="str">
        <f>IF(一覧!U35="","",一覧!U35)</f>
        <v>ｶﾒﾗG会</v>
      </c>
      <c r="V43" s="281" t="str">
        <f>IF(一覧!V35="","",一覧!V35)</f>
        <v>ジグザグ</v>
      </c>
      <c r="W43" s="280" t="str">
        <f>IF(一覧!W35="","",一覧!W35)</f>
        <v>★★</v>
      </c>
      <c r="X43" s="280" t="str">
        <f>IF(一覧!X35="","",一覧!X35)</f>
        <v>　　　━</v>
      </c>
      <c r="Y43" s="280" t="str">
        <f>IF(一覧!Y35="","",一覧!Y35)</f>
        <v>━　　　</v>
      </c>
      <c r="Z43" s="280" t="str">
        <f>IF(一覧!Z35="","",一覧!Z35)</f>
        <v>★</v>
      </c>
      <c r="AA43" s="280" t="str">
        <f>IF(一覧!AA35="","",一覧!AA35)</f>
        <v>ｔｅｎ！</v>
      </c>
      <c r="AB43" s="280" t="str">
        <f>IF(一覧!AB35="","",一覧!AB35)</f>
        <v/>
      </c>
      <c r="AC43" s="281" t="str">
        <f>IF(一覧!AC35="","",一覧!AC35)</f>
        <v>★</v>
      </c>
      <c r="AD43" s="280" t="str">
        <f>IF(一覧!AD35="","",一覧!AD35)</f>
        <v>★★</v>
      </c>
      <c r="AE43" s="280" t="str">
        <f>IF(一覧!AE35="","",一覧!AE35)</f>
        <v>ミヤネ屋</v>
      </c>
      <c r="AF43" s="280" t="str">
        <f>IF(一覧!AF35="","",一覧!AF35)</f>
        <v>じゅっと</v>
      </c>
      <c r="AG43" s="282" t="str">
        <f>IF(一覧!AG35="","",一覧!AG35)</f>
        <v/>
      </c>
      <c r="AH43" s="519" t="str">
        <f>IF(一覧!AH35="","",一覧!AH35)</f>
        <v>坂口裕</v>
      </c>
      <c r="AI43" s="347">
        <f t="shared" si="0"/>
        <v>4</v>
      </c>
      <c r="AJ43" s="347">
        <f t="shared" ref="AJ43" si="42">COUNTIF(C43:AG43,"　　　━")+COUNTIF(D44:AG44,"　　　━")</f>
        <v>2</v>
      </c>
      <c r="AK43" s="347">
        <f t="shared" ref="AK43:AK64" si="43">COUNTIF(C43:AG43,"NsubTD")</f>
        <v>0</v>
      </c>
      <c r="AL43" s="347">
        <f t="shared" ref="AL43:AL58" si="44">COUNTIF(C43:AG43,"ｔｅｎ！")</f>
        <v>2</v>
      </c>
      <c r="AM43" s="347">
        <f t="shared" ref="AM43:AM62" si="45">COUNTIF(C43:AG43,"ＲＤ")</f>
        <v>0</v>
      </c>
      <c r="AN43" s="366">
        <f t="shared" ref="AN43" si="46">COUNTIF(C43:AG43,"じゅっと")</f>
        <v>2</v>
      </c>
      <c r="AO43" s="347">
        <f t="shared" si="12"/>
        <v>0</v>
      </c>
      <c r="AP43" s="347">
        <f t="shared" ref="AP43" si="47">COUNTIF(C43:AG43,"ノビしろ")</f>
        <v>0</v>
      </c>
    </row>
    <row r="44" spans="1:42" ht="15" customHeight="1">
      <c r="A44" s="347">
        <f>COUNTIF(C43:AG43,"★")</f>
        <v>4</v>
      </c>
      <c r="B44" s="303" t="str">
        <f>IF(一覧!B36="","",一覧!B36)</f>
        <v/>
      </c>
      <c r="C44" s="283" t="str">
        <f>IF(一覧!C36="","",一覧!C36)</f>
        <v>ＴＤ</v>
      </c>
      <c r="D44" s="283" t="str">
        <f>IF(一覧!D36="","",一覧!D36)</f>
        <v>ＳＷ</v>
      </c>
      <c r="E44" s="283" t="str">
        <f>IF(一覧!E36="","",一覧!E36)</f>
        <v>5/31分</v>
      </c>
      <c r="F44" s="283" t="str">
        <f>IF(一覧!F36="","",一覧!F36)</f>
        <v>ＳＷ</v>
      </c>
      <c r="G44" s="283" t="str">
        <f>IF(一覧!G36="","",一覧!G36)</f>
        <v>ＴＤ</v>
      </c>
      <c r="H44" s="284" t="str">
        <f>IF(一覧!H36="","",一覧!H36)</f>
        <v>※</v>
      </c>
      <c r="I44" s="283" t="str">
        <f>IF(一覧!I36="","",一覧!I36)</f>
        <v/>
      </c>
      <c r="J44" s="283" t="str">
        <f>IF(一覧!J36="","",一覧!J36)</f>
        <v>吉田粗品</v>
      </c>
      <c r="K44" s="283" t="str">
        <f>IF(一覧!K36="","",一覧!K36)</f>
        <v/>
      </c>
      <c r="L44" s="283" t="str">
        <f>IF(一覧!L36="","",一覧!L36)</f>
        <v/>
      </c>
      <c r="M44" s="283" t="str">
        <f>IF(一覧!M36="","",一覧!M36)</f>
        <v/>
      </c>
      <c r="N44" s="283" t="str">
        <f>IF(一覧!N36="","",一覧!N36)</f>
        <v/>
      </c>
      <c r="O44" s="284" t="str">
        <f>IF(一覧!O36="","",一覧!O36)</f>
        <v/>
      </c>
      <c r="P44" s="283" t="str">
        <f>IF(一覧!P36="","",一覧!P36)</f>
        <v/>
      </c>
      <c r="Q44" s="283" t="str">
        <f>IF(一覧!Q36="","",一覧!Q36)</f>
        <v/>
      </c>
      <c r="R44" s="283" t="str">
        <f>IF(一覧!R36="","",一覧!R36)</f>
        <v/>
      </c>
      <c r="S44" s="283" t="str">
        <f>IF(一覧!S36="","",一覧!S36)</f>
        <v>ＴＤ</v>
      </c>
      <c r="T44" s="283" t="str">
        <f>IF(一覧!T36="","",一覧!T36)</f>
        <v>ＳＷ</v>
      </c>
      <c r="U44" s="283" t="str">
        <f>IF(一覧!U36="","",一覧!U36)</f>
        <v>13゜～</v>
      </c>
      <c r="V44" s="284" t="str">
        <f>IF(一覧!V36="","",一覧!V36)</f>
        <v>ＴＤ</v>
      </c>
      <c r="W44" s="283" t="str">
        <f>IF(一覧!W36="","",一覧!W36)</f>
        <v/>
      </c>
      <c r="X44" s="283" t="str">
        <f>IF(一覧!X36="","",一覧!X36)</f>
        <v/>
      </c>
      <c r="Y44" s="283" t="str">
        <f>IF(一覧!Y36="","",一覧!Y36)</f>
        <v/>
      </c>
      <c r="Z44" s="283" t="str">
        <f>IF(一覧!Z36="","",一覧!Z36)</f>
        <v/>
      </c>
      <c r="AA44" s="283" t="str">
        <f>IF(一覧!AA36="","",一覧!AA36)</f>
        <v>ＴＤ</v>
      </c>
      <c r="AB44" s="283" t="str">
        <f>IF(一覧!AB36="","",一覧!AB36)</f>
        <v>技術会議</v>
      </c>
      <c r="AC44" s="284" t="str">
        <f>IF(一覧!AC36="","",一覧!AC36)</f>
        <v/>
      </c>
      <c r="AD44" s="283" t="str">
        <f>IF(一覧!AD36="","",一覧!AD36)</f>
        <v/>
      </c>
      <c r="AE44" s="283" t="str">
        <f>IF(一覧!AE36="","",一覧!AE36)</f>
        <v>ＳＷ</v>
      </c>
      <c r="AF44" s="283" t="str">
        <f>IF(一覧!AF36="","",一覧!AF36)</f>
        <v>ＴＤ</v>
      </c>
      <c r="AG44" s="285" t="str">
        <f>IF(一覧!AG36="","",一覧!AG36)</f>
        <v/>
      </c>
      <c r="AH44" s="304" t="str">
        <f>IF(一覧!AH36="","",一覧!AH36)</f>
        <v/>
      </c>
      <c r="AI44" s="347">
        <f t="shared" si="0"/>
        <v>0</v>
      </c>
      <c r="AK44" s="347">
        <f t="shared" si="43"/>
        <v>0</v>
      </c>
      <c r="AL44" s="347">
        <f t="shared" si="44"/>
        <v>0</v>
      </c>
      <c r="AM44" s="347">
        <f t="shared" si="45"/>
        <v>0</v>
      </c>
      <c r="AN44" s="366"/>
    </row>
    <row r="45" spans="1:42" ht="15" customHeight="1">
      <c r="A45" s="347">
        <f>COUNTIF(C45:AG45,"★★")</f>
        <v>4</v>
      </c>
      <c r="B45" s="518" t="str">
        <f>IF(一覧!B45="","",一覧!B45)</f>
        <v>藤井　義行</v>
      </c>
      <c r="C45" s="280" t="str">
        <f>IF(一覧!C45="","",一覧!C45)</f>
        <v>木ドラ</v>
      </c>
      <c r="D45" s="280" t="str">
        <f>IF(一覧!D45="","",一覧!D45)</f>
        <v>代休</v>
      </c>
      <c r="E45" s="280" t="str">
        <f>IF(一覧!E45="","",一覧!E45)</f>
        <v>代休</v>
      </c>
      <c r="F45" s="280" t="str">
        <f>IF(一覧!F45="","",一覧!F45)</f>
        <v>ミヤネ屋</v>
      </c>
      <c r="G45" s="280" t="str">
        <f>IF(一覧!G45="","",一覧!G45)</f>
        <v>じゅっと</v>
      </c>
      <c r="H45" s="281" t="str">
        <f>IF(一覧!H45="","",一覧!H45)</f>
        <v>ジグザグ</v>
      </c>
      <c r="I45" s="280" t="str">
        <f>IF(一覧!I45="","",一覧!I45)</f>
        <v>★★</v>
      </c>
      <c r="J45" s="280" t="str">
        <f>IF(一覧!J45="","",一覧!J45)</f>
        <v>★</v>
      </c>
      <c r="K45" s="280" t="str">
        <f>IF(一覧!K45="","",一覧!K45)</f>
        <v>ほんわか</v>
      </c>
      <c r="L45" s="280" t="str">
        <f>IF(一覧!L45="","",一覧!L45)</f>
        <v>ミヤネ屋</v>
      </c>
      <c r="M45" s="280" t="str">
        <f>IF(一覧!M45="","",一覧!M45)</f>
        <v/>
      </c>
      <c r="N45" s="280" t="str">
        <f>IF(一覧!N45="","",一覧!N45)</f>
        <v/>
      </c>
      <c r="O45" s="281" t="str">
        <f>IF(一覧!O45="","",一覧!O45)</f>
        <v>ジグザグ</v>
      </c>
      <c r="P45" s="280" t="str">
        <f>IF(一覧!P45="","",一覧!P45)</f>
        <v>★★</v>
      </c>
      <c r="Q45" s="280" t="str">
        <f>IF(一覧!Q45="","",一覧!Q45)</f>
        <v>★</v>
      </c>
      <c r="R45" s="280" t="str">
        <f>IF(一覧!R45="","",一覧!R45)</f>
        <v>ミヤネ屋</v>
      </c>
      <c r="S45" s="280" t="str">
        <f>IF(一覧!S45="","",一覧!S45)</f>
        <v>読響</v>
      </c>
      <c r="T45" s="280" t="str">
        <f>IF(一覧!T45="","",一覧!T45)</f>
        <v>　　　━</v>
      </c>
      <c r="U45" s="280" t="str">
        <f>IF(一覧!U45="","",一覧!U45)</f>
        <v>━　　　</v>
      </c>
      <c r="V45" s="281" t="str">
        <f>IF(一覧!V45="","",一覧!V45)</f>
        <v>★★</v>
      </c>
      <c r="W45" s="280" t="str">
        <f>IF(一覧!W45="","",一覧!W45)</f>
        <v>NsubTD</v>
      </c>
      <c r="X45" s="280" t="str">
        <f>IF(一覧!X45="","",一覧!X45)</f>
        <v>じゅっと</v>
      </c>
      <c r="Y45" s="280" t="str">
        <f>IF(一覧!Y45="","",一覧!Y45)</f>
        <v>ほんわか</v>
      </c>
      <c r="Z45" s="280" t="str">
        <f>IF(一覧!Z45="","",一覧!Z45)</f>
        <v>★</v>
      </c>
      <c r="AA45" s="280" t="str">
        <f>IF(一覧!AA45="","",一覧!AA45)</f>
        <v/>
      </c>
      <c r="AB45" s="280" t="str">
        <f>IF(一覧!AB45="","",一覧!AB45)</f>
        <v>ミヤネ屋</v>
      </c>
      <c r="AC45" s="281" t="str">
        <f>IF(一覧!AC45="","",一覧!AC45)</f>
        <v>★</v>
      </c>
      <c r="AD45" s="280" t="str">
        <f>IF(一覧!AD45="","",一覧!AD45)</f>
        <v>★★</v>
      </c>
      <c r="AE45" s="280" t="str">
        <f>IF(一覧!AE45="","",一覧!AE45)</f>
        <v>土ダメ</v>
      </c>
      <c r="AF45" s="280" t="str">
        <f>IF(一覧!AF45="","",一覧!AF45)</f>
        <v/>
      </c>
      <c r="AG45" s="282" t="str">
        <f>IF(一覧!AG45="","",一覧!AG45)</f>
        <v/>
      </c>
      <c r="AH45" s="519" t="str">
        <f>IF(一覧!AH45="","",一覧!AH45)</f>
        <v>藤井</v>
      </c>
      <c r="AI45" s="347">
        <f>SUM(AJ45,AN45,AO45,AP45)</f>
        <v>3</v>
      </c>
      <c r="AJ45" s="347">
        <f t="shared" ref="AJ45" si="48">COUNTIF(C45:AG45,"　　　━")+COUNTIF(D46:AG46,"　　　━")</f>
        <v>1</v>
      </c>
      <c r="AK45" s="347">
        <f>COUNTIF(C45:AG45,"NsubTD")</f>
        <v>1</v>
      </c>
      <c r="AL45" s="347">
        <f>COUNTIF(C45:AG45,"ｔｅｎ！")</f>
        <v>0</v>
      </c>
      <c r="AM45" s="347">
        <f>COUNTIF(C45:AG45,"ＲＤ")</f>
        <v>0</v>
      </c>
      <c r="AN45" s="366">
        <f t="shared" ref="AN45" si="49">COUNTIF(C45:AG45,"じゅっと")</f>
        <v>2</v>
      </c>
      <c r="AO45" s="347">
        <f>COUNTIF(C45:AG45,"ウェーク")</f>
        <v>0</v>
      </c>
      <c r="AP45" s="347">
        <f t="shared" ref="AP45" si="50">COUNTIF(C45:AG45,"ノビしろ")</f>
        <v>0</v>
      </c>
    </row>
    <row r="46" spans="1:42" ht="15" customHeight="1">
      <c r="A46" s="347">
        <f>COUNTIF(C45:AG45,"★")</f>
        <v>4</v>
      </c>
      <c r="B46" s="303" t="str">
        <f>IF(一覧!B46="","",一覧!B46)</f>
        <v/>
      </c>
      <c r="C46" s="283" t="str">
        <f>IF(一覧!C46="","",一覧!C46)</f>
        <v/>
      </c>
      <c r="D46" s="283" t="str">
        <f>IF(一覧!D46="","",一覧!D46)</f>
        <v>5/30分</v>
      </c>
      <c r="E46" s="283" t="str">
        <f>IF(一覧!E46="","",一覧!E46)</f>
        <v>5/31分</v>
      </c>
      <c r="F46" s="283" t="str">
        <f>IF(一覧!F46="","",一覧!F46)</f>
        <v>ＴＤ</v>
      </c>
      <c r="G46" s="283" t="str">
        <f>IF(一覧!G46="","",一覧!G46)</f>
        <v>ＴＤ</v>
      </c>
      <c r="H46" s="284" t="str">
        <f>IF(一覧!H46="","",一覧!H46)</f>
        <v>ＴＤ</v>
      </c>
      <c r="I46" s="283" t="str">
        <f>IF(一覧!I46="","",一覧!I46)</f>
        <v/>
      </c>
      <c r="J46" s="283" t="str">
        <f>IF(一覧!J46="","",一覧!J46)</f>
        <v/>
      </c>
      <c r="K46" s="283" t="str">
        <f>IF(一覧!K46="","",一覧!K46)</f>
        <v/>
      </c>
      <c r="L46" s="283" t="str">
        <f>IF(一覧!L46="","",一覧!L46)</f>
        <v>ＴＤ</v>
      </c>
      <c r="M46" s="283" t="str">
        <f>IF(一覧!M46="","",一覧!M46)</f>
        <v/>
      </c>
      <c r="N46" s="283" t="str">
        <f>IF(一覧!N46="","",一覧!N46)</f>
        <v/>
      </c>
      <c r="O46" s="284" t="str">
        <f>IF(一覧!O46="","",一覧!O46)</f>
        <v>ＴＤ</v>
      </c>
      <c r="P46" s="283" t="str">
        <f>IF(一覧!P46="","",一覧!P46)</f>
        <v/>
      </c>
      <c r="Q46" s="283" t="str">
        <f>IF(一覧!Q46="","",一覧!Q46)</f>
        <v/>
      </c>
      <c r="R46" s="283" t="str">
        <f>IF(一覧!R46="","",一覧!R46)</f>
        <v>ＳＷ</v>
      </c>
      <c r="S46" s="283" t="str">
        <f>IF(一覧!S46="","",一覧!S46)</f>
        <v>ＣＡＭ</v>
      </c>
      <c r="T46" s="283" t="str">
        <f>IF(一覧!T46="","",一覧!T46)</f>
        <v/>
      </c>
      <c r="U46" s="283" t="str">
        <f>IF(一覧!U46="","",一覧!U46)</f>
        <v>ｶﾒﾗG会</v>
      </c>
      <c r="V46" s="284" t="str">
        <f>IF(一覧!V46="","",一覧!V46)</f>
        <v/>
      </c>
      <c r="W46" s="283" t="str">
        <f>IF(一覧!W46="","",一覧!W46)</f>
        <v/>
      </c>
      <c r="X46" s="283" t="str">
        <f>IF(一覧!X46="","",一覧!X46)</f>
        <v>ＴＤ</v>
      </c>
      <c r="Y46" s="283" t="str">
        <f>IF(一覧!Y46="","",一覧!Y46)</f>
        <v>ＳＷ</v>
      </c>
      <c r="Z46" s="283" t="str">
        <f>IF(一覧!Z46="","",一覧!Z46)</f>
        <v/>
      </c>
      <c r="AA46" s="283" t="str">
        <f>IF(一覧!AA46="","",一覧!AA46)</f>
        <v/>
      </c>
      <c r="AB46" s="283" t="str">
        <f>IF(一覧!AB46="","",一覧!AB46)</f>
        <v>ＴＤ</v>
      </c>
      <c r="AC46" s="284" t="str">
        <f>IF(一覧!AC46="","",一覧!AC46)</f>
        <v/>
      </c>
      <c r="AD46" s="283" t="str">
        <f>IF(一覧!AD46="","",一覧!AD46)</f>
        <v/>
      </c>
      <c r="AE46" s="283" t="str">
        <f>IF(一覧!AE46="","",一覧!AE46)</f>
        <v>ＳＷ</v>
      </c>
      <c r="AF46" s="283" t="str">
        <f>IF(一覧!AF46="","",一覧!AF46)</f>
        <v/>
      </c>
      <c r="AG46" s="285" t="str">
        <f>IF(一覧!AG46="","",一覧!AG46)</f>
        <v/>
      </c>
      <c r="AH46" s="304" t="str">
        <f>IF(一覧!AH46="","",一覧!AH46)</f>
        <v/>
      </c>
      <c r="AI46" s="347">
        <f>SUM(AJ46,AN46,AO46,AP46)</f>
        <v>0</v>
      </c>
      <c r="AK46" s="347">
        <f>COUNTIF(C46:AG46,"NsubTD")</f>
        <v>0</v>
      </c>
      <c r="AL46" s="347">
        <f>COUNTIF(C46:AG46,"ｔｅｎ！")</f>
        <v>0</v>
      </c>
      <c r="AM46" s="347">
        <f>COUNTIF(C46:AG46,"ＲＤ")</f>
        <v>0</v>
      </c>
      <c r="AN46" s="366"/>
    </row>
    <row r="47" spans="1:42" ht="15" customHeight="1">
      <c r="A47" s="347">
        <f t="shared" ref="A47" si="51">COUNTIF(C47:AG47,"★★")</f>
        <v>4</v>
      </c>
      <c r="B47" s="518" t="str">
        <f>IF(一覧!B115="","",一覧!B115)</f>
        <v>籠池　由浩</v>
      </c>
      <c r="C47" s="390" t="str">
        <f>IF(一覧!C115="","",一覧!C115)</f>
        <v/>
      </c>
      <c r="D47" s="390" t="str">
        <f>IF(一覧!D115="","",一覧!D115)</f>
        <v/>
      </c>
      <c r="E47" s="390" t="str">
        <f>IF(一覧!E115="","",一覧!E115)</f>
        <v/>
      </c>
      <c r="F47" s="390" t="str">
        <f>IF(一覧!F115="","",一覧!F115)</f>
        <v/>
      </c>
      <c r="G47" s="390" t="str">
        <f>IF(一覧!G115="","",一覧!G115)</f>
        <v/>
      </c>
      <c r="H47" s="391" t="str">
        <f>IF(一覧!H115="","",一覧!H115)</f>
        <v>★</v>
      </c>
      <c r="I47" s="390" t="str">
        <f>IF(一覧!I115="","",一覧!I115)</f>
        <v>★★</v>
      </c>
      <c r="J47" s="390" t="str">
        <f>IF(一覧!J115="","",一覧!J115)</f>
        <v/>
      </c>
      <c r="K47" s="390" t="str">
        <f>IF(一覧!K115="","",一覧!K115)</f>
        <v/>
      </c>
      <c r="L47" s="390" t="str">
        <f>IF(一覧!L115="","",一覧!L115)</f>
        <v/>
      </c>
      <c r="M47" s="390" t="str">
        <f>IF(一覧!M115="","",一覧!M115)</f>
        <v/>
      </c>
      <c r="N47" s="390" t="str">
        <f>IF(一覧!N115="","",一覧!N115)</f>
        <v/>
      </c>
      <c r="O47" s="391" t="str">
        <f>IF(一覧!O115="","",一覧!O115)</f>
        <v>★</v>
      </c>
      <c r="P47" s="390" t="str">
        <f>IF(一覧!P115="","",一覧!P115)</f>
        <v>★★</v>
      </c>
      <c r="Q47" s="390" t="str">
        <f>IF(一覧!Q115="","",一覧!Q115)</f>
        <v/>
      </c>
      <c r="R47" s="390" t="str">
        <f>IF(一覧!R115="","",一覧!R115)</f>
        <v/>
      </c>
      <c r="S47" s="390" t="str">
        <f>IF(一覧!S115="","",一覧!S115)</f>
        <v/>
      </c>
      <c r="T47" s="390" t="str">
        <f>IF(一覧!T115="","",一覧!T115)</f>
        <v/>
      </c>
      <c r="U47" s="390" t="str">
        <f>IF(一覧!U115="","",一覧!U115)</f>
        <v/>
      </c>
      <c r="V47" s="391" t="str">
        <f>IF(一覧!V115="","",一覧!V115)</f>
        <v>★</v>
      </c>
      <c r="W47" s="390" t="str">
        <f>IF(一覧!W115="","",一覧!W115)</f>
        <v>★★</v>
      </c>
      <c r="X47" s="390" t="str">
        <f>IF(一覧!X115="","",一覧!X115)</f>
        <v/>
      </c>
      <c r="Y47" s="390" t="str">
        <f>IF(一覧!Y115="","",一覧!Y115)</f>
        <v/>
      </c>
      <c r="Z47" s="390" t="str">
        <f>IF(一覧!Z115="","",一覧!Z115)</f>
        <v/>
      </c>
      <c r="AA47" s="390" t="str">
        <f>IF(一覧!AA115="","",一覧!AA115)</f>
        <v/>
      </c>
      <c r="AB47" s="390" t="str">
        <f>IF(一覧!AB115="","",一覧!AB115)</f>
        <v/>
      </c>
      <c r="AC47" s="391" t="str">
        <f>IF(一覧!AC115="","",一覧!AC115)</f>
        <v>★</v>
      </c>
      <c r="AD47" s="390" t="str">
        <f>IF(一覧!AD115="","",一覧!AD115)</f>
        <v>★★</v>
      </c>
      <c r="AE47" s="390" t="str">
        <f>IF(一覧!AE115="","",一覧!AE115)</f>
        <v/>
      </c>
      <c r="AF47" s="390" t="str">
        <f>IF(一覧!AF115="","",一覧!AF115)</f>
        <v/>
      </c>
      <c r="AG47" s="392" t="str">
        <f>IF(一覧!AG115="","",一覧!AG115)</f>
        <v/>
      </c>
      <c r="AH47" s="519" t="str">
        <f>IF(一覧!AH115="","",一覧!AH115)</f>
        <v>籠池</v>
      </c>
      <c r="AI47" s="347">
        <f t="shared" ref="AI47:AI48" si="52">SUM(AJ47,AN47,AO47,AP47)</f>
        <v>0</v>
      </c>
      <c r="AJ47" s="347">
        <f t="shared" ref="AJ47" si="53">COUNTIF(C47:AG47,"　　　━")+COUNTIF(D48:AG48,"　　　━")</f>
        <v>0</v>
      </c>
      <c r="AK47" s="347">
        <f t="shared" ref="AK47:AK48" si="54">COUNTIF(C47:AG47,"NsubTD")</f>
        <v>0</v>
      </c>
      <c r="AL47" s="347">
        <f t="shared" ref="AL47:AL48" si="55">COUNTIF(C47:AG47,"ｔｅｎ！")</f>
        <v>0</v>
      </c>
      <c r="AM47" s="347">
        <f t="shared" ref="AM47:AM48" si="56">COUNTIF(C47:AG47,"ＲＤ")</f>
        <v>0</v>
      </c>
      <c r="AN47" s="366">
        <f t="shared" ref="AN47" si="57">COUNTIF(C47:AG47,"じゅっと")</f>
        <v>0</v>
      </c>
      <c r="AO47" s="347">
        <f t="shared" ref="AO47" si="58">COUNTIF(C47:AG47,"ウェーク")</f>
        <v>0</v>
      </c>
      <c r="AP47" s="347">
        <f t="shared" ref="AP47" si="59">COUNTIF(C47:AG47,"ノビしろ")</f>
        <v>0</v>
      </c>
    </row>
    <row r="48" spans="1:42" ht="15" customHeight="1">
      <c r="A48" s="347">
        <f t="shared" ref="A48" si="60">COUNTIF(C47:AG47,"★")</f>
        <v>4</v>
      </c>
      <c r="B48" s="303" t="str">
        <f>IF(一覧!B116="","",一覧!B116)</f>
        <v/>
      </c>
      <c r="C48" s="393" t="str">
        <f>IF(一覧!C116="","",一覧!C116)</f>
        <v>局会</v>
      </c>
      <c r="D48" s="393" t="str">
        <f>IF(一覧!D116="","",一覧!D116)</f>
        <v/>
      </c>
      <c r="E48" s="393" t="str">
        <f>IF(一覧!E116="","",一覧!E116)</f>
        <v/>
      </c>
      <c r="F48" s="393" t="str">
        <f>IF(一覧!F116="","",一覧!F116)</f>
        <v/>
      </c>
      <c r="G48" s="393" t="str">
        <f>IF(一覧!G116="","",一覧!G116)</f>
        <v/>
      </c>
      <c r="H48" s="394" t="str">
        <f>IF(一覧!H116="","",一覧!H116)</f>
        <v/>
      </c>
      <c r="I48" s="393" t="str">
        <f>IF(一覧!I116="","",一覧!I116)</f>
        <v/>
      </c>
      <c r="J48" s="393" t="str">
        <f>IF(一覧!J116="","",一覧!J116)</f>
        <v/>
      </c>
      <c r="K48" s="393" t="str">
        <f>IF(一覧!K116="","",一覧!K116)</f>
        <v/>
      </c>
      <c r="L48" s="393" t="str">
        <f>IF(一覧!L116="","",一覧!L116)</f>
        <v/>
      </c>
      <c r="M48" s="393" t="str">
        <f>IF(一覧!M116="","",一覧!M116)</f>
        <v/>
      </c>
      <c r="N48" s="393" t="str">
        <f>IF(一覧!N116="","",一覧!N116)</f>
        <v/>
      </c>
      <c r="O48" s="394" t="str">
        <f>IF(一覧!O116="","",一覧!O116)</f>
        <v/>
      </c>
      <c r="P48" s="393" t="str">
        <f>IF(一覧!P116="","",一覧!P116)</f>
        <v/>
      </c>
      <c r="Q48" s="393" t="str">
        <f>IF(一覧!Q116="","",一覧!Q116)</f>
        <v/>
      </c>
      <c r="R48" s="393" t="str">
        <f>IF(一覧!R116="","",一覧!R116)</f>
        <v/>
      </c>
      <c r="S48" s="393" t="str">
        <f>IF(一覧!S116="","",一覧!S116)</f>
        <v/>
      </c>
      <c r="T48" s="393" t="str">
        <f>IF(一覧!T116="","",一覧!T116)</f>
        <v/>
      </c>
      <c r="U48" s="393" t="str">
        <f>IF(一覧!U116="","",一覧!U116)</f>
        <v/>
      </c>
      <c r="V48" s="394" t="str">
        <f>IF(一覧!V116="","",一覧!V116)</f>
        <v/>
      </c>
      <c r="W48" s="393" t="str">
        <f>IF(一覧!W116="","",一覧!W116)</f>
        <v/>
      </c>
      <c r="X48" s="393" t="str">
        <f>IF(一覧!X116="","",一覧!X116)</f>
        <v/>
      </c>
      <c r="Y48" s="393" t="str">
        <f>IF(一覧!Y116="","",一覧!Y116)</f>
        <v/>
      </c>
      <c r="Z48" s="393" t="str">
        <f>IF(一覧!Z116="","",一覧!Z116)</f>
        <v/>
      </c>
      <c r="AA48" s="393" t="str">
        <f>IF(一覧!AA116="","",一覧!AA116)</f>
        <v/>
      </c>
      <c r="AB48" s="393" t="str">
        <f>IF(一覧!AB116="","",一覧!AB116)</f>
        <v/>
      </c>
      <c r="AC48" s="394" t="str">
        <f>IF(一覧!AC116="","",一覧!AC116)</f>
        <v/>
      </c>
      <c r="AD48" s="393" t="str">
        <f>IF(一覧!AD116="","",一覧!AD116)</f>
        <v/>
      </c>
      <c r="AE48" s="393" t="str">
        <f>IF(一覧!AE116="","",一覧!AE116)</f>
        <v/>
      </c>
      <c r="AF48" s="393" t="str">
        <f>IF(一覧!AF116="","",一覧!AF116)</f>
        <v/>
      </c>
      <c r="AG48" s="395" t="str">
        <f>IF(一覧!AG116="","",一覧!AG116)</f>
        <v/>
      </c>
      <c r="AH48" s="304" t="str">
        <f>IF(一覧!AH116="","",一覧!AH116)</f>
        <v/>
      </c>
      <c r="AI48" s="347">
        <f t="shared" si="52"/>
        <v>0</v>
      </c>
      <c r="AK48" s="347">
        <f t="shared" si="54"/>
        <v>0</v>
      </c>
      <c r="AL48" s="347">
        <f t="shared" si="55"/>
        <v>0</v>
      </c>
      <c r="AM48" s="347">
        <f t="shared" si="56"/>
        <v>0</v>
      </c>
      <c r="AN48" s="366"/>
    </row>
    <row r="49" spans="1:42" ht="15" customHeight="1">
      <c r="A49" s="347">
        <f t="shared" ref="A49" si="61">COUNTIF(C49:AG49,"★★")</f>
        <v>4</v>
      </c>
      <c r="B49" s="518" t="str">
        <f>IF(一覧!B65="","",一覧!B65)</f>
        <v>大矢　晃平</v>
      </c>
      <c r="C49" s="280" t="str">
        <f>IF(一覧!C65="","",一覧!C65)</f>
        <v>NTV応援</v>
      </c>
      <c r="D49" s="280" t="str">
        <f>IF(一覧!D65="","",一覧!D65)</f>
        <v>代休</v>
      </c>
      <c r="E49" s="280" t="str">
        <f>IF(一覧!E65="","",一覧!E65)</f>
        <v>うさかめ</v>
      </c>
      <c r="F49" s="280" t="str">
        <f>IF(一覧!F65="","",一覧!F65)</f>
        <v>ｔｅｎ！</v>
      </c>
      <c r="G49" s="280" t="str">
        <f>IF(一覧!G65="","",一覧!G65)</f>
        <v>吉田粗品</v>
      </c>
      <c r="H49" s="281" t="str">
        <f>IF(一覧!H65="","",一覧!H65)</f>
        <v>★</v>
      </c>
      <c r="I49" s="280" t="str">
        <f>IF(一覧!I65="","",一覧!I65)</f>
        <v>★★</v>
      </c>
      <c r="J49" s="280" t="str">
        <f>IF(一覧!J65="","",一覧!J65)</f>
        <v/>
      </c>
      <c r="K49" s="280" t="str">
        <f>IF(一覧!K65="","",一覧!K65)</f>
        <v>代休</v>
      </c>
      <c r="L49" s="280" t="str">
        <f>IF(一覧!L65="","",一覧!L65)</f>
        <v>音道楽</v>
      </c>
      <c r="M49" s="280" t="str">
        <f>IF(一覧!M65="","",一覧!M65)</f>
        <v>音道楽</v>
      </c>
      <c r="N49" s="280" t="str">
        <f>IF(一覧!N65="","",一覧!N65)</f>
        <v/>
      </c>
      <c r="O49" s="281" t="str">
        <f>IF(一覧!O65="","",一覧!O65)</f>
        <v>★</v>
      </c>
      <c r="P49" s="280" t="str">
        <f>IF(一覧!P65="","",一覧!P65)</f>
        <v>★★</v>
      </c>
      <c r="Q49" s="280" t="str">
        <f>IF(一覧!Q65="","",一覧!Q65)</f>
        <v>ten中継</v>
      </c>
      <c r="R49" s="280" t="str">
        <f>IF(一覧!R65="","",一覧!R65)</f>
        <v/>
      </c>
      <c r="S49" s="280" t="str">
        <f>IF(一覧!S65="","",一覧!S65)</f>
        <v>読響</v>
      </c>
      <c r="T49" s="280" t="str">
        <f>IF(一覧!T65="","",一覧!T65)</f>
        <v>ten中継</v>
      </c>
      <c r="U49" s="280" t="str">
        <f>IF(一覧!U65="","",一覧!U65)</f>
        <v>ｶﾒﾗG会</v>
      </c>
      <c r="V49" s="281" t="str">
        <f>IF(一覧!V65="","",一覧!V65)</f>
        <v>★★</v>
      </c>
      <c r="W49" s="280" t="str">
        <f>IF(一覧!W65="","",一覧!W65)</f>
        <v>音道楽</v>
      </c>
      <c r="X49" s="280" t="str">
        <f>IF(一覧!X65="","",一覧!X65)</f>
        <v>音道楽</v>
      </c>
      <c r="Y49" s="280" t="str">
        <f>IF(一覧!Y65="","",一覧!Y65)</f>
        <v>★</v>
      </c>
      <c r="Z49" s="280" t="str">
        <f>IF(一覧!Z65="","",一覧!Z65)</f>
        <v/>
      </c>
      <c r="AA49" s="280" t="str">
        <f>IF(一覧!AA65="","",一覧!AA65)</f>
        <v>人事配信</v>
      </c>
      <c r="AB49" s="280" t="str">
        <f>IF(一覧!AB65="","",一覧!AB65)</f>
        <v>委員会</v>
      </c>
      <c r="AC49" s="281" t="str">
        <f>IF(一覧!AC65="","",一覧!AC65)</f>
        <v>MUSICDAY</v>
      </c>
      <c r="AD49" s="280" t="str">
        <f>IF(一覧!AD65="","",一覧!AD65)</f>
        <v>★★</v>
      </c>
      <c r="AE49" s="280" t="str">
        <f>IF(一覧!AE65="","",一覧!AE65)</f>
        <v>★</v>
      </c>
      <c r="AF49" s="280" t="str">
        <f>IF(一覧!AF65="","",一覧!AF65)</f>
        <v>MUSICDAY</v>
      </c>
      <c r="AG49" s="282" t="str">
        <f>IF(一覧!AG65="","",一覧!AG65)</f>
        <v/>
      </c>
      <c r="AH49" s="519" t="str">
        <f>IF(一覧!AH65="","",一覧!AH65)</f>
        <v>大矢</v>
      </c>
      <c r="AI49" s="347">
        <f t="shared" ref="AI49:AI52" si="62">SUM(AJ49,AN49,AO49,AP49)</f>
        <v>0</v>
      </c>
      <c r="AJ49" s="347">
        <f t="shared" ref="AJ49" si="63">COUNTIF(C49:AG49,"　　　━")+COUNTIF(D50:AG50,"　　　━")</f>
        <v>0</v>
      </c>
      <c r="AK49" s="347">
        <f t="shared" ref="AK49:AK52" si="64">COUNTIF(C49:AG49,"NsubTD")</f>
        <v>0</v>
      </c>
      <c r="AL49" s="347">
        <f t="shared" ref="AL49:AL52" si="65">COUNTIF(C49:AG49,"ｔｅｎ！")</f>
        <v>1</v>
      </c>
      <c r="AM49" s="347">
        <f t="shared" ref="AM49:AM52" si="66">COUNTIF(C49:AG49,"ＲＤ")</f>
        <v>0</v>
      </c>
      <c r="AN49" s="366">
        <f t="shared" ref="AN49" si="67">COUNTIF(C49:AG49,"じゅっと")</f>
        <v>0</v>
      </c>
      <c r="AO49" s="347">
        <f t="shared" ref="AO49" si="68">COUNTIF(C49:AG49,"ウェーク")</f>
        <v>0</v>
      </c>
      <c r="AP49" s="347">
        <f t="shared" ref="AP49" si="69">COUNTIF(C49:AG49,"ノビしろ")</f>
        <v>0</v>
      </c>
    </row>
    <row r="50" spans="1:42" ht="15" customHeight="1">
      <c r="A50" s="347">
        <f t="shared" ref="A50" si="70">COUNTIF(C49:AG49,"★")</f>
        <v>4</v>
      </c>
      <c r="B50" s="303" t="str">
        <f>IF(一覧!B66="","",一覧!B66)</f>
        <v/>
      </c>
      <c r="C50" s="283" t="str">
        <f>IF(一覧!C66="","",一覧!C66)</f>
        <v>サッカー</v>
      </c>
      <c r="D50" s="283" t="str">
        <f>IF(一覧!D66="","",一覧!D66)</f>
        <v>5/3分</v>
      </c>
      <c r="E50" s="283" t="str">
        <f>IF(一覧!E66="","",一覧!E66)</f>
        <v>ＴＤ.SW</v>
      </c>
      <c r="F50" s="283" t="str">
        <f>IF(一覧!F66="","",一覧!F66)</f>
        <v>ＳＷ’</v>
      </c>
      <c r="G50" s="283" t="str">
        <f>IF(一覧!G66="","",一覧!G66)</f>
        <v>ＣＡＭ</v>
      </c>
      <c r="H50" s="284" t="str">
        <f>IF(一覧!H66="","",一覧!H66)</f>
        <v/>
      </c>
      <c r="I50" s="283" t="str">
        <f>IF(一覧!I66="","",一覧!I66)</f>
        <v/>
      </c>
      <c r="J50" s="283" t="str">
        <f>IF(一覧!J66="","",一覧!J66)</f>
        <v/>
      </c>
      <c r="K50" s="283" t="str">
        <f>IF(一覧!K66="","",一覧!K66)</f>
        <v>5/31分</v>
      </c>
      <c r="L50" s="283" t="str">
        <f>IF(一覧!L66="","",一覧!L66)</f>
        <v>準備</v>
      </c>
      <c r="M50" s="283" t="str">
        <f>IF(一覧!M66="","",一覧!M66)</f>
        <v>ＴＤ.SW</v>
      </c>
      <c r="N50" s="283" t="str">
        <f>IF(一覧!N66="","",一覧!N66)</f>
        <v/>
      </c>
      <c r="O50" s="284" t="str">
        <f>IF(一覧!O66="","",一覧!O66)</f>
        <v>※</v>
      </c>
      <c r="P50" s="283" t="str">
        <f>IF(一覧!P66="","",一覧!P66)</f>
        <v/>
      </c>
      <c r="Q50" s="283" t="str">
        <f>IF(一覧!Q66="","",一覧!Q66)</f>
        <v>下見</v>
      </c>
      <c r="R50" s="283" t="str">
        <f>IF(一覧!R66="","",一覧!R66)</f>
        <v/>
      </c>
      <c r="S50" s="283" t="str">
        <f>IF(一覧!S66="","",一覧!S66)</f>
        <v>ＣＡＭ</v>
      </c>
      <c r="T50" s="283" t="str">
        <f>IF(一覧!T66="","",一覧!T66)</f>
        <v>ＴＤ</v>
      </c>
      <c r="U50" s="283" t="str">
        <f>IF(一覧!U66="","",一覧!U66)</f>
        <v/>
      </c>
      <c r="V50" s="284" t="str">
        <f>IF(一覧!V66="","",一覧!V66)</f>
        <v/>
      </c>
      <c r="W50" s="283" t="str">
        <f>IF(一覧!W66="","",一覧!W66)</f>
        <v>ＣＡＭ</v>
      </c>
      <c r="X50" s="283" t="str">
        <f>IF(一覧!X66="","",一覧!X66)</f>
        <v>ＣＡＭ</v>
      </c>
      <c r="Y50" s="283" t="str">
        <f>IF(一覧!Y66="","",一覧!Y66)</f>
        <v/>
      </c>
      <c r="Z50" s="283" t="str">
        <f>IF(一覧!Z66="","",一覧!Z66)</f>
        <v/>
      </c>
      <c r="AA50" s="283" t="str">
        <f>IF(一覧!AA66="","",一覧!AA66)</f>
        <v/>
      </c>
      <c r="AB50" s="283" t="str">
        <f>IF(一覧!AB66="","",一覧!AB66)</f>
        <v>ＣＡＭ</v>
      </c>
      <c r="AC50" s="284" t="str">
        <f>IF(一覧!AC66="","",一覧!AC66)</f>
        <v>打合せ</v>
      </c>
      <c r="AD50" s="283" t="str">
        <f>IF(一覧!AD66="","",一覧!AD66)</f>
        <v/>
      </c>
      <c r="AE50" s="283" t="str">
        <f>IF(一覧!AE66="","",一覧!AE66)</f>
        <v/>
      </c>
      <c r="AF50" s="283" t="str">
        <f>IF(一覧!AF66="","",一覧!AF66)</f>
        <v/>
      </c>
      <c r="AG50" s="285" t="str">
        <f>IF(一覧!AG66="","",一覧!AG66)</f>
        <v/>
      </c>
      <c r="AH50" s="304" t="str">
        <f>IF(一覧!AH66="","",一覧!AH66)</f>
        <v/>
      </c>
      <c r="AI50" s="347">
        <f t="shared" si="62"/>
        <v>0</v>
      </c>
      <c r="AK50" s="347">
        <f t="shared" si="64"/>
        <v>0</v>
      </c>
      <c r="AL50" s="347">
        <f t="shared" si="65"/>
        <v>0</v>
      </c>
      <c r="AM50" s="347">
        <f t="shared" si="66"/>
        <v>0</v>
      </c>
      <c r="AN50" s="366"/>
    </row>
    <row r="51" spans="1:42" ht="15" customHeight="1">
      <c r="A51" s="347">
        <f t="shared" ref="A51" si="71">COUNTIF(C51:AG51,"★★")</f>
        <v>4</v>
      </c>
      <c r="B51" s="518" t="str">
        <f>IF(一覧!B67="","",一覧!B67)</f>
        <v>池永　裕一</v>
      </c>
      <c r="C51" s="280" t="str">
        <f>IF(一覧!C67="","",一覧!C67)</f>
        <v/>
      </c>
      <c r="D51" s="280" t="str">
        <f>IF(一覧!D67="","",一覧!D67)</f>
        <v>PT研修</v>
      </c>
      <c r="E51" s="280" t="str">
        <f>IF(一覧!E67="","",一覧!E67)</f>
        <v>機材整備</v>
      </c>
      <c r="F51" s="280" t="str">
        <f>IF(一覧!F67="","",一覧!F67)</f>
        <v>ｔｅｎ！</v>
      </c>
      <c r="G51" s="280" t="str">
        <f>IF(一覧!G67="","",一覧!G67)</f>
        <v>ミヤネ屋</v>
      </c>
      <c r="H51" s="281" t="str">
        <f>IF(一覧!H67="","",一覧!H67)</f>
        <v>★</v>
      </c>
      <c r="I51" s="280" t="str">
        <f>IF(一覧!I67="","",一覧!I67)</f>
        <v>★★</v>
      </c>
      <c r="J51" s="280" t="str">
        <f>IF(一覧!J67="","",一覧!J67)</f>
        <v>年休</v>
      </c>
      <c r="K51" s="280" t="str">
        <f>IF(一覧!K67="","",一覧!K67)</f>
        <v>ほんわか</v>
      </c>
      <c r="L51" s="280" t="str">
        <f>IF(一覧!L67="","",一覧!L67)</f>
        <v>機材整備</v>
      </c>
      <c r="M51" s="280" t="str">
        <f>IF(一覧!M67="","",一覧!M67)</f>
        <v>音道楽</v>
      </c>
      <c r="N51" s="280" t="str">
        <f>IF(一覧!N67="","",一覧!N67)</f>
        <v>委員会</v>
      </c>
      <c r="O51" s="281" t="str">
        <f>IF(一覧!O67="","",一覧!O67)</f>
        <v>読響</v>
      </c>
      <c r="P51" s="280" t="str">
        <f>IF(一覧!P67="","",一覧!P67)</f>
        <v>★★</v>
      </c>
      <c r="Q51" s="280" t="str">
        <f>IF(一覧!Q67="","",一覧!Q67)</f>
        <v>ミヤネ屋</v>
      </c>
      <c r="R51" s="280" t="str">
        <f>IF(一覧!R67="","",一覧!R67)</f>
        <v>準備</v>
      </c>
      <c r="S51" s="280" t="str">
        <f>IF(一覧!S67="","",一覧!S67)</f>
        <v>読響</v>
      </c>
      <c r="T51" s="280" t="str">
        <f>IF(一覧!T67="","",一覧!T67)</f>
        <v>★</v>
      </c>
      <c r="U51" s="280" t="str">
        <f>IF(一覧!U67="","",一覧!U67)</f>
        <v>音道楽</v>
      </c>
      <c r="V51" s="281" t="str">
        <f>IF(一覧!V67="","",一覧!V67)</f>
        <v>★★</v>
      </c>
      <c r="W51" s="280" t="str">
        <f>IF(一覧!W67="","",一覧!W67)</f>
        <v>準備</v>
      </c>
      <c r="X51" s="280" t="str">
        <f>IF(一覧!X67="","",一覧!X67)</f>
        <v>音道楽</v>
      </c>
      <c r="Y51" s="280" t="str">
        <f>IF(一覧!Y67="","",一覧!Y67)</f>
        <v>ほんわか</v>
      </c>
      <c r="Z51" s="280" t="str">
        <f>IF(一覧!Z67="","",一覧!Z67)</f>
        <v>音声G会</v>
      </c>
      <c r="AA51" s="280" t="str">
        <f>IF(一覧!AA67="","",一覧!AA67)</f>
        <v>X準備</v>
      </c>
      <c r="AB51" s="280" t="str">
        <f>IF(一覧!AB67="","",一覧!AB67)</f>
        <v>★</v>
      </c>
      <c r="AC51" s="281" t="str">
        <f>IF(一覧!AC67="","",一覧!AC67)</f>
        <v>★</v>
      </c>
      <c r="AD51" s="280" t="str">
        <f>IF(一覧!AD67="","",一覧!AD67)</f>
        <v>★★</v>
      </c>
      <c r="AE51" s="280" t="str">
        <f>IF(一覧!AE67="","",一覧!AE67)</f>
        <v>X準備</v>
      </c>
      <c r="AF51" s="280" t="str">
        <f>IF(一覧!AF67="","",一覧!AF67)</f>
        <v>X準備</v>
      </c>
      <c r="AG51" s="282" t="str">
        <f>IF(一覧!AG67="","",一覧!AG67)</f>
        <v/>
      </c>
      <c r="AH51" s="519" t="str">
        <f>IF(一覧!AH67="","",一覧!AH67)</f>
        <v>池永</v>
      </c>
      <c r="AI51" s="347">
        <f t="shared" si="62"/>
        <v>0</v>
      </c>
      <c r="AJ51" s="347">
        <f t="shared" ref="AJ51" si="72">COUNTIF(C51:AG51,"　　　━")+COUNTIF(D52:AG52,"　　　━")</f>
        <v>0</v>
      </c>
      <c r="AK51" s="347">
        <f t="shared" si="64"/>
        <v>0</v>
      </c>
      <c r="AL51" s="347">
        <f t="shared" si="65"/>
        <v>1</v>
      </c>
      <c r="AM51" s="347">
        <f t="shared" si="66"/>
        <v>0</v>
      </c>
      <c r="AN51" s="366">
        <f t="shared" ref="AN51" si="73">COUNTIF(C51:AG51,"じゅっと")</f>
        <v>0</v>
      </c>
      <c r="AO51" s="347">
        <f t="shared" ref="AO51" si="74">COUNTIF(C51:AG51,"ウェーク")</f>
        <v>0</v>
      </c>
      <c r="AP51" s="347">
        <f t="shared" ref="AP51" si="75">COUNTIF(C51:AG51,"ノビしろ")</f>
        <v>0</v>
      </c>
    </row>
    <row r="52" spans="1:42" ht="15" customHeight="1">
      <c r="A52" s="347">
        <f t="shared" ref="A52" si="76">COUNTIF(C51:AG51,"★")</f>
        <v>4</v>
      </c>
      <c r="B52" s="303" t="str">
        <f>IF(一覧!B68="","",一覧!B68)</f>
        <v/>
      </c>
      <c r="C52" s="283" t="str">
        <f>IF(一覧!C68="","",一覧!C68)</f>
        <v>局会</v>
      </c>
      <c r="D52" s="283" t="str">
        <f>IF(一覧!D68="","",一覧!D68)</f>
        <v/>
      </c>
      <c r="E52" s="283" t="str">
        <f>IF(一覧!E68="","",一覧!E68)</f>
        <v/>
      </c>
      <c r="F52" s="283" t="str">
        <f>IF(一覧!F68="","",一覧!F68)</f>
        <v>ＭＩＸ</v>
      </c>
      <c r="G52" s="283" t="str">
        <f>IF(一覧!G68="","",一覧!G68)</f>
        <v>ＭＩＸ</v>
      </c>
      <c r="H52" s="284" t="str">
        <f>IF(一覧!H68="","",一覧!H68)</f>
        <v/>
      </c>
      <c r="I52" s="283" t="str">
        <f>IF(一覧!I68="","",一覧!I68)</f>
        <v/>
      </c>
      <c r="J52" s="283" t="str">
        <f>IF(一覧!J68="","",一覧!J68)</f>
        <v/>
      </c>
      <c r="K52" s="283" t="str">
        <f>IF(一覧!K68="","",一覧!K68)</f>
        <v>ＴＤ</v>
      </c>
      <c r="L52" s="283" t="str">
        <f>IF(一覧!L68="","",一覧!L68)</f>
        <v/>
      </c>
      <c r="M52" s="283" t="str">
        <f>IF(一覧!M68="","",一覧!M68)</f>
        <v>収録</v>
      </c>
      <c r="N52" s="283" t="str">
        <f>IF(一覧!N68="","",一覧!N68)</f>
        <v>ＭＩＸ</v>
      </c>
      <c r="O52" s="284" t="str">
        <f>IF(一覧!O68="","",一覧!O68)</f>
        <v>下見</v>
      </c>
      <c r="P52" s="283" t="str">
        <f>IF(一覧!P68="","",一覧!P68)</f>
        <v/>
      </c>
      <c r="Q52" s="283" t="str">
        <f>IF(一覧!Q68="","",一覧!Q68)</f>
        <v>ＭＩＸ</v>
      </c>
      <c r="R52" s="283" t="str">
        <f>IF(一覧!R68="","",一覧!R68)</f>
        <v/>
      </c>
      <c r="S52" s="283" t="str">
        <f>IF(一覧!S68="","",一覧!S68)</f>
        <v>ＭＩＸ</v>
      </c>
      <c r="T52" s="283" t="str">
        <f>IF(一覧!T68="","",一覧!T68)</f>
        <v/>
      </c>
      <c r="U52" s="283" t="str">
        <f>IF(一覧!U68="","",一覧!U68)</f>
        <v>準備</v>
      </c>
      <c r="V52" s="284" t="str">
        <f>IF(一覧!V68="","",一覧!V68)</f>
        <v/>
      </c>
      <c r="W52" s="283" t="str">
        <f>IF(一覧!W68="","",一覧!W68)</f>
        <v/>
      </c>
      <c r="X52" s="283" t="str">
        <f>IF(一覧!X68="","",一覧!X68)</f>
        <v>ＭＩＸ2</v>
      </c>
      <c r="Y52" s="283" t="str">
        <f>IF(一覧!Y68="","",一覧!Y68)</f>
        <v>ＴＤ.MIX</v>
      </c>
      <c r="Z52" s="283" t="str">
        <f>IF(一覧!Z68="","",一覧!Z68)</f>
        <v>MA更新会</v>
      </c>
      <c r="AA52" s="283" t="str">
        <f>IF(一覧!AA68="","",一覧!AA68)</f>
        <v/>
      </c>
      <c r="AB52" s="283" t="str">
        <f>IF(一覧!AB68="","",一覧!AB68)</f>
        <v/>
      </c>
      <c r="AC52" s="284" t="str">
        <f>IF(一覧!AC68="","",一覧!AC68)</f>
        <v/>
      </c>
      <c r="AD52" s="283" t="str">
        <f>IF(一覧!AD68="","",一覧!AD68)</f>
        <v/>
      </c>
      <c r="AE52" s="283" t="str">
        <f>IF(一覧!AE68="","",一覧!AE68)</f>
        <v/>
      </c>
      <c r="AF52" s="283" t="str">
        <f>IF(一覧!AF68="","",一覧!AF68)</f>
        <v/>
      </c>
      <c r="AG52" s="285" t="str">
        <f>IF(一覧!AG68="","",一覧!AG68)</f>
        <v/>
      </c>
      <c r="AH52" s="304" t="str">
        <f>IF(一覧!AH68="","",一覧!AH68)</f>
        <v/>
      </c>
      <c r="AI52" s="347">
        <f t="shared" si="62"/>
        <v>0</v>
      </c>
      <c r="AK52" s="347">
        <f t="shared" si="64"/>
        <v>0</v>
      </c>
      <c r="AL52" s="347">
        <f t="shared" si="65"/>
        <v>0</v>
      </c>
      <c r="AM52" s="347">
        <f t="shared" si="66"/>
        <v>0</v>
      </c>
      <c r="AN52" s="366"/>
    </row>
    <row r="53" spans="1:42" ht="15" customHeight="1">
      <c r="A53" s="347">
        <f t="shared" ref="A53" si="77">COUNTIF(C53:AG53,"★★")</f>
        <v>4</v>
      </c>
      <c r="B53" s="518" t="str">
        <f>IF(一覧!B79="","",一覧!B79)</f>
        <v>小曽根千穂</v>
      </c>
      <c r="C53" s="280" t="str">
        <f>IF(一覧!C79="","",一覧!C79)</f>
        <v>局会</v>
      </c>
      <c r="D53" s="280" t="str">
        <f>IF(一覧!D79="","",一覧!D79)</f>
        <v>ミヤネ屋</v>
      </c>
      <c r="E53" s="280" t="str">
        <f>IF(一覧!E79="","",一覧!E79)</f>
        <v>うさかめ</v>
      </c>
      <c r="F53" s="280" t="str">
        <f>IF(一覧!F79="","",一覧!F79)</f>
        <v>ｔｅｎ！</v>
      </c>
      <c r="G53" s="280" t="str">
        <f>IF(一覧!G79="","",一覧!G79)</f>
        <v>吉田粗品</v>
      </c>
      <c r="H53" s="281" t="str">
        <f>IF(一覧!H79="","",一覧!H79)</f>
        <v>★</v>
      </c>
      <c r="I53" s="280" t="str">
        <f>IF(一覧!I79="","",一覧!I79)</f>
        <v>★★</v>
      </c>
      <c r="J53" s="280" t="str">
        <f>IF(一覧!J79="","",一覧!J79)</f>
        <v/>
      </c>
      <c r="K53" s="280" t="str">
        <f>IF(一覧!K79="","",一覧!K79)</f>
        <v>ほんわか</v>
      </c>
      <c r="L53" s="280" t="str">
        <f>IF(一覧!L79="","",一覧!L79)</f>
        <v>声</v>
      </c>
      <c r="M53" s="280" t="str">
        <f>IF(一覧!M79="","",一覧!M79)</f>
        <v>音道楽</v>
      </c>
      <c r="N53" s="280" t="str">
        <f>IF(一覧!N79="","",一覧!N79)</f>
        <v>委員会</v>
      </c>
      <c r="O53" s="281" t="str">
        <f>IF(一覧!O79="","",一覧!O79)</f>
        <v>★</v>
      </c>
      <c r="P53" s="280" t="str">
        <f>IF(一覧!P79="","",一覧!P79)</f>
        <v>★★</v>
      </c>
      <c r="Q53" s="280" t="str">
        <f>IF(一覧!Q79="","",一覧!Q79)</f>
        <v>土ダメ</v>
      </c>
      <c r="R53" s="280" t="str">
        <f>IF(一覧!R79="","",一覧!R79)</f>
        <v>ミヤネ屋</v>
      </c>
      <c r="S53" s="280" t="str">
        <f>IF(一覧!S79="","",一覧!S79)</f>
        <v>読響</v>
      </c>
      <c r="T53" s="280" t="str">
        <f>IF(一覧!T79="","",一覧!T79)</f>
        <v>ten中継</v>
      </c>
      <c r="U53" s="280" t="str">
        <f>IF(一覧!U79="","",一覧!U79)</f>
        <v>ｶﾒﾗG会</v>
      </c>
      <c r="V53" s="281" t="str">
        <f>IF(一覧!V79="","",一覧!V79)</f>
        <v>★★</v>
      </c>
      <c r="W53" s="280" t="str">
        <f>IF(一覧!W79="","",一覧!W79)</f>
        <v>鳥特機</v>
      </c>
      <c r="X53" s="280" t="str">
        <f>IF(一覧!X79="","",一覧!X79)</f>
        <v>★</v>
      </c>
      <c r="Y53" s="280" t="str">
        <f>IF(一覧!Y79="","",一覧!Y79)</f>
        <v>ほんわか</v>
      </c>
      <c r="Z53" s="280" t="str">
        <f>IF(一覧!Z79="","",一覧!Z79)</f>
        <v/>
      </c>
      <c r="AA53" s="280" t="str">
        <f>IF(一覧!AA79="","",一覧!AA79)</f>
        <v>人事配信</v>
      </c>
      <c r="AB53" s="280" t="str">
        <f>IF(一覧!AB79="","",一覧!AB79)</f>
        <v>委員会</v>
      </c>
      <c r="AC53" s="281" t="str">
        <f>IF(一覧!AC79="","",一覧!AC79)</f>
        <v>★</v>
      </c>
      <c r="AD53" s="280" t="str">
        <f>IF(一覧!AD79="","",一覧!AD79)</f>
        <v>★★</v>
      </c>
      <c r="AE53" s="280" t="str">
        <f>IF(一覧!AE79="","",一覧!AE79)</f>
        <v>ミヤネ屋</v>
      </c>
      <c r="AF53" s="280" t="str">
        <f>IF(一覧!AF79="","",一覧!AF79)</f>
        <v>ミヤネ屋</v>
      </c>
      <c r="AG53" s="282" t="str">
        <f>IF(一覧!AG79="","",一覧!AG79)</f>
        <v/>
      </c>
      <c r="AH53" s="519" t="str">
        <f>IF(一覧!AH79="","",一覧!AH79)</f>
        <v>小曽根</v>
      </c>
      <c r="AI53" s="347">
        <f t="shared" ref="AI53:AI54" si="78">SUM(AJ53,AN53,AO53,AP53)</f>
        <v>0</v>
      </c>
      <c r="AJ53" s="347">
        <f t="shared" ref="AJ53" si="79">COUNTIF(C53:AG53,"　　　━")+COUNTIF(D54:AG54,"　　　━")</f>
        <v>0</v>
      </c>
      <c r="AK53" s="347">
        <f t="shared" ref="AK53:AK54" si="80">COUNTIF(C53:AG53,"NsubTD")</f>
        <v>0</v>
      </c>
      <c r="AL53" s="347">
        <f t="shared" ref="AL53:AL54" si="81">COUNTIF(C53:AG53,"ｔｅｎ！")</f>
        <v>1</v>
      </c>
      <c r="AM53" s="347">
        <f t="shared" ref="AM53:AM54" si="82">COUNTIF(C53:AG53,"ＲＤ")</f>
        <v>0</v>
      </c>
      <c r="AN53" s="366">
        <f t="shared" ref="AN53" si="83">COUNTIF(C53:AG53,"じゅっと")</f>
        <v>0</v>
      </c>
      <c r="AO53" s="347">
        <f t="shared" ref="AO53" si="84">COUNTIF(C53:AG53,"ウェーク")</f>
        <v>0</v>
      </c>
      <c r="AP53" s="347">
        <f t="shared" ref="AP53" si="85">COUNTIF(C53:AG53,"ノビしろ")</f>
        <v>0</v>
      </c>
    </row>
    <row r="54" spans="1:42" ht="15" customHeight="1" thickBot="1">
      <c r="A54" s="347">
        <f t="shared" ref="A54" si="86">COUNTIF(C53:AG53,"★")</f>
        <v>4</v>
      </c>
      <c r="B54" s="424" t="str">
        <f>IF(一覧!B80="","",一覧!B80)</f>
        <v/>
      </c>
      <c r="C54" s="482" t="str">
        <f>IF(一覧!C80="","",一覧!C80)</f>
        <v/>
      </c>
      <c r="D54" s="482" t="str">
        <f>IF(一覧!D80="","",一覧!D80)</f>
        <v>ＣＡＭ</v>
      </c>
      <c r="E54" s="482" t="str">
        <f>IF(一覧!E80="","",一覧!E80)</f>
        <v>ＣＡＭ</v>
      </c>
      <c r="F54" s="482" t="str">
        <f>IF(一覧!F80="","",一覧!F80)</f>
        <v>ＣＡＭ</v>
      </c>
      <c r="G54" s="482" t="str">
        <f>IF(一覧!G80="","",一覧!G80)</f>
        <v>ＣＡＭ</v>
      </c>
      <c r="H54" s="483" t="str">
        <f>IF(一覧!H80="","",一覧!H80)</f>
        <v>※</v>
      </c>
      <c r="I54" s="482" t="str">
        <f>IF(一覧!I80="","",一覧!I80)</f>
        <v>※</v>
      </c>
      <c r="J54" s="482" t="str">
        <f>IF(一覧!J80="","",一覧!J80)</f>
        <v/>
      </c>
      <c r="K54" s="482" t="str">
        <f>IF(一覧!K80="","",一覧!K80)</f>
        <v>ＣＡＭ</v>
      </c>
      <c r="L54" s="482" t="str">
        <f>IF(一覧!L80="","",一覧!L80)</f>
        <v>ＣＡＭ</v>
      </c>
      <c r="M54" s="482" t="str">
        <f>IF(一覧!M80="","",一覧!M80)</f>
        <v>ＣＡＭ</v>
      </c>
      <c r="N54" s="482" t="str">
        <f>IF(一覧!N80="","",一覧!N80)</f>
        <v>ＣＡＭ</v>
      </c>
      <c r="O54" s="483" t="str">
        <f>IF(一覧!O80="","",一覧!O80)</f>
        <v/>
      </c>
      <c r="P54" s="482" t="str">
        <f>IF(一覧!P80="","",一覧!P80)</f>
        <v/>
      </c>
      <c r="Q54" s="482" t="str">
        <f>IF(一覧!Q80="","",一覧!Q80)</f>
        <v>ＣＡＭ</v>
      </c>
      <c r="R54" s="482" t="str">
        <f>IF(一覧!R80="","",一覧!R80)</f>
        <v>ＣＡＭ</v>
      </c>
      <c r="S54" s="482" t="str">
        <f>IF(一覧!S80="","",一覧!S80)</f>
        <v>ＣＡＭ</v>
      </c>
      <c r="T54" s="482" t="str">
        <f>IF(一覧!T80="","",一覧!T80)</f>
        <v>ＡＵＸ</v>
      </c>
      <c r="U54" s="482" t="str">
        <f>IF(一覧!U80="","",一覧!U80)</f>
        <v/>
      </c>
      <c r="V54" s="483" t="str">
        <f>IF(一覧!V80="","",一覧!V80)</f>
        <v/>
      </c>
      <c r="W54" s="482" t="str">
        <f>IF(一覧!W80="","",一覧!W80)</f>
        <v>準備</v>
      </c>
      <c r="X54" s="482" t="str">
        <f>IF(一覧!X80="","",一覧!X80)</f>
        <v/>
      </c>
      <c r="Y54" s="482" t="str">
        <f>IF(一覧!Y80="","",一覧!Y80)</f>
        <v>ＣＡＭ</v>
      </c>
      <c r="Z54" s="482" t="str">
        <f>IF(一覧!Z80="","",一覧!Z80)</f>
        <v/>
      </c>
      <c r="AA54" s="482" t="str">
        <f>IF(一覧!AA80="","",一覧!AA80)</f>
        <v>出演者</v>
      </c>
      <c r="AB54" s="482" t="str">
        <f>IF(一覧!AB80="","",一覧!AB80)</f>
        <v>ＣＡＭ</v>
      </c>
      <c r="AC54" s="483" t="str">
        <f>IF(一覧!AC80="","",一覧!AC80)</f>
        <v/>
      </c>
      <c r="AD54" s="482" t="str">
        <f>IF(一覧!AD80="","",一覧!AD80)</f>
        <v/>
      </c>
      <c r="AE54" s="482" t="str">
        <f>IF(一覧!AE80="","",一覧!AE80)</f>
        <v>ＣＡＭ</v>
      </c>
      <c r="AF54" s="482" t="str">
        <f>IF(一覧!AF80="","",一覧!AF80)</f>
        <v>ＣＡＭ</v>
      </c>
      <c r="AG54" s="484" t="str">
        <f>IF(一覧!AG80="","",一覧!AG80)</f>
        <v/>
      </c>
      <c r="AH54" s="425" t="str">
        <f>IF(一覧!AH80="","",一覧!AH80)</f>
        <v/>
      </c>
      <c r="AI54" s="347">
        <f t="shared" si="78"/>
        <v>0</v>
      </c>
      <c r="AK54" s="347">
        <f t="shared" si="80"/>
        <v>0</v>
      </c>
      <c r="AL54" s="347">
        <f t="shared" si="81"/>
        <v>0</v>
      </c>
      <c r="AM54" s="347">
        <f t="shared" si="82"/>
        <v>0</v>
      </c>
      <c r="AN54" s="366"/>
    </row>
    <row r="55" spans="1:42" ht="15" customHeight="1">
      <c r="A55" s="347">
        <f>COUNTIF(C55:AG55,"★★")</f>
        <v>4</v>
      </c>
      <c r="B55" s="518" t="str">
        <f>IF(一覧!B31="","",一覧!B31)</f>
        <v>三村　将之</v>
      </c>
      <c r="C55" s="280" t="str">
        <f>IF(一覧!C31="","",一覧!C31)</f>
        <v/>
      </c>
      <c r="D55" s="280" t="str">
        <f>IF(一覧!D31="","",一覧!D31)</f>
        <v>PT研修</v>
      </c>
      <c r="E55" s="280" t="str">
        <f>IF(一覧!E31="","",一覧!E31)</f>
        <v/>
      </c>
      <c r="F55" s="280" t="str">
        <f>IF(一覧!F31="","",一覧!F31)</f>
        <v>じゅっと</v>
      </c>
      <c r="G55" s="280" t="str">
        <f>IF(一覧!G31="","",一覧!G31)</f>
        <v/>
      </c>
      <c r="H55" s="281" t="str">
        <f>IF(一覧!H31="","",一覧!H31)</f>
        <v>★★</v>
      </c>
      <c r="I55" s="280" t="str">
        <f>IF(一覧!I31="","",一覧!I31)</f>
        <v>NsubTD</v>
      </c>
      <c r="J55" s="280" t="str">
        <f>IF(一覧!J31="","",一覧!J31)</f>
        <v>じゅっと</v>
      </c>
      <c r="K55" s="280" t="str">
        <f>IF(一覧!K31="","",一覧!K31)</f>
        <v>中継車WG</v>
      </c>
      <c r="L55" s="280" t="str">
        <f>IF(一覧!L31="","",一覧!L31)</f>
        <v/>
      </c>
      <c r="M55" s="280" t="str">
        <f>IF(一覧!M31="","",一覧!M31)</f>
        <v/>
      </c>
      <c r="N55" s="280" t="str">
        <f>IF(一覧!N31="","",一覧!N31)</f>
        <v>★</v>
      </c>
      <c r="O55" s="281" t="str">
        <f>IF(一覧!O31="","",一覧!O31)</f>
        <v>★</v>
      </c>
      <c r="P55" s="280" t="str">
        <f>IF(一覧!P31="","",一覧!P31)</f>
        <v>★★</v>
      </c>
      <c r="Q55" s="280" t="str">
        <f>IF(一覧!Q31="","",一覧!Q31)</f>
        <v>特休</v>
      </c>
      <c r="R55" s="280" t="str">
        <f>IF(一覧!R31="","",一覧!R31)</f>
        <v>特休</v>
      </c>
      <c r="S55" s="280" t="str">
        <f>IF(一覧!S31="","",一覧!S31)</f>
        <v>特休</v>
      </c>
      <c r="T55" s="280" t="str">
        <f>IF(一覧!T31="","",一覧!T31)</f>
        <v>設備WG</v>
      </c>
      <c r="U55" s="280" t="str">
        <f>IF(一覧!U31="","",一覧!U31)</f>
        <v>　　　━</v>
      </c>
      <c r="V55" s="281" t="str">
        <f>IF(一覧!V31="","",一覧!V31)</f>
        <v>━　　　</v>
      </c>
      <c r="W55" s="280" t="str">
        <f>IF(一覧!W31="","",一覧!W31)</f>
        <v>★★</v>
      </c>
      <c r="X55" s="280" t="str">
        <f>IF(一覧!X31="","",一覧!X31)</f>
        <v>★</v>
      </c>
      <c r="Y55" s="280" t="str">
        <f>IF(一覧!Y31="","",一覧!Y31)</f>
        <v/>
      </c>
      <c r="Z55" s="280" t="str">
        <f>IF(一覧!Z31="","",一覧!Z31)</f>
        <v>音声G会</v>
      </c>
      <c r="AA55" s="280" t="str">
        <f>IF(一覧!AA31="","",一覧!AA31)</f>
        <v>ミヤネ屋</v>
      </c>
      <c r="AB55" s="280" t="str">
        <f>IF(一覧!AB31="","",一覧!AB31)</f>
        <v>技術会議</v>
      </c>
      <c r="AC55" s="281" t="str">
        <f>IF(一覧!AC31="","",一覧!AC31)</f>
        <v>★</v>
      </c>
      <c r="AD55" s="280" t="str">
        <f>IF(一覧!AD31="","",一覧!AD31)</f>
        <v>★★</v>
      </c>
      <c r="AE55" s="280" t="str">
        <f>IF(一覧!AE31="","",一覧!AE31)</f>
        <v/>
      </c>
      <c r="AF55" s="280" t="str">
        <f>IF(一覧!AF31="","",一覧!AF31)</f>
        <v/>
      </c>
      <c r="AG55" s="282" t="str">
        <f>IF(一覧!AG31="","",一覧!AG31)</f>
        <v/>
      </c>
      <c r="AH55" s="519" t="str">
        <f>IF(一覧!AH31="","",一覧!AH31)</f>
        <v>三村</v>
      </c>
      <c r="AI55" s="347">
        <f>SUM(AJ55,AN55,AO55,AP55)</f>
        <v>3</v>
      </c>
      <c r="AJ55" s="347">
        <f t="shared" ref="AJ55" si="87">COUNTIF(C55:AG55,"　　　━")+COUNTIF(D56:AG56,"　　　━")</f>
        <v>1</v>
      </c>
      <c r="AK55" s="347">
        <f>COUNTIF(C55:AG55,"NsubTD")</f>
        <v>1</v>
      </c>
      <c r="AL55" s="347">
        <f>COUNTIF(C55:AG55,"ｔｅｎ！")</f>
        <v>0</v>
      </c>
      <c r="AM55" s="347">
        <f>COUNTIF(C55:AG55,"ＲＤ")</f>
        <v>0</v>
      </c>
      <c r="AN55" s="366">
        <f t="shared" ref="AN55" si="88">COUNTIF(C55:AG55,"じゅっと")</f>
        <v>2</v>
      </c>
      <c r="AO55" s="347">
        <f>COUNTIF(C55:AG55,"ウェーク")</f>
        <v>0</v>
      </c>
      <c r="AP55" s="347">
        <f t="shared" ref="AP55" si="89">COUNTIF(C55:AG55,"ノビしろ")</f>
        <v>0</v>
      </c>
    </row>
    <row r="56" spans="1:42" ht="15" customHeight="1">
      <c r="A56" s="347">
        <f>COUNTIF(C55:AG55,"★")</f>
        <v>4</v>
      </c>
      <c r="B56" s="303" t="str">
        <f>IF(一覧!B32="","",一覧!B32)</f>
        <v/>
      </c>
      <c r="C56" s="283" t="str">
        <f>IF(一覧!C32="","",一覧!C32)</f>
        <v>局会</v>
      </c>
      <c r="D56" s="283" t="str">
        <f>IF(一覧!D32="","",一覧!D32)</f>
        <v/>
      </c>
      <c r="E56" s="283" t="str">
        <f>IF(一覧!E32="","",一覧!E32)</f>
        <v/>
      </c>
      <c r="F56" s="283" t="str">
        <f>IF(一覧!F32="","",一覧!F32)</f>
        <v>ＴＤ</v>
      </c>
      <c r="G56" s="283" t="str">
        <f>IF(一覧!G32="","",一覧!G32)</f>
        <v/>
      </c>
      <c r="H56" s="284" t="str">
        <f>IF(一覧!H32="","",一覧!H32)</f>
        <v>※</v>
      </c>
      <c r="I56" s="283" t="str">
        <f>IF(一覧!I32="","",一覧!I32)</f>
        <v/>
      </c>
      <c r="J56" s="283" t="str">
        <f>IF(一覧!J32="","",一覧!J32)</f>
        <v>ＴＤ</v>
      </c>
      <c r="K56" s="283" t="str">
        <f>IF(一覧!K32="","",一覧!K32)</f>
        <v/>
      </c>
      <c r="L56" s="283" t="str">
        <f>IF(一覧!L32="","",一覧!L32)</f>
        <v>照明G</v>
      </c>
      <c r="M56" s="283" t="str">
        <f>IF(一覧!M32="","",一覧!M32)</f>
        <v/>
      </c>
      <c r="N56" s="283" t="str">
        <f>IF(一覧!N32="","",一覧!N32)</f>
        <v/>
      </c>
      <c r="O56" s="284" t="str">
        <f>IF(一覧!O32="","",一覧!O32)</f>
        <v/>
      </c>
      <c r="P56" s="283" t="str">
        <f>IF(一覧!P32="","",一覧!P32)</f>
        <v>※</v>
      </c>
      <c r="Q56" s="283" t="str">
        <f>IF(一覧!Q32="","",一覧!Q32)</f>
        <v>※</v>
      </c>
      <c r="R56" s="283" t="str">
        <f>IF(一覧!R32="","",一覧!R32)</f>
        <v>※</v>
      </c>
      <c r="S56" s="283" t="str">
        <f>IF(一覧!S32="","",一覧!S32)</f>
        <v>※</v>
      </c>
      <c r="T56" s="283" t="str">
        <f>IF(一覧!T32="","",一覧!T32)</f>
        <v/>
      </c>
      <c r="U56" s="283" t="str">
        <f>IF(一覧!U32="","",一覧!U32)</f>
        <v/>
      </c>
      <c r="V56" s="284" t="str">
        <f>IF(一覧!V32="","",一覧!V32)</f>
        <v/>
      </c>
      <c r="W56" s="283" t="str">
        <f>IF(一覧!W32="","",一覧!W32)</f>
        <v/>
      </c>
      <c r="X56" s="283" t="str">
        <f>IF(一覧!X32="","",一覧!X32)</f>
        <v/>
      </c>
      <c r="Y56" s="283" t="str">
        <f>IF(一覧!Y32="","",一覧!Y32)</f>
        <v/>
      </c>
      <c r="Z56" s="283" t="str">
        <f>IF(一覧!Z32="","",一覧!Z32)</f>
        <v>MA更新会</v>
      </c>
      <c r="AA56" s="283" t="str">
        <f>IF(一覧!AA32="","",一覧!AA32)</f>
        <v>ＴＤ</v>
      </c>
      <c r="AB56" s="283" t="str">
        <f>IF(一覧!AB32="","",一覧!AB32)</f>
        <v>NT会議</v>
      </c>
      <c r="AC56" s="284" t="str">
        <f>IF(一覧!AC32="","",一覧!AC32)</f>
        <v/>
      </c>
      <c r="AD56" s="283" t="str">
        <f>IF(一覧!AD32="","",一覧!AD32)</f>
        <v/>
      </c>
      <c r="AE56" s="283" t="str">
        <f>IF(一覧!AE32="","",一覧!AE32)</f>
        <v/>
      </c>
      <c r="AF56" s="283" t="str">
        <f>IF(一覧!AF32="","",一覧!AF32)</f>
        <v/>
      </c>
      <c r="AG56" s="285" t="str">
        <f>IF(一覧!AG32="","",一覧!AG32)</f>
        <v/>
      </c>
      <c r="AH56" s="304" t="str">
        <f>IF(一覧!AH32="","",一覧!AH32)</f>
        <v/>
      </c>
      <c r="AI56" s="347">
        <f>SUM(AJ56,AN56,AO56,AP56)</f>
        <v>0</v>
      </c>
      <c r="AK56" s="347">
        <f>COUNTIF(C56:AG56,"NsubTD")</f>
        <v>0</v>
      </c>
      <c r="AL56" s="347">
        <f>COUNTIF(C56:AG56,"ｔｅｎ！")</f>
        <v>0</v>
      </c>
      <c r="AM56" s="347">
        <f>COUNTIF(C56:AG56,"ＲＤ")</f>
        <v>0</v>
      </c>
      <c r="AN56" s="366"/>
    </row>
    <row r="57" spans="1:42" ht="15" customHeight="1">
      <c r="A57" s="347">
        <f t="shared" ref="A57" si="90">COUNTIF(C57:AG57,"★★")</f>
        <v>4</v>
      </c>
      <c r="B57" s="518" t="str">
        <f>IF(一覧!B39="","",一覧!B39)</f>
        <v>窪内　誠</v>
      </c>
      <c r="C57" s="280" t="str">
        <f>IF(一覧!C39="","",一覧!C39)</f>
        <v/>
      </c>
      <c r="D57" s="280" t="str">
        <f>IF(一覧!D39="","",一覧!D39)</f>
        <v>ミヤネ屋</v>
      </c>
      <c r="E57" s="280" t="str">
        <f>IF(一覧!E39="","",一覧!E39)</f>
        <v>じゅっと</v>
      </c>
      <c r="F57" s="280" t="str">
        <f>IF(一覧!F39="","",一覧!F39)</f>
        <v>VEレク</v>
      </c>
      <c r="G57" s="280" t="str">
        <f>IF(一覧!G39="","",一覧!G39)</f>
        <v>VEレク</v>
      </c>
      <c r="H57" s="281" t="str">
        <f>IF(一覧!H39="","",一覧!H39)</f>
        <v>★</v>
      </c>
      <c r="I57" s="280" t="str">
        <f>IF(一覧!I39="","",一覧!I39)</f>
        <v>★★</v>
      </c>
      <c r="J57" s="280" t="str">
        <f>IF(一覧!J39="","",一覧!J39)</f>
        <v>　　　━</v>
      </c>
      <c r="K57" s="280" t="str">
        <f>IF(一覧!K39="","",一覧!K39)</f>
        <v>━　　　</v>
      </c>
      <c r="L57" s="280" t="str">
        <f>IF(一覧!L39="","",一覧!L39)</f>
        <v/>
      </c>
      <c r="M57" s="280" t="str">
        <f>IF(一覧!M39="","",一覧!M39)</f>
        <v>音道楽</v>
      </c>
      <c r="N57" s="280" t="str">
        <f>IF(一覧!N39="","",一覧!N39)</f>
        <v>委員会</v>
      </c>
      <c r="O57" s="281" t="str">
        <f>IF(一覧!O39="","",一覧!O39)</f>
        <v>★</v>
      </c>
      <c r="P57" s="280" t="str">
        <f>IF(一覧!P39="","",一覧!P39)</f>
        <v>★★</v>
      </c>
      <c r="Q57" s="280" t="str">
        <f>IF(一覧!Q39="","",一覧!Q39)</f>
        <v>　　　━</v>
      </c>
      <c r="R57" s="280" t="str">
        <f>IF(一覧!R39="","",一覧!R39)</f>
        <v>━　　　</v>
      </c>
      <c r="S57" s="280" t="str">
        <f>IF(一覧!S39="","",一覧!S39)</f>
        <v>ミヤネ屋</v>
      </c>
      <c r="T57" s="280" t="str">
        <f>IF(一覧!T39="","",一覧!T39)</f>
        <v>吉田粗品</v>
      </c>
      <c r="U57" s="280" t="str">
        <f>IF(一覧!U39="","",一覧!U39)</f>
        <v>機材整備</v>
      </c>
      <c r="V57" s="281" t="str">
        <f>IF(一覧!V39="","",一覧!V39)</f>
        <v>★</v>
      </c>
      <c r="W57" s="280" t="str">
        <f>IF(一覧!W39="","",一覧!W39)</f>
        <v>★★</v>
      </c>
      <c r="X57" s="280" t="str">
        <f>IF(一覧!X39="","",一覧!X39)</f>
        <v>ミヤネ屋</v>
      </c>
      <c r="Y57" s="280" t="str">
        <f>IF(一覧!Y39="","",一覧!Y39)</f>
        <v>ほんわか</v>
      </c>
      <c r="Z57" s="280" t="str">
        <f>IF(一覧!Z39="","",一覧!Z39)</f>
        <v>VEG会議</v>
      </c>
      <c r="AA57" s="280" t="str">
        <f>IF(一覧!AA39="","",一覧!AA39)</f>
        <v>じゅっと</v>
      </c>
      <c r="AB57" s="280" t="str">
        <f>IF(一覧!AB39="","",一覧!AB39)</f>
        <v/>
      </c>
      <c r="AC57" s="281" t="str">
        <f>IF(一覧!AC39="","",一覧!AC39)</f>
        <v>★</v>
      </c>
      <c r="AD57" s="280" t="str">
        <f>IF(一覧!AD39="","",一覧!AD39)</f>
        <v>★★</v>
      </c>
      <c r="AE57" s="280" t="str">
        <f>IF(一覧!AE39="","",一覧!AE39)</f>
        <v>土ダメ</v>
      </c>
      <c r="AF57" s="280" t="str">
        <f>IF(一覧!AF39="","",一覧!AF39)</f>
        <v>登録</v>
      </c>
      <c r="AG57" s="282" t="str">
        <f>IF(一覧!AG39="","",一覧!AG39)</f>
        <v/>
      </c>
      <c r="AH57" s="519" t="str">
        <f>IF(一覧!AH39="","",一覧!AH39)</f>
        <v>窪内</v>
      </c>
      <c r="AI57" s="347">
        <f t="shared" si="0"/>
        <v>4</v>
      </c>
      <c r="AJ57" s="347">
        <f t="shared" ref="AJ57" si="91">COUNTIF(C57:AG57,"　　　━")+COUNTIF(D58:AG58,"　　　━")</f>
        <v>2</v>
      </c>
      <c r="AK57" s="347">
        <f t="shared" si="43"/>
        <v>0</v>
      </c>
      <c r="AL57" s="347">
        <f t="shared" si="44"/>
        <v>0</v>
      </c>
      <c r="AM57" s="347">
        <f t="shared" si="45"/>
        <v>0</v>
      </c>
      <c r="AN57" s="366">
        <f t="shared" ref="AN57" si="92">COUNTIF(C57:AG57,"じゅっと")</f>
        <v>2</v>
      </c>
      <c r="AO57" s="347">
        <f t="shared" si="12"/>
        <v>0</v>
      </c>
      <c r="AP57" s="347">
        <f t="shared" ref="AP57" si="93">COUNTIF(C57:AG57,"ノビしろ")</f>
        <v>0</v>
      </c>
    </row>
    <row r="58" spans="1:42" ht="15" customHeight="1">
      <c r="A58" s="347">
        <f t="shared" ref="A58" si="94">COUNTIF(C57:AG57,"★")</f>
        <v>4</v>
      </c>
      <c r="B58" s="303" t="str">
        <f>IF(一覧!B40="","",一覧!B40)</f>
        <v/>
      </c>
      <c r="C58" s="283" t="str">
        <f>IF(一覧!C40="","",一覧!C40)</f>
        <v>局会</v>
      </c>
      <c r="D58" s="283" t="str">
        <f>IF(一覧!D40="","",一覧!D40)</f>
        <v>ＴＤ</v>
      </c>
      <c r="E58" s="283" t="str">
        <f>IF(一覧!E40="","",一覧!E40)</f>
        <v>ＶＥ</v>
      </c>
      <c r="F58" s="283" t="str">
        <f>IF(一覧!F40="","",一覧!F40)</f>
        <v/>
      </c>
      <c r="G58" s="283" t="str">
        <f>IF(一覧!G40="","",一覧!G40)</f>
        <v/>
      </c>
      <c r="H58" s="284" t="str">
        <f>IF(一覧!H40="","",一覧!H40)</f>
        <v/>
      </c>
      <c r="I58" s="283" t="str">
        <f>IF(一覧!I40="","",一覧!I40)</f>
        <v/>
      </c>
      <c r="J58" s="283" t="str">
        <f>IF(一覧!J40="","",一覧!J40)</f>
        <v/>
      </c>
      <c r="K58" s="283" t="str">
        <f>IF(一覧!K40="","",一覧!K40)</f>
        <v>中継車WG</v>
      </c>
      <c r="L58" s="283" t="str">
        <f>IF(一覧!L40="","",一覧!L40)</f>
        <v>照明G</v>
      </c>
      <c r="M58" s="283" t="str">
        <f>IF(一覧!M40="","",一覧!M40)</f>
        <v>ＶＥ</v>
      </c>
      <c r="N58" s="283" t="str">
        <f>IF(一覧!N40="","",一覧!N40)</f>
        <v>ＶＥ</v>
      </c>
      <c r="O58" s="284" t="str">
        <f>IF(一覧!O40="","",一覧!O40)</f>
        <v/>
      </c>
      <c r="P58" s="283" t="str">
        <f>IF(一覧!P40="","",一覧!P40)</f>
        <v/>
      </c>
      <c r="Q58" s="283" t="str">
        <f>IF(一覧!Q40="","",一覧!Q40)</f>
        <v/>
      </c>
      <c r="R58" s="283" t="str">
        <f>IF(一覧!R40="","",一覧!R40)</f>
        <v/>
      </c>
      <c r="S58" s="283" t="str">
        <f>IF(一覧!S40="","",一覧!S40)</f>
        <v>ＴＤ</v>
      </c>
      <c r="T58" s="283" t="str">
        <f>IF(一覧!T40="","",一覧!T40)</f>
        <v>ＴＤ</v>
      </c>
      <c r="U58" s="283" t="str">
        <f>IF(一覧!U40="","",一覧!U40)</f>
        <v/>
      </c>
      <c r="V58" s="284" t="str">
        <f>IF(一覧!V40="","",一覧!V40)</f>
        <v/>
      </c>
      <c r="W58" s="283" t="str">
        <f>IF(一覧!W40="","",一覧!W40)</f>
        <v/>
      </c>
      <c r="X58" s="283" t="str">
        <f>IF(一覧!X40="","",一覧!X40)</f>
        <v>ＬＤ</v>
      </c>
      <c r="Y58" s="283" t="str">
        <f>IF(一覧!Y40="","",一覧!Y40)</f>
        <v>ＶＥ</v>
      </c>
      <c r="Z58" s="283" t="str">
        <f>IF(一覧!Z40="","",一覧!Z40)</f>
        <v/>
      </c>
      <c r="AA58" s="283" t="str">
        <f>IF(一覧!AA40="","",一覧!AA40)</f>
        <v>ＴＤ</v>
      </c>
      <c r="AB58" s="283" t="str">
        <f>IF(一覧!AB40="","",一覧!AB40)</f>
        <v>技術会議</v>
      </c>
      <c r="AC58" s="284" t="str">
        <f>IF(一覧!AC40="","",一覧!AC40)</f>
        <v/>
      </c>
      <c r="AD58" s="283" t="str">
        <f>IF(一覧!AD40="","",一覧!AD40)</f>
        <v/>
      </c>
      <c r="AE58" s="283" t="str">
        <f>IF(一覧!AE40="","",一覧!AE40)</f>
        <v>ＶＥ</v>
      </c>
      <c r="AF58" s="283" t="str">
        <f>IF(一覧!AF40="","",一覧!AF40)</f>
        <v/>
      </c>
      <c r="AG58" s="285" t="str">
        <f>IF(一覧!AG40="","",一覧!AG40)</f>
        <v/>
      </c>
      <c r="AH58" s="304" t="str">
        <f>IF(一覧!AH40="","",一覧!AH40)</f>
        <v/>
      </c>
      <c r="AI58" s="347">
        <f t="shared" si="0"/>
        <v>0</v>
      </c>
      <c r="AK58" s="347">
        <f t="shared" si="43"/>
        <v>0</v>
      </c>
      <c r="AL58" s="347">
        <f t="shared" si="44"/>
        <v>0</v>
      </c>
      <c r="AM58" s="347">
        <f t="shared" si="45"/>
        <v>0</v>
      </c>
      <c r="AN58" s="366"/>
    </row>
    <row r="59" spans="1:42" ht="15" customHeight="1">
      <c r="A59" s="347">
        <f>COUNTIF(C59:AG59,"★★")</f>
        <v>4</v>
      </c>
      <c r="B59" s="518" t="str">
        <f>IF(一覧!B43="","",一覧!B43)</f>
        <v>沖田　一剛</v>
      </c>
      <c r="C59" s="280" t="str">
        <f>IF(一覧!C43="","",一覧!C43)</f>
        <v/>
      </c>
      <c r="D59" s="280" t="str">
        <f>IF(一覧!D43="","",一覧!D43)</f>
        <v>じゅっと</v>
      </c>
      <c r="E59" s="280" t="str">
        <f>IF(一覧!E43="","",一覧!E43)</f>
        <v/>
      </c>
      <c r="F59" s="280" t="str">
        <f>IF(一覧!F43="","",一覧!F43)</f>
        <v>ミヤネ屋</v>
      </c>
      <c r="G59" s="280" t="str">
        <f>IF(一覧!G43="","",一覧!G43)</f>
        <v>代休</v>
      </c>
      <c r="H59" s="281" t="str">
        <f>IF(一覧!H43="","",一覧!H43)</f>
        <v>★</v>
      </c>
      <c r="I59" s="280" t="str">
        <f>IF(一覧!I43="","",一覧!I43)</f>
        <v>★★</v>
      </c>
      <c r="J59" s="280" t="str">
        <f>IF(一覧!J43="","",一覧!J43)</f>
        <v>打合せ</v>
      </c>
      <c r="K59" s="280" t="str">
        <f>IF(一覧!K43="","",一覧!K43)</f>
        <v>　　　━</v>
      </c>
      <c r="L59" s="280" t="str">
        <f>IF(一覧!L43="","",一覧!L43)</f>
        <v>━　　　</v>
      </c>
      <c r="M59" s="280" t="str">
        <f>IF(一覧!M43="","",一覧!M43)</f>
        <v>年休</v>
      </c>
      <c r="N59" s="280" t="str">
        <f>IF(一覧!N43="","",一覧!N43)</f>
        <v>年休</v>
      </c>
      <c r="O59" s="281" t="str">
        <f>IF(一覧!O43="","",一覧!O43)</f>
        <v>★</v>
      </c>
      <c r="P59" s="280" t="str">
        <f>IF(一覧!P43="","",一覧!P43)</f>
        <v>★★</v>
      </c>
      <c r="Q59" s="280" t="str">
        <f>IF(一覧!Q43="","",一覧!Q43)</f>
        <v/>
      </c>
      <c r="R59" s="280" t="str">
        <f>IF(一覧!R43="","",一覧!R43)</f>
        <v>準備</v>
      </c>
      <c r="S59" s="280" t="str">
        <f>IF(一覧!S43="","",一覧!S43)</f>
        <v>読響</v>
      </c>
      <c r="T59" s="280" t="str">
        <f>IF(一覧!T43="","",一覧!T43)</f>
        <v>吉田粗品</v>
      </c>
      <c r="U59" s="280" t="str">
        <f>IF(一覧!U43="","",一覧!U43)</f>
        <v>代休</v>
      </c>
      <c r="V59" s="281" t="str">
        <f>IF(一覧!V43="","",一覧!V43)</f>
        <v>★★</v>
      </c>
      <c r="W59" s="280" t="str">
        <f>IF(一覧!W43="","",一覧!W43)</f>
        <v>準備</v>
      </c>
      <c r="X59" s="280" t="str">
        <f>IF(一覧!X43="","",一覧!X43)</f>
        <v>音道楽</v>
      </c>
      <c r="Y59" s="280" t="str">
        <f>IF(一覧!Y43="","",一覧!Y43)</f>
        <v>★</v>
      </c>
      <c r="Z59" s="280" t="str">
        <f>IF(一覧!Z43="","",一覧!Z43)</f>
        <v>音G/制作</v>
      </c>
      <c r="AA59" s="280" t="str">
        <f>IF(一覧!AA43="","",一覧!AA43)</f>
        <v>機材整備</v>
      </c>
      <c r="AB59" s="280" t="str">
        <f>IF(一覧!AB43="","",一覧!AB43)</f>
        <v>じゅっと</v>
      </c>
      <c r="AC59" s="281" t="str">
        <f>IF(一覧!AC43="","",一覧!AC43)</f>
        <v>★</v>
      </c>
      <c r="AD59" s="280" t="str">
        <f>IF(一覧!AD43="","",一覧!AD43)</f>
        <v>★★</v>
      </c>
      <c r="AE59" s="280" t="str">
        <f>IF(一覧!AE43="","",一覧!AE43)</f>
        <v>ミヤネ屋</v>
      </c>
      <c r="AF59" s="280" t="str">
        <f>IF(一覧!AF43="","",一覧!AF43)</f>
        <v>　　　━</v>
      </c>
      <c r="AG59" s="282" t="str">
        <f>IF(一覧!AG43="","",一覧!AG43)</f>
        <v/>
      </c>
      <c r="AH59" s="519" t="str">
        <f>IF(一覧!AH43="","",一覧!AH43)</f>
        <v>沖田</v>
      </c>
      <c r="AI59" s="347">
        <f t="shared" si="0"/>
        <v>4</v>
      </c>
      <c r="AJ59" s="347">
        <f t="shared" ref="AJ59" si="95">COUNTIF(C59:AG59,"　　　━")+COUNTIF(D60:AG60,"　　　━")</f>
        <v>2</v>
      </c>
      <c r="AK59" s="347">
        <f>COUNTIF(C59:AG59,"NsubTD")</f>
        <v>0</v>
      </c>
      <c r="AL59" s="347">
        <f t="shared" ref="AL59:AL60" si="96">COUNTIF(C59:AG59,"ｔｅｎ！")</f>
        <v>0</v>
      </c>
      <c r="AM59" s="347">
        <f t="shared" ref="AM59:AM60" si="97">COUNTIF(C59:AG59,"ＲＤ")</f>
        <v>0</v>
      </c>
      <c r="AN59" s="366">
        <f t="shared" ref="AN59" si="98">COUNTIF(C59:AG59,"じゅっと")</f>
        <v>2</v>
      </c>
      <c r="AO59" s="347">
        <f>COUNTIF(C59:AG59,"ウェーク")</f>
        <v>0</v>
      </c>
      <c r="AP59" s="347">
        <f t="shared" ref="AP59" si="99">COUNTIF(C59:AG59,"ノビしろ")</f>
        <v>0</v>
      </c>
    </row>
    <row r="60" spans="1:42" ht="15" customHeight="1">
      <c r="A60" s="347">
        <f>COUNTIF(C59:AG59,"★")</f>
        <v>4</v>
      </c>
      <c r="B60" s="303" t="str">
        <f>IF(一覧!B44="","",一覧!B44)</f>
        <v/>
      </c>
      <c r="C60" s="283" t="str">
        <f>IF(一覧!C44="","",一覧!C44)</f>
        <v>局会</v>
      </c>
      <c r="D60" s="283" t="str">
        <f>IF(一覧!D44="","",一覧!D44)</f>
        <v>ＴＤ</v>
      </c>
      <c r="E60" s="283" t="str">
        <f>IF(一覧!E44="","",一覧!E44)</f>
        <v/>
      </c>
      <c r="F60" s="283" t="str">
        <f>IF(一覧!F44="","",一覧!F44)</f>
        <v>ＭＩＸ</v>
      </c>
      <c r="G60" s="283" t="str">
        <f>IF(一覧!G44="","",一覧!G44)</f>
        <v>5/7分</v>
      </c>
      <c r="H60" s="284" t="str">
        <f>IF(一覧!H44="","",一覧!H44)</f>
        <v/>
      </c>
      <c r="I60" s="283" t="str">
        <f>IF(一覧!I44="","",一覧!I44)</f>
        <v/>
      </c>
      <c r="J60" s="283" t="str">
        <f>IF(一覧!J44="","",一覧!J44)</f>
        <v/>
      </c>
      <c r="K60" s="283" t="str">
        <f>IF(一覧!K44="","",一覧!K44)</f>
        <v/>
      </c>
      <c r="L60" s="283" t="str">
        <f>IF(一覧!L44="","",一覧!L44)</f>
        <v/>
      </c>
      <c r="M60" s="283" t="str">
        <f>IF(一覧!M44="","",一覧!M44)</f>
        <v>※</v>
      </c>
      <c r="N60" s="283" t="str">
        <f>IF(一覧!N44="","",一覧!N44)</f>
        <v>※</v>
      </c>
      <c r="O60" s="284" t="str">
        <f>IF(一覧!O44="","",一覧!O44)</f>
        <v/>
      </c>
      <c r="P60" s="283" t="str">
        <f>IF(一覧!P44="","",一覧!P44)</f>
        <v/>
      </c>
      <c r="Q60" s="283" t="str">
        <f>IF(一覧!Q44="","",一覧!Q44)</f>
        <v/>
      </c>
      <c r="R60" s="283" t="str">
        <f>IF(一覧!R44="","",一覧!R44)</f>
        <v/>
      </c>
      <c r="S60" s="283" t="str">
        <f>IF(一覧!S44="","",一覧!S44)</f>
        <v>音中AA</v>
      </c>
      <c r="T60" s="283" t="str">
        <f>IF(一覧!T44="","",一覧!T44)</f>
        <v>ＡＡ</v>
      </c>
      <c r="U60" s="283" t="str">
        <f>IF(一覧!U44="","",一覧!U44)</f>
        <v>5/18分</v>
      </c>
      <c r="V60" s="284" t="str">
        <f>IF(一覧!V44="","",一覧!V44)</f>
        <v/>
      </c>
      <c r="W60" s="283" t="str">
        <f>IF(一覧!W44="","",一覧!W44)</f>
        <v/>
      </c>
      <c r="X60" s="283" t="str">
        <f>IF(一覧!X44="","",一覧!X44)</f>
        <v>ＴＤ</v>
      </c>
      <c r="Y60" s="283" t="str">
        <f>IF(一覧!Y44="","",一覧!Y44)</f>
        <v/>
      </c>
      <c r="Z60" s="283" t="str">
        <f>IF(一覧!Z44="","",一覧!Z44)</f>
        <v>MA更新会</v>
      </c>
      <c r="AA60" s="283" t="str">
        <f>IF(一覧!AA44="","",一覧!AA44)</f>
        <v/>
      </c>
      <c r="AB60" s="283" t="str">
        <f>IF(一覧!AB44="","",一覧!AB44)</f>
        <v>TD/技会</v>
      </c>
      <c r="AC60" s="284" t="str">
        <f>IF(一覧!AC44="","",一覧!AC44)</f>
        <v/>
      </c>
      <c r="AD60" s="283" t="str">
        <f>IF(一覧!AD44="","",一覧!AD44)</f>
        <v/>
      </c>
      <c r="AE60" s="283" t="str">
        <f>IF(一覧!AE44="","",一覧!AE44)</f>
        <v>ＭＩＸ</v>
      </c>
      <c r="AF60" s="283" t="str">
        <f>IF(一覧!AF44="","",一覧!AF44)</f>
        <v/>
      </c>
      <c r="AG60" s="285" t="str">
        <f>IF(一覧!AG44="","",一覧!AG44)</f>
        <v/>
      </c>
      <c r="AH60" s="304" t="str">
        <f>IF(一覧!AH44="","",一覧!AH44)</f>
        <v/>
      </c>
      <c r="AI60" s="347">
        <f t="shared" si="0"/>
        <v>0</v>
      </c>
      <c r="AK60" s="347">
        <f>COUNTIF(C60:AG60,"NsubTD")</f>
        <v>0</v>
      </c>
      <c r="AL60" s="347">
        <f t="shared" si="96"/>
        <v>0</v>
      </c>
      <c r="AM60" s="347">
        <f t="shared" si="97"/>
        <v>0</v>
      </c>
      <c r="AN60" s="366"/>
    </row>
    <row r="61" spans="1:42" ht="15" customHeight="1">
      <c r="A61" s="347">
        <f t="shared" ref="A61" si="100">COUNTIF(C61:AG61,"★★")</f>
        <v>4</v>
      </c>
      <c r="B61" s="518" t="str">
        <f>IF(一覧!B93="","",一覧!B93)</f>
        <v>谷口　英雄</v>
      </c>
      <c r="C61" s="280" t="str">
        <f>IF(一覧!C93="","",一覧!C93)</f>
        <v>マスター</v>
      </c>
      <c r="D61" s="280" t="str">
        <f>IF(一覧!D93="","",一覧!D93)</f>
        <v>マスター</v>
      </c>
      <c r="E61" s="280" t="str">
        <f>IF(一覧!E93="","",一覧!E93)</f>
        <v>マスター</v>
      </c>
      <c r="F61" s="280" t="str">
        <f>IF(一覧!F93="","",一覧!F93)</f>
        <v>マスター</v>
      </c>
      <c r="G61" s="280" t="str">
        <f>IF(一覧!G93="","",一覧!G93)</f>
        <v>代休</v>
      </c>
      <c r="H61" s="281" t="str">
        <f>IF(一覧!H93="","",一覧!H93)</f>
        <v>NsubTD</v>
      </c>
      <c r="I61" s="280" t="str">
        <f>IF(一覧!I93="","",一覧!I93)</f>
        <v>★★</v>
      </c>
      <c r="J61" s="280" t="str">
        <f>IF(一覧!J93="","",一覧!J93)</f>
        <v>マスター</v>
      </c>
      <c r="K61" s="280" t="str">
        <f>IF(一覧!K93="","",一覧!K93)</f>
        <v>★</v>
      </c>
      <c r="L61" s="280" t="str">
        <f>IF(一覧!L93="","",一覧!L93)</f>
        <v>ｔｅｎ！</v>
      </c>
      <c r="M61" s="280" t="str">
        <f>IF(一覧!M93="","",一覧!M93)</f>
        <v>マスター</v>
      </c>
      <c r="N61" s="280" t="str">
        <f>IF(一覧!N93="","",一覧!N93)</f>
        <v>マスター</v>
      </c>
      <c r="O61" s="281" t="str">
        <f>IF(一覧!O93="","",一覧!O93)</f>
        <v>マスター</v>
      </c>
      <c r="P61" s="280" t="str">
        <f>IF(一覧!P93="","",一覧!P93)</f>
        <v>★★</v>
      </c>
      <c r="Q61" s="280" t="str">
        <f>IF(一覧!Q93="","",一覧!Q93)</f>
        <v>★</v>
      </c>
      <c r="R61" s="280" t="str">
        <f>IF(一覧!R93="","",一覧!R93)</f>
        <v>ミヤネ屋</v>
      </c>
      <c r="S61" s="280" t="str">
        <f>IF(一覧!S93="","",一覧!S93)</f>
        <v>マスター</v>
      </c>
      <c r="T61" s="280" t="str">
        <f>IF(一覧!T93="","",一覧!T93)</f>
        <v>ｔｅｎ！</v>
      </c>
      <c r="U61" s="280" t="str">
        <f>IF(一覧!U93="","",一覧!U93)</f>
        <v>年休</v>
      </c>
      <c r="V61" s="281" t="str">
        <f>IF(一覧!V93="","",一覧!V93)</f>
        <v>★</v>
      </c>
      <c r="W61" s="280" t="str">
        <f>IF(一覧!W93="","",一覧!W93)</f>
        <v>★★</v>
      </c>
      <c r="X61" s="280" t="str">
        <f>IF(一覧!X93="","",一覧!X93)</f>
        <v>マスター</v>
      </c>
      <c r="Y61" s="280" t="str">
        <f>IF(一覧!Y93="","",一覧!Y93)</f>
        <v>マスター</v>
      </c>
      <c r="Z61" s="280" t="str">
        <f>IF(一覧!Z93="","",一覧!Z93)</f>
        <v>音声G会</v>
      </c>
      <c r="AA61" s="280" t="str">
        <f>IF(一覧!AA93="","",一覧!AA93)</f>
        <v>機材整備</v>
      </c>
      <c r="AB61" s="280" t="str">
        <f>IF(一覧!AB93="","",一覧!AB93)</f>
        <v>委員会</v>
      </c>
      <c r="AC61" s="281" t="str">
        <f>IF(一覧!AC93="","",一覧!AC93)</f>
        <v>★</v>
      </c>
      <c r="AD61" s="280" t="str">
        <f>IF(一覧!AD93="","",一覧!AD93)</f>
        <v>★★</v>
      </c>
      <c r="AE61" s="280" t="str">
        <f>IF(一覧!AE93="","",一覧!AE93)</f>
        <v>ミヤネ屋</v>
      </c>
      <c r="AF61" s="280" t="str">
        <f>IF(一覧!AF93="","",一覧!AF93)</f>
        <v>じゅっと</v>
      </c>
      <c r="AG61" s="282" t="str">
        <f>IF(一覧!AG93="","",一覧!AG93)</f>
        <v/>
      </c>
      <c r="AH61" s="519" t="str">
        <f>IF(一覧!AH93="","",一覧!AH93)</f>
        <v>谷口</v>
      </c>
      <c r="AI61" s="347">
        <f t="shared" si="0"/>
        <v>1</v>
      </c>
      <c r="AJ61" s="347">
        <f t="shared" ref="AJ61" si="101">COUNTIF(C61:AG61,"　　　━")+COUNTIF(D62:AG62,"　　　━")</f>
        <v>0</v>
      </c>
      <c r="AK61" s="347">
        <f t="shared" si="43"/>
        <v>1</v>
      </c>
      <c r="AL61" s="347">
        <f t="shared" ref="AL61" si="102">COUNTIF(C61:AG61,"ｔｅｎ！")</f>
        <v>2</v>
      </c>
      <c r="AM61" s="347">
        <f t="shared" si="45"/>
        <v>0</v>
      </c>
      <c r="AN61" s="366">
        <f t="shared" ref="AN61" si="103">COUNTIF(C61:AG61,"じゅっと")</f>
        <v>1</v>
      </c>
      <c r="AO61" s="347">
        <f t="shared" si="12"/>
        <v>0</v>
      </c>
      <c r="AP61" s="347">
        <f t="shared" ref="AP61" si="104">COUNTIF(C61:AG61,"ノビしろ")</f>
        <v>0</v>
      </c>
    </row>
    <row r="62" spans="1:42" ht="15" customHeight="1" thickBot="1">
      <c r="A62" s="347">
        <f t="shared" ref="A62" si="105">COUNTIF(C61:AG61,"★")</f>
        <v>4</v>
      </c>
      <c r="B62" s="424" t="str">
        <f>IF(一覧!B94="","",一覧!B94)</f>
        <v/>
      </c>
      <c r="C62" s="482" t="str">
        <f>IF(一覧!C94="","",一覧!C94)</f>
        <v>局会</v>
      </c>
      <c r="D62" s="482" t="str">
        <f>IF(一覧!D94="","",一覧!D94)</f>
        <v/>
      </c>
      <c r="E62" s="482" t="str">
        <f>IF(一覧!E94="","",一覧!E94)</f>
        <v>泊り</v>
      </c>
      <c r="F62" s="482" t="str">
        <f>IF(一覧!F94="","",一覧!F94)</f>
        <v>あけ</v>
      </c>
      <c r="G62" s="482" t="str">
        <f>IF(一覧!G94="","",一覧!G94)</f>
        <v>5/31分</v>
      </c>
      <c r="H62" s="483" t="str">
        <f>IF(一覧!H94="","",一覧!H94)</f>
        <v/>
      </c>
      <c r="I62" s="482" t="str">
        <f>IF(一覧!I94="","",一覧!I94)</f>
        <v/>
      </c>
      <c r="J62" s="482" t="str">
        <f>IF(一覧!J94="","",一覧!J94)</f>
        <v/>
      </c>
      <c r="K62" s="482" t="str">
        <f>IF(一覧!K94="","",一覧!K94)</f>
        <v/>
      </c>
      <c r="L62" s="482" t="str">
        <f>IF(一覧!L94="","",一覧!L94)</f>
        <v>ＭＩＸ’</v>
      </c>
      <c r="M62" s="482" t="str">
        <f>IF(一覧!M94="","",一覧!M94)</f>
        <v/>
      </c>
      <c r="N62" s="482" t="str">
        <f>IF(一覧!N94="","",一覧!N94)</f>
        <v>泊り</v>
      </c>
      <c r="O62" s="483" t="str">
        <f>IF(一覧!O94="","",一覧!O94)</f>
        <v>あけ</v>
      </c>
      <c r="P62" s="482" t="str">
        <f>IF(一覧!P94="","",一覧!P94)</f>
        <v/>
      </c>
      <c r="Q62" s="482" t="str">
        <f>IF(一覧!Q94="","",一覧!Q94)</f>
        <v/>
      </c>
      <c r="R62" s="482" t="str">
        <f>IF(一覧!R94="","",一覧!R94)</f>
        <v>ＴＤ’</v>
      </c>
      <c r="S62" s="482" t="str">
        <f>IF(一覧!S94="","",一覧!S94)</f>
        <v/>
      </c>
      <c r="T62" s="482" t="str">
        <f>IF(一覧!T94="","",一覧!T94)</f>
        <v>ＴＤ’</v>
      </c>
      <c r="U62" s="482" t="str">
        <f>IF(一覧!U94="","",一覧!U94)</f>
        <v>※</v>
      </c>
      <c r="V62" s="483" t="str">
        <f>IF(一覧!V94="","",一覧!V94)</f>
        <v>※</v>
      </c>
      <c r="W62" s="482" t="str">
        <f>IF(一覧!W94="","",一覧!W94)</f>
        <v>※</v>
      </c>
      <c r="X62" s="482" t="str">
        <f>IF(一覧!X94="","",一覧!X94)</f>
        <v>泊り</v>
      </c>
      <c r="Y62" s="482" t="str">
        <f>IF(一覧!Y94="","",一覧!Y94)</f>
        <v>あけ/G会</v>
      </c>
      <c r="Z62" s="482" t="str">
        <f>IF(一覧!Z94="","",一覧!Z94)</f>
        <v>MA更新会</v>
      </c>
      <c r="AA62" s="482" t="str">
        <f>IF(一覧!AA94="","",一覧!AA94)</f>
        <v/>
      </c>
      <c r="AB62" s="482" t="str">
        <f>IF(一覧!AB94="","",一覧!AB94)</f>
        <v>ＭＩＸ’</v>
      </c>
      <c r="AC62" s="483" t="str">
        <f>IF(一覧!AC94="","",一覧!AC94)</f>
        <v/>
      </c>
      <c r="AD62" s="482" t="str">
        <f>IF(一覧!AD94="","",一覧!AD94)</f>
        <v/>
      </c>
      <c r="AE62" s="482" t="str">
        <f>IF(一覧!AE94="","",一覧!AE94)</f>
        <v>ＭＩＸ’</v>
      </c>
      <c r="AF62" s="482" t="str">
        <f>IF(一覧!AF94="","",一覧!AF94)</f>
        <v>ＴＤ’</v>
      </c>
      <c r="AG62" s="484" t="str">
        <f>IF(一覧!AG94="","",一覧!AG94)</f>
        <v/>
      </c>
      <c r="AH62" s="425" t="str">
        <f>IF(一覧!AH94="","",一覧!AH94)</f>
        <v/>
      </c>
      <c r="AI62" s="347">
        <f t="shared" si="0"/>
        <v>0</v>
      </c>
      <c r="AK62" s="347">
        <f t="shared" si="43"/>
        <v>0</v>
      </c>
      <c r="AL62" s="347">
        <f t="shared" ref="AL62:AL64" si="106">COUNTIF(C62:AG62,"ｔｅｎ！")</f>
        <v>0</v>
      </c>
      <c r="AM62" s="347">
        <f t="shared" si="45"/>
        <v>0</v>
      </c>
      <c r="AN62" s="366"/>
    </row>
    <row r="63" spans="1:42" ht="15" customHeight="1">
      <c r="A63" s="347">
        <f>COUNTIF(C63:AG63,"★★")</f>
        <v>4</v>
      </c>
      <c r="B63" s="518" t="str">
        <f>IF(一覧!B47="","",一覧!B47)</f>
        <v>菊地　健</v>
      </c>
      <c r="C63" s="280" t="str">
        <f>IF(一覧!C47="","",一覧!C47)</f>
        <v>ミヤネ屋</v>
      </c>
      <c r="D63" s="280" t="str">
        <f>IF(一覧!D47="","",一覧!D47)</f>
        <v/>
      </c>
      <c r="E63" s="280" t="str">
        <f>IF(一覧!E47="","",一覧!E47)</f>
        <v>うさかめ</v>
      </c>
      <c r="F63" s="280" t="str">
        <f>IF(一覧!F47="","",一覧!F47)</f>
        <v>機材整備</v>
      </c>
      <c r="G63" s="280" t="str">
        <f>IF(一覧!G47="","",一覧!G47)</f>
        <v>吉田粗品</v>
      </c>
      <c r="H63" s="281" t="str">
        <f>IF(一覧!H47="","",一覧!H47)</f>
        <v>★</v>
      </c>
      <c r="I63" s="280" t="str">
        <f>IF(一覧!I47="","",一覧!I47)</f>
        <v>★★</v>
      </c>
      <c r="J63" s="280" t="str">
        <f>IF(一覧!J47="","",一覧!J47)</f>
        <v>吉田粗品</v>
      </c>
      <c r="K63" s="280" t="str">
        <f>IF(一覧!K47="","",一覧!K47)</f>
        <v>中継車WG</v>
      </c>
      <c r="L63" s="280" t="str">
        <f>IF(一覧!L47="","",一覧!L47)</f>
        <v>声</v>
      </c>
      <c r="M63" s="280" t="str">
        <f>IF(一覧!M47="","",一覧!M47)</f>
        <v>ミヤネ屋</v>
      </c>
      <c r="N63" s="280" t="str">
        <f>IF(一覧!N47="","",一覧!N47)</f>
        <v>ミヤネ屋</v>
      </c>
      <c r="O63" s="281"/>
      <c r="P63" s="280" t="str">
        <f>IF(一覧!P47="","",一覧!P47)</f>
        <v>★★</v>
      </c>
      <c r="Q63" s="280" t="str">
        <f>IF(一覧!Q47="","",一覧!Q47)</f>
        <v>★</v>
      </c>
      <c r="R63" s="280" t="str">
        <f>IF(一覧!R47="","",一覧!R47)</f>
        <v>ミヤネ屋</v>
      </c>
      <c r="S63" s="280" t="str">
        <f>IF(一覧!S47="","",一覧!S47)</f>
        <v>ｔｅｎ！</v>
      </c>
      <c r="T63" s="280" t="str">
        <f>IF(一覧!T47="","",一覧!T47)</f>
        <v>吉田粗品</v>
      </c>
      <c r="U63" s="280" t="str">
        <f>IF(一覧!U47="","",一覧!U47)</f>
        <v>機材整備</v>
      </c>
      <c r="V63" s="281" t="str">
        <f>IF(一覧!V47="","",一覧!V47)</f>
        <v>★</v>
      </c>
      <c r="W63" s="280" t="str">
        <f>IF(一覧!W47="","",一覧!W47)</f>
        <v>★★</v>
      </c>
      <c r="X63" s="280" t="str">
        <f>IF(一覧!X47="","",一覧!X47)</f>
        <v>ノビしろ</v>
      </c>
      <c r="Y63" s="280" t="str">
        <f>IF(一覧!Y47="","",一覧!Y47)</f>
        <v>ミヤネ屋</v>
      </c>
      <c r="Z63" s="280" t="str">
        <f>IF(一覧!Z47="","",一覧!Z47)</f>
        <v>VEG会議</v>
      </c>
      <c r="AA63" s="280" t="str">
        <f>IF(一覧!AA47="","",一覧!AA47)</f>
        <v>　　　━</v>
      </c>
      <c r="AB63" s="280" t="str">
        <f>IF(一覧!AB47="","",一覧!AB47)</f>
        <v>━　　　</v>
      </c>
      <c r="AC63" s="281" t="str">
        <f>IF(一覧!AC47="","",一覧!AC47)</f>
        <v>★</v>
      </c>
      <c r="AD63" s="280" t="str">
        <f>IF(一覧!AD47="","",一覧!AD47)</f>
        <v>★★</v>
      </c>
      <c r="AE63" s="280" t="str">
        <f>IF(一覧!AE47="","",一覧!AE47)</f>
        <v>ミヤネ屋</v>
      </c>
      <c r="AF63" s="280" t="str">
        <f>IF(一覧!AF47="","",一覧!AF47)</f>
        <v>X準備</v>
      </c>
      <c r="AG63" s="282" t="str">
        <f>IF(一覧!AG47="","",一覧!AG47)</f>
        <v/>
      </c>
      <c r="AH63" s="519" t="str">
        <f>IF(一覧!AH47="","",一覧!AH47)</f>
        <v>菊地</v>
      </c>
      <c r="AI63" s="347">
        <f t="shared" si="0"/>
        <v>2</v>
      </c>
      <c r="AJ63" s="347">
        <f t="shared" ref="AJ63" si="107">COUNTIF(C63:AG63,"　　　━")+COUNTIF(D64:AG64,"　　　━")</f>
        <v>1</v>
      </c>
      <c r="AK63" s="347">
        <f t="shared" si="43"/>
        <v>0</v>
      </c>
      <c r="AL63" s="347">
        <f t="shared" si="106"/>
        <v>1</v>
      </c>
      <c r="AM63" s="347">
        <f t="shared" ref="AM63:AM64" si="108">COUNTIF(C63:AG63,"ＲＤ")</f>
        <v>0</v>
      </c>
      <c r="AN63" s="366">
        <f t="shared" ref="AN63" si="109">COUNTIF(C63:AG63,"じゅっと")</f>
        <v>0</v>
      </c>
      <c r="AO63" s="347">
        <f>COUNTIF(C63:AG63,"ウェーク")</f>
        <v>0</v>
      </c>
      <c r="AP63" s="347">
        <f t="shared" ref="AP63" si="110">COUNTIF(C63:AG63,"ノビしろ")</f>
        <v>1</v>
      </c>
    </row>
    <row r="64" spans="1:42" ht="15" customHeight="1" thickBot="1">
      <c r="A64" s="347">
        <f>COUNTIF(C63:AG63,"★")</f>
        <v>4</v>
      </c>
      <c r="B64" s="424" t="str">
        <f>IF(一覧!B48="","",一覧!B48)</f>
        <v/>
      </c>
      <c r="C64" s="482" t="str">
        <f>IF(一覧!C48="","",一覧!C48)</f>
        <v>ＴＤ</v>
      </c>
      <c r="D64" s="482" t="str">
        <f>IF(一覧!D48="","",一覧!D48)</f>
        <v/>
      </c>
      <c r="E64" s="482" t="str">
        <f>IF(一覧!E48="","",一覧!E48)</f>
        <v>ＶＥ</v>
      </c>
      <c r="F64" s="482" t="str">
        <f>IF(一覧!F48="","",一覧!F48)</f>
        <v/>
      </c>
      <c r="G64" s="482" t="str">
        <f>IF(一覧!G48="","",一覧!G48)</f>
        <v>ＶＥ</v>
      </c>
      <c r="H64" s="483" t="str">
        <f>IF(一覧!H48="","",一覧!H48)</f>
        <v/>
      </c>
      <c r="I64" s="482" t="str">
        <f>IF(一覧!I48="","",一覧!I48)</f>
        <v/>
      </c>
      <c r="J64" s="482" t="str">
        <f>IF(一覧!J48="","",一覧!J48)</f>
        <v>打合せ</v>
      </c>
      <c r="K64" s="482" t="str">
        <f>IF(一覧!K48="","",一覧!K48)</f>
        <v/>
      </c>
      <c r="L64" s="482" t="str">
        <f>IF(一覧!L48="","",一覧!L48)</f>
        <v>ＶＥ</v>
      </c>
      <c r="M64" s="482" t="str">
        <f>IF(一覧!M48="","",一覧!M48)</f>
        <v>ＴＤ</v>
      </c>
      <c r="N64" s="482" t="str">
        <f>IF(一覧!N48="","",一覧!N48)</f>
        <v>ＶＥ</v>
      </c>
      <c r="O64" s="483" t="str">
        <f>IF(一覧!O48="","",一覧!O48)</f>
        <v>ＶＥ</v>
      </c>
      <c r="P64" s="482" t="str">
        <f>IF(一覧!P48="","",一覧!P48)</f>
        <v/>
      </c>
      <c r="Q64" s="482" t="str">
        <f>IF(一覧!Q48="","",一覧!Q48)</f>
        <v/>
      </c>
      <c r="R64" s="482" t="str">
        <f>IF(一覧!R48="","",一覧!R48)</f>
        <v>ＴＤ</v>
      </c>
      <c r="S64" s="482" t="str">
        <f>IF(一覧!S48="","",一覧!S48)</f>
        <v>ＴＤ</v>
      </c>
      <c r="T64" s="482" t="str">
        <f>IF(一覧!T48="","",一覧!T48)</f>
        <v>ＶＥ</v>
      </c>
      <c r="U64" s="482" t="str">
        <f>IF(一覧!U48="","",一覧!U48)</f>
        <v/>
      </c>
      <c r="V64" s="483" t="str">
        <f>IF(一覧!V48="","",一覧!V48)</f>
        <v/>
      </c>
      <c r="W64" s="482" t="str">
        <f>IF(一覧!W48="","",一覧!W48)</f>
        <v/>
      </c>
      <c r="X64" s="482" t="str">
        <f>IF(一覧!X48="","",一覧!X48)</f>
        <v>ＶＥ</v>
      </c>
      <c r="Y64" s="482" t="str">
        <f>IF(一覧!Y48="","",一覧!Y48)</f>
        <v>ＶＥ</v>
      </c>
      <c r="Z64" s="482" t="str">
        <f>IF(一覧!Z48="","",一覧!Z48)</f>
        <v/>
      </c>
      <c r="AA64" s="482" t="str">
        <f>IF(一覧!AA48="","",一覧!AA48)</f>
        <v/>
      </c>
      <c r="AB64" s="482" t="str">
        <f>IF(一覧!AB48="","",一覧!AB48)</f>
        <v/>
      </c>
      <c r="AC64" s="483" t="str">
        <f>IF(一覧!AC48="","",一覧!AC48)</f>
        <v/>
      </c>
      <c r="AD64" s="482" t="str">
        <f>IF(一覧!AD48="","",一覧!AD48)</f>
        <v/>
      </c>
      <c r="AE64" s="482" t="str">
        <f>IF(一覧!AE48="","",一覧!AE48)</f>
        <v>ＶＥ</v>
      </c>
      <c r="AF64" s="482" t="str">
        <f>IF(一覧!AF48="","",一覧!AF48)</f>
        <v/>
      </c>
      <c r="AG64" s="484" t="str">
        <f>IF(一覧!AG48="","",一覧!AG48)</f>
        <v/>
      </c>
      <c r="AH64" s="425" t="str">
        <f>IF(一覧!AH48="","",一覧!AH48)</f>
        <v/>
      </c>
      <c r="AI64" s="347">
        <f>SUM(AJ64,AN64,AO64,AP64)</f>
        <v>0</v>
      </c>
      <c r="AK64" s="347">
        <f t="shared" si="43"/>
        <v>0</v>
      </c>
      <c r="AL64" s="347">
        <f t="shared" si="106"/>
        <v>0</v>
      </c>
      <c r="AM64" s="347">
        <f t="shared" si="108"/>
        <v>0</v>
      </c>
      <c r="AN64" s="366"/>
    </row>
    <row r="65" spans="1:42" ht="15" customHeight="1">
      <c r="A65" s="347">
        <f>COUNTIF(C65:AG65,"★★")</f>
        <v>4</v>
      </c>
      <c r="B65" s="518" t="str">
        <f>IF(一覧!B95="","",一覧!B95)</f>
        <v>松本　学</v>
      </c>
      <c r="C65" s="280" t="str">
        <f>IF(一覧!C95="","",一覧!C95)</f>
        <v>ｔｅｎ！</v>
      </c>
      <c r="D65" s="280" t="str">
        <f>IF(一覧!D95="","",一覧!D95)</f>
        <v>ミヤネ屋</v>
      </c>
      <c r="E65" s="280" t="str">
        <f>IF(一覧!E95="","",一覧!E95)</f>
        <v>ミヤネ屋</v>
      </c>
      <c r="F65" s="280" t="str">
        <f>IF(一覧!F95="","",一覧!F95)</f>
        <v>年休</v>
      </c>
      <c r="G65" s="280" t="str">
        <f>IF(一覧!G95="","",一覧!G95)</f>
        <v>年休</v>
      </c>
      <c r="H65" s="281" t="str">
        <f>IF(一覧!H95="","",一覧!H95)</f>
        <v>ジグザグ</v>
      </c>
      <c r="I65" s="280" t="str">
        <f>IF(一覧!I95="","",一覧!I95)</f>
        <v>★★</v>
      </c>
      <c r="J65" s="280" t="str">
        <f>IF(一覧!J95="","",一覧!J95)</f>
        <v>ｔｅｎ！</v>
      </c>
      <c r="K65" s="280" t="str">
        <f>IF(一覧!K95="","",一覧!K95)</f>
        <v>じゅっと</v>
      </c>
      <c r="L65" s="280" t="str">
        <f>IF(一覧!L95="","",一覧!L95)</f>
        <v>年休</v>
      </c>
      <c r="M65" s="280" t="str">
        <f>IF(一覧!M95="","",一覧!M95)</f>
        <v>★</v>
      </c>
      <c r="N65" s="280" t="str">
        <f>IF(一覧!N95="","",一覧!N95)</f>
        <v>委員会</v>
      </c>
      <c r="O65" s="281" t="str">
        <f>IF(一覧!O95="","",一覧!O95)</f>
        <v>★</v>
      </c>
      <c r="P65" s="280" t="str">
        <f>IF(一覧!P95="","",一覧!P95)</f>
        <v>★★</v>
      </c>
      <c r="Q65" s="280" t="str">
        <f>IF(一覧!Q95="","",一覧!Q95)</f>
        <v>ｔｅｎ！</v>
      </c>
      <c r="R65" s="280" t="str">
        <f>IF(一覧!R95="","",一覧!R95)</f>
        <v>ミヤネ屋</v>
      </c>
      <c r="S65" s="280" t="str">
        <f>IF(一覧!S95="","",一覧!S95)</f>
        <v>じゅっと</v>
      </c>
      <c r="T65" s="280" t="str">
        <f>IF(一覧!T95="","",一覧!T95)</f>
        <v>ミヤネ屋</v>
      </c>
      <c r="U65" s="280" t="str">
        <f>IF(一覧!U95="","",一覧!U95)</f>
        <v>ｶﾒﾗG会</v>
      </c>
      <c r="V65" s="281" t="str">
        <f>IF(一覧!V95="","",一覧!V95)</f>
        <v>★</v>
      </c>
      <c r="W65" s="280" t="str">
        <f>IF(一覧!W95="","",一覧!W95)</f>
        <v>★★</v>
      </c>
      <c r="X65" s="280" t="str">
        <f>IF(一覧!X95="","",一覧!X95)</f>
        <v>ｔｅｎ！</v>
      </c>
      <c r="Y65" s="280" t="str">
        <f>IF(一覧!Y95="","",一覧!Y95)</f>
        <v>じゅっと</v>
      </c>
      <c r="Z65" s="280" t="str">
        <f>IF(一覧!Z95="","",一覧!Z95)</f>
        <v>ミヤネ屋</v>
      </c>
      <c r="AA65" s="280" t="str">
        <f>IF(一覧!AA95="","",一覧!AA95)</f>
        <v>ｔｅｎ！</v>
      </c>
      <c r="AB65" s="280" t="str">
        <f>IF(一覧!AB95="","",一覧!AB95)</f>
        <v>委員会</v>
      </c>
      <c r="AC65" s="281" t="str">
        <f>IF(一覧!AC95="","",一覧!AC95)</f>
        <v>★</v>
      </c>
      <c r="AD65" s="280" t="str">
        <f>IF(一覧!AD95="","",一覧!AD95)</f>
        <v>★★</v>
      </c>
      <c r="AE65" s="280" t="str">
        <f>IF(一覧!AE95="","",一覧!AE95)</f>
        <v>ミヤネ屋</v>
      </c>
      <c r="AF65" s="280" t="str">
        <f>IF(一覧!AF95="","",一覧!AF95)</f>
        <v>ミヤネ屋</v>
      </c>
      <c r="AG65" s="282" t="str">
        <f>IF(一覧!AG95="","",一覧!AG95)</f>
        <v/>
      </c>
      <c r="AH65" s="519" t="str">
        <f>IF(一覧!AH95="","",一覧!AH95)</f>
        <v>松本</v>
      </c>
      <c r="AI65" s="347">
        <f t="shared" si="0"/>
        <v>3</v>
      </c>
      <c r="AK65" s="347">
        <f t="shared" ref="AK65:AK67" si="111">COUNTIF(C65:AG65,"NsubTD")</f>
        <v>0</v>
      </c>
      <c r="AL65" s="347">
        <f t="shared" ref="AL65:AL67" si="112">COUNTIF(C65:AG65,"ｔｅｎ！")</f>
        <v>5</v>
      </c>
      <c r="AM65" s="347">
        <f t="shared" ref="AM65:AM67" si="113">COUNTIF(C65:AG65,"ＲＤ")</f>
        <v>0</v>
      </c>
      <c r="AN65" s="366">
        <f t="shared" ref="AN65:AN67" si="114">COUNTIF(C65:AG65,"じゅっと")</f>
        <v>3</v>
      </c>
      <c r="AO65" s="347">
        <f t="shared" ref="AO65:AO67" si="115">COUNTIF(C65:AG65,"ウェーク")</f>
        <v>0</v>
      </c>
      <c r="AP65" s="347">
        <f t="shared" ref="AP65:AP67" si="116">COUNTIF(C65:AG65,"ノビしろ")</f>
        <v>0</v>
      </c>
    </row>
    <row r="66" spans="1:42" ht="15" customHeight="1" thickBot="1">
      <c r="A66" s="347">
        <f>COUNTIF(C65:AG65,"★")</f>
        <v>4</v>
      </c>
      <c r="B66" s="424" t="str">
        <f>IF(一覧!B97="","",一覧!B97)</f>
        <v>松下　英男</v>
      </c>
      <c r="C66" s="482" t="str">
        <f>IF(一覧!C97="","",一覧!C97)</f>
        <v>ミヤネ屋</v>
      </c>
      <c r="D66" s="482" t="str">
        <f>IF(一覧!D97="","",一覧!D97)</f>
        <v>ミヤネ屋</v>
      </c>
      <c r="E66" s="482" t="str">
        <f>IF(一覧!E97="","",一覧!E97)</f>
        <v>年休</v>
      </c>
      <c r="F66" s="482" t="str">
        <f>IF(一覧!F97="","",一覧!F97)</f>
        <v>ミヤネ屋</v>
      </c>
      <c r="G66" s="482" t="str">
        <f>IF(一覧!G97="","",一覧!G97)</f>
        <v>ミヤネ屋</v>
      </c>
      <c r="H66" s="483" t="str">
        <f>IF(一覧!H97="","",一覧!H97)</f>
        <v>★</v>
      </c>
      <c r="I66" s="482" t="str">
        <f>IF(一覧!I97="","",一覧!I97)</f>
        <v>★★</v>
      </c>
      <c r="J66" s="482" t="str">
        <f>IF(一覧!J97="","",一覧!J97)</f>
        <v>昼NTD</v>
      </c>
      <c r="K66" s="482" t="str">
        <f>IF(一覧!K97="","",一覧!K97)</f>
        <v>ミヤネ屋</v>
      </c>
      <c r="L66" s="482" t="str">
        <f>IF(一覧!L97="","",一覧!L97)</f>
        <v>じゅっと</v>
      </c>
      <c r="M66" s="482" t="str">
        <f>IF(一覧!M97="","",一覧!M97)</f>
        <v>ｔｅｎ！</v>
      </c>
      <c r="N66" s="482" t="str">
        <f>IF(一覧!N97="","",一覧!N97)</f>
        <v>ミヤネ屋</v>
      </c>
      <c r="O66" s="483" t="str">
        <f>IF(一覧!O97="","",一覧!O97)</f>
        <v>★★</v>
      </c>
      <c r="P66" s="482" t="str">
        <f>IF(一覧!P97="","",一覧!P97)</f>
        <v>ﾍﾘ訓練VE</v>
      </c>
      <c r="Q66" s="482" t="str">
        <f>IF(一覧!Q97="","",一覧!Q97)</f>
        <v>★</v>
      </c>
      <c r="R66" s="482" t="str">
        <f>IF(一覧!R97="","",一覧!R97)</f>
        <v>じゅっと</v>
      </c>
      <c r="S66" s="482" t="str">
        <f>IF(一覧!S97="","",一覧!S97)</f>
        <v>年休</v>
      </c>
      <c r="T66" s="482" t="str">
        <f>IF(一覧!T97="","",一覧!T97)</f>
        <v>ｔｅｎ！</v>
      </c>
      <c r="U66" s="482" t="str">
        <f>IF(一覧!U97="","",一覧!U97)</f>
        <v>ｔｅｎ！</v>
      </c>
      <c r="V66" s="483" t="str">
        <f>IF(一覧!V97="","",一覧!V97)</f>
        <v>★</v>
      </c>
      <c r="W66" s="482" t="str">
        <f>IF(一覧!W97="","",一覧!W97)</f>
        <v>★★</v>
      </c>
      <c r="X66" s="482" t="str">
        <f>IF(一覧!X97="","",一覧!X97)</f>
        <v>昼NTD</v>
      </c>
      <c r="Y66" s="482" t="str">
        <f>IF(一覧!Y97="","",一覧!Y97)</f>
        <v>ｔｅｎ！</v>
      </c>
      <c r="Z66" s="482" t="str">
        <f>IF(一覧!Z97="","",一覧!Z97)</f>
        <v>じゅっと</v>
      </c>
      <c r="AA66" s="482" t="str">
        <f>IF(一覧!AA97="","",一覧!AA97)</f>
        <v>ｔｅｎ！</v>
      </c>
      <c r="AB66" s="482" t="str">
        <f>IF(一覧!AB97="","",一覧!AB97)</f>
        <v>ミヤネ屋</v>
      </c>
      <c r="AC66" s="483" t="str">
        <f>IF(一覧!AC97="","",一覧!AC97)</f>
        <v>★</v>
      </c>
      <c r="AD66" s="482" t="str">
        <f>IF(一覧!AD97="","",一覧!AD97)</f>
        <v>★★</v>
      </c>
      <c r="AE66" s="482" t="str">
        <f>IF(一覧!AE97="","",一覧!AE97)</f>
        <v>昼NTD</v>
      </c>
      <c r="AF66" s="482" t="str">
        <f>IF(一覧!AF97="","",一覧!AF97)</f>
        <v>じゅっと</v>
      </c>
      <c r="AG66" s="484" t="str">
        <f>IF(一覧!AG97="","",一覧!AG97)</f>
        <v/>
      </c>
      <c r="AH66" s="425" t="str">
        <f>IF(一覧!AH97="","",一覧!AH97)</f>
        <v>松下</v>
      </c>
      <c r="AI66" s="347">
        <f>SUM(AJ66,AN66,AO66,AP66)</f>
        <v>4</v>
      </c>
      <c r="AK66" s="347">
        <f t="shared" si="111"/>
        <v>0</v>
      </c>
      <c r="AL66" s="347">
        <f t="shared" si="112"/>
        <v>5</v>
      </c>
      <c r="AM66" s="347">
        <f t="shared" si="113"/>
        <v>0</v>
      </c>
      <c r="AN66" s="366">
        <f t="shared" si="114"/>
        <v>4</v>
      </c>
      <c r="AO66" s="347">
        <f t="shared" si="115"/>
        <v>0</v>
      </c>
      <c r="AP66" s="347">
        <f t="shared" si="116"/>
        <v>0</v>
      </c>
    </row>
    <row r="67" spans="1:42" ht="15" customHeight="1">
      <c r="B67" s="518" t="s">
        <v>482</v>
      </c>
      <c r="C67" s="343" t="str">
        <f>IF(一覧!C99="","",一覧!C99)</f>
        <v/>
      </c>
      <c r="D67" s="343" t="str">
        <f>IF(一覧!D99="","",一覧!D99)</f>
        <v/>
      </c>
      <c r="E67" s="343" t="str">
        <f>IF(一覧!E99="","",一覧!E99)</f>
        <v/>
      </c>
      <c r="F67" s="343" t="str">
        <f>IF(一覧!F99="","",一覧!F99)</f>
        <v/>
      </c>
      <c r="G67" s="343" t="str">
        <f>IF(一覧!G99="","",一覧!G99)</f>
        <v/>
      </c>
      <c r="H67" s="363" t="str">
        <f>IF(一覧!H99="","",一覧!H99)</f>
        <v/>
      </c>
      <c r="I67" s="343" t="str">
        <f>IF(一覧!I99="","",一覧!I99)</f>
        <v/>
      </c>
      <c r="J67" s="343" t="str">
        <f>IF(一覧!J99="","",一覧!J99)</f>
        <v>松下</v>
      </c>
      <c r="K67" s="343" t="str">
        <f>IF(一覧!K99="","",一覧!K99)</f>
        <v/>
      </c>
      <c r="L67" s="343" t="str">
        <f>IF(一覧!L99="","",一覧!L99)</f>
        <v/>
      </c>
      <c r="M67" s="343" t="str">
        <f>IF(一覧!M99="","",一覧!M99)</f>
        <v/>
      </c>
      <c r="N67" s="343" t="str">
        <f>IF(一覧!N99="","",一覧!N99)</f>
        <v/>
      </c>
      <c r="O67" s="363" t="str">
        <f>IF(一覧!O99="","",一覧!O99)</f>
        <v/>
      </c>
      <c r="P67" s="343" t="str">
        <f>IF(一覧!P99="","",一覧!P99)</f>
        <v/>
      </c>
      <c r="Q67" s="343" t="str">
        <f>IF(一覧!Q99="","",一覧!Q99)</f>
        <v/>
      </c>
      <c r="R67" s="343" t="str">
        <f>IF(一覧!R99="","",一覧!R99)</f>
        <v/>
      </c>
      <c r="S67" s="343" t="str">
        <f>IF(一覧!S99="","",一覧!S99)</f>
        <v/>
      </c>
      <c r="T67" s="343" t="str">
        <f>IF(一覧!T99="","",一覧!T99)</f>
        <v/>
      </c>
      <c r="U67" s="343" t="str">
        <f>IF(一覧!U99="","",一覧!U99)</f>
        <v/>
      </c>
      <c r="V67" s="363" t="str">
        <f>IF(一覧!V99="","",一覧!V99)</f>
        <v/>
      </c>
      <c r="W67" s="343" t="str">
        <f>IF(一覧!W99="","",一覧!W99)</f>
        <v/>
      </c>
      <c r="X67" s="343" t="str">
        <f>IF(一覧!X99="","",一覧!X99)</f>
        <v>松下</v>
      </c>
      <c r="Y67" s="343" t="str">
        <f>IF(一覧!Y99="","",一覧!Y99)</f>
        <v/>
      </c>
      <c r="Z67" s="343" t="str">
        <f>IF(一覧!Z99="","",一覧!Z99)</f>
        <v/>
      </c>
      <c r="AA67" s="343" t="str">
        <f>IF(一覧!AA99="","",一覧!AA99)</f>
        <v/>
      </c>
      <c r="AB67" s="343" t="str">
        <f>IF(一覧!AB99="","",一覧!AB99)</f>
        <v/>
      </c>
      <c r="AC67" s="363" t="str">
        <f>IF(一覧!AC99="","",一覧!AC99)</f>
        <v/>
      </c>
      <c r="AD67" s="343" t="str">
        <f>IF(一覧!AD99="","",一覧!AD99)</f>
        <v/>
      </c>
      <c r="AE67" s="343" t="str">
        <f>IF(一覧!AE99="","",一覧!AE99)</f>
        <v>松下</v>
      </c>
      <c r="AF67" s="343" t="str">
        <f>IF(一覧!AF99="","",一覧!AF99)</f>
        <v/>
      </c>
      <c r="AG67" s="364" t="str">
        <f>IF(一覧!AG99="","",一覧!AG99)</f>
        <v/>
      </c>
      <c r="AH67" s="519" t="s">
        <v>482</v>
      </c>
      <c r="AJ67" s="347">
        <f>SUM(AJ65:AJ66)+COUNTIF(C67:AG67,"NT")</f>
        <v>0</v>
      </c>
      <c r="AK67" s="347">
        <f t="shared" si="111"/>
        <v>0</v>
      </c>
      <c r="AL67" s="347">
        <f t="shared" si="112"/>
        <v>0</v>
      </c>
      <c r="AM67" s="347">
        <f t="shared" si="113"/>
        <v>0</v>
      </c>
      <c r="AN67" s="366">
        <f t="shared" si="114"/>
        <v>0</v>
      </c>
      <c r="AO67" s="347">
        <f t="shared" si="115"/>
        <v>0</v>
      </c>
      <c r="AP67" s="347">
        <f t="shared" si="116"/>
        <v>0</v>
      </c>
    </row>
    <row r="68" spans="1:42" ht="15" customHeight="1" thickBot="1">
      <c r="B68" s="424" t="s">
        <v>483</v>
      </c>
      <c r="C68" s="485" t="str">
        <f>IF(一覧!C101="","",一覧!C101)</f>
        <v/>
      </c>
      <c r="D68" s="485" t="str">
        <f>IF(一覧!D101="","",一覧!D101)</f>
        <v/>
      </c>
      <c r="E68" s="485" t="str">
        <f>IF(一覧!E101="","",一覧!E101)</f>
        <v/>
      </c>
      <c r="F68" s="485" t="str">
        <f>IF(一覧!F101="","",一覧!F101)</f>
        <v/>
      </c>
      <c r="G68" s="485" t="str">
        <f>IF(一覧!G101="","",一覧!G101)</f>
        <v/>
      </c>
      <c r="H68" s="486" t="str">
        <f>IF(一覧!H101="","",一覧!H101)</f>
        <v/>
      </c>
      <c r="I68" s="485" t="str">
        <f>IF(一覧!I101="","",一覧!I101)</f>
        <v/>
      </c>
      <c r="J68" s="485" t="str">
        <f>IF(一覧!J101="","",一覧!J101)</f>
        <v/>
      </c>
      <c r="K68" s="485" t="str">
        <f>IF(一覧!K101="","",一覧!K101)</f>
        <v/>
      </c>
      <c r="L68" s="485" t="str">
        <f>IF(一覧!L101="","",一覧!L101)</f>
        <v/>
      </c>
      <c r="M68" s="485" t="str">
        <f>IF(一覧!M101="","",一覧!M101)</f>
        <v/>
      </c>
      <c r="N68" s="485" t="str">
        <f>IF(一覧!N101="","",一覧!N101)</f>
        <v/>
      </c>
      <c r="O68" s="486" t="str">
        <f>IF(一覧!O101="","",一覧!O101)</f>
        <v/>
      </c>
      <c r="P68" s="485" t="str">
        <f>IF(一覧!P101="","",一覧!P101)</f>
        <v/>
      </c>
      <c r="Q68" s="485" t="str">
        <f>IF(一覧!Q101="","",一覧!Q101)</f>
        <v/>
      </c>
      <c r="R68" s="485" t="str">
        <f>IF(一覧!R101="","",一覧!R101)</f>
        <v/>
      </c>
      <c r="S68" s="485" t="str">
        <f>IF(一覧!S101="","",一覧!S101)</f>
        <v/>
      </c>
      <c r="T68" s="485" t="str">
        <f>IF(一覧!T101="","",一覧!T101)</f>
        <v/>
      </c>
      <c r="U68" s="485" t="str">
        <f>IF(一覧!U101="","",一覧!U101)</f>
        <v>NT</v>
      </c>
      <c r="V68" s="486" t="str">
        <f>IF(一覧!V101="","",一覧!V101)</f>
        <v/>
      </c>
      <c r="W68" s="485" t="str">
        <f>IF(一覧!W101="","",一覧!W101)</f>
        <v/>
      </c>
      <c r="X68" s="485" t="str">
        <f>IF(一覧!X101="","",一覧!X101)</f>
        <v/>
      </c>
      <c r="Y68" s="485" t="str">
        <f>IF(一覧!Y101="","",一覧!Y101)</f>
        <v/>
      </c>
      <c r="Z68" s="485" t="str">
        <f>IF(一覧!Z101="","",一覧!Z101)</f>
        <v/>
      </c>
      <c r="AA68" s="485" t="str">
        <f>IF(一覧!AA101="","",一覧!AA101)</f>
        <v/>
      </c>
      <c r="AB68" s="485" t="str">
        <f>IF(一覧!AB101="","",一覧!AB101)</f>
        <v/>
      </c>
      <c r="AC68" s="486" t="str">
        <f>IF(一覧!AC101="","",一覧!AC101)</f>
        <v/>
      </c>
      <c r="AD68" s="485" t="str">
        <f>IF(一覧!AD101="","",一覧!AD101)</f>
        <v/>
      </c>
      <c r="AE68" s="485" t="str">
        <f>IF(一覧!AE101="","",一覧!AE101)</f>
        <v/>
      </c>
      <c r="AF68" s="485" t="str">
        <f>IF(一覧!AF101="","",一覧!AF101)</f>
        <v>NT</v>
      </c>
      <c r="AG68" s="487" t="str">
        <f>IF(一覧!AG101="","",一覧!AG101)</f>
        <v/>
      </c>
      <c r="AH68" s="425" t="s">
        <v>484</v>
      </c>
      <c r="AN68" s="366"/>
    </row>
    <row r="69" spans="1:42" ht="15" customHeight="1">
      <c r="A69" s="347">
        <f>COUNTIF(C69:AG69,"★★")</f>
        <v>4</v>
      </c>
      <c r="B69" s="518" t="str">
        <f>IF(一覧!B111="","",一覧!B111)</f>
        <v>杉本　麻也</v>
      </c>
      <c r="C69" s="280" t="str">
        <f>IF(一覧!C111="","",一覧!C111)</f>
        <v/>
      </c>
      <c r="D69" s="280" t="str">
        <f>IF(一覧!D111="","",一覧!D111)</f>
        <v/>
      </c>
      <c r="E69" s="280" t="str">
        <f>IF(一覧!E111="","",一覧!E111)</f>
        <v/>
      </c>
      <c r="F69" s="280" t="str">
        <f>IF(一覧!F111="","",一覧!F111)</f>
        <v/>
      </c>
      <c r="G69" s="280" t="str">
        <f>IF(一覧!G111="","",一覧!G111)</f>
        <v/>
      </c>
      <c r="H69" s="281" t="str">
        <f>IF(一覧!H111="","",一覧!H111)</f>
        <v>★</v>
      </c>
      <c r="I69" s="280" t="str">
        <f>IF(一覧!I111="","",一覧!I111)</f>
        <v>★★</v>
      </c>
      <c r="J69" s="280" t="str">
        <f>IF(一覧!J111="","",一覧!J111)</f>
        <v/>
      </c>
      <c r="K69" s="280" t="str">
        <f>IF(一覧!K111="","",一覧!K111)</f>
        <v/>
      </c>
      <c r="L69" s="280" t="str">
        <f>IF(一覧!L111="","",一覧!L111)</f>
        <v>年</v>
      </c>
      <c r="M69" s="280" t="str">
        <f>IF(一覧!M111="","",一覧!M111)</f>
        <v/>
      </c>
      <c r="N69" s="280" t="str">
        <f>IF(一覧!N111="","",一覧!N111)</f>
        <v>委員会</v>
      </c>
      <c r="O69" s="281" t="str">
        <f>IF(一覧!O111="","",一覧!O111)</f>
        <v>ジグザグ</v>
      </c>
      <c r="P69" s="280" t="str">
        <f>IF(一覧!P111="","",一覧!P111)</f>
        <v>★★</v>
      </c>
      <c r="Q69" s="280" t="str">
        <f>IF(一覧!Q111="","",一覧!Q111)</f>
        <v/>
      </c>
      <c r="R69" s="280" t="str">
        <f>IF(一覧!R111="","",一覧!R111)</f>
        <v/>
      </c>
      <c r="S69" s="280" t="str">
        <f>IF(一覧!S111="","",一覧!S111)</f>
        <v/>
      </c>
      <c r="T69" s="280" t="str">
        <f>IF(一覧!T111="","",一覧!T111)</f>
        <v>年</v>
      </c>
      <c r="U69" s="280" t="str">
        <f>IF(一覧!U111="","",一覧!U111)</f>
        <v>★</v>
      </c>
      <c r="V69" s="281" t="str">
        <f>IF(一覧!V111="","",一覧!V111)</f>
        <v>★</v>
      </c>
      <c r="W69" s="280" t="str">
        <f>IF(一覧!W111="","",一覧!W111)</f>
        <v>★★</v>
      </c>
      <c r="X69" s="280" t="str">
        <f>IF(一覧!X111="","",一覧!X111)</f>
        <v/>
      </c>
      <c r="Y69" s="280" t="str">
        <f>IF(一覧!Y111="","",一覧!Y111)</f>
        <v>ほんわか</v>
      </c>
      <c r="Z69" s="280" t="str">
        <f>IF(一覧!Z111="","",一覧!Z111)</f>
        <v/>
      </c>
      <c r="AA69" s="280" t="str">
        <f>IF(一覧!AA111="","",一覧!AA111)</f>
        <v/>
      </c>
      <c r="AB69" s="280" t="str">
        <f>IF(一覧!AB111="","",一覧!AB111)</f>
        <v/>
      </c>
      <c r="AC69" s="281" t="str">
        <f>IF(一覧!AC111="","",一覧!AC111)</f>
        <v>★</v>
      </c>
      <c r="AD69" s="280" t="str">
        <f>IF(一覧!AD111="","",一覧!AD111)</f>
        <v>★★</v>
      </c>
      <c r="AE69" s="280" t="str">
        <f>IF(一覧!AE111="","",一覧!AE111)</f>
        <v/>
      </c>
      <c r="AF69" s="280" t="str">
        <f>IF(一覧!AF111="","",一覧!AF111)</f>
        <v>年</v>
      </c>
      <c r="AG69" s="282" t="str">
        <f>IF(一覧!AG111="","",一覧!AG111)</f>
        <v/>
      </c>
      <c r="AH69" s="519" t="str">
        <f>IF(一覧!AH111="","",一覧!AH111)</f>
        <v>杉本</v>
      </c>
      <c r="AI69" s="347">
        <f>SUM(AJ69,AN69,AO69,AP69)</f>
        <v>0</v>
      </c>
      <c r="AJ69" s="347">
        <f>COUNTIF(C69:AG69,"　　　━")</f>
        <v>0</v>
      </c>
      <c r="AK69" s="347">
        <f>COUNTIF(C69:AG69,"NsubTD")</f>
        <v>0</v>
      </c>
      <c r="AL69" s="347">
        <f>COUNTIF(C69:AG69,"ｔｅｎ！")</f>
        <v>0</v>
      </c>
      <c r="AM69" s="347">
        <f>COUNTIF(C69:AG69,"ＲＤ")</f>
        <v>0</v>
      </c>
      <c r="AN69" s="366">
        <f t="shared" ref="AN69" si="117">COUNTIF(C69:AG69,"ＺＩＰ！")</f>
        <v>0</v>
      </c>
      <c r="AO69" s="347">
        <f>COUNTIF(C69:AG69,"ウェーク")</f>
        <v>0</v>
      </c>
      <c r="AP69" s="347">
        <f t="shared" ref="AP69" si="118">COUNTIF(C69:AG69,"ノビしろ")</f>
        <v>0</v>
      </c>
    </row>
    <row r="70" spans="1:42" ht="15" customHeight="1" thickBot="1">
      <c r="A70" s="347">
        <f>COUNTIF(C69:AG69,"★")</f>
        <v>4</v>
      </c>
      <c r="B70" s="424" t="str">
        <f>IF(一覧!B112="","",一覧!B112)</f>
        <v/>
      </c>
      <c r="C70" s="482" t="str">
        <f>IF(一覧!C112="","",一覧!C112)</f>
        <v>局会</v>
      </c>
      <c r="D70" s="482" t="str">
        <f>IF(一覧!D112="","",一覧!D112)</f>
        <v>進行G会</v>
      </c>
      <c r="E70" s="482" t="str">
        <f>IF(一覧!E112="","",一覧!E112)</f>
        <v/>
      </c>
      <c r="F70" s="482" t="str">
        <f>IF(一覧!F112="","",一覧!F112)</f>
        <v/>
      </c>
      <c r="G70" s="482" t="str">
        <f>IF(一覧!G112="","",一覧!G112)</f>
        <v/>
      </c>
      <c r="H70" s="483" t="str">
        <f>IF(一覧!H112="","",一覧!H112)</f>
        <v/>
      </c>
      <c r="I70" s="482" t="str">
        <f>IF(一覧!I112="","",一覧!I112)</f>
        <v/>
      </c>
      <c r="J70" s="482" t="str">
        <f>IF(一覧!J112="","",一覧!J112)</f>
        <v/>
      </c>
      <c r="K70" s="482" t="str">
        <f>IF(一覧!K112="","",一覧!K112)</f>
        <v/>
      </c>
      <c r="L70" s="482" t="str">
        <f>IF(一覧!L112="","",一覧!L112)</f>
        <v>※</v>
      </c>
      <c r="M70" s="482" t="str">
        <f>IF(一覧!M112="","",一覧!M112)</f>
        <v/>
      </c>
      <c r="N70" s="482" t="str">
        <f>IF(一覧!N112="","",一覧!N112)</f>
        <v>ＣＡＭ</v>
      </c>
      <c r="O70" s="483" t="str">
        <f>IF(一覧!O112="","",一覧!O112)</f>
        <v>ＳＷ</v>
      </c>
      <c r="P70" s="482" t="str">
        <f>IF(一覧!P112="","",一覧!P112)</f>
        <v>※</v>
      </c>
      <c r="Q70" s="482" t="str">
        <f>IF(一覧!Q112="","",一覧!Q112)</f>
        <v/>
      </c>
      <c r="R70" s="482" t="str">
        <f>IF(一覧!R112="","",一覧!R112)</f>
        <v>進行G会</v>
      </c>
      <c r="S70" s="482" t="str">
        <f>IF(一覧!S112="","",一覧!S112)</f>
        <v>ﾏｽﾀｰG会</v>
      </c>
      <c r="T70" s="482" t="str">
        <f>IF(一覧!T112="","",一覧!T112)</f>
        <v>※</v>
      </c>
      <c r="U70" s="482" t="str">
        <f>IF(一覧!U112="","",一覧!U112)</f>
        <v>※</v>
      </c>
      <c r="V70" s="483" t="str">
        <f>IF(一覧!V112="","",一覧!V112)</f>
        <v>※</v>
      </c>
      <c r="W70" s="482" t="str">
        <f>IF(一覧!W112="","",一覧!W112)</f>
        <v>※</v>
      </c>
      <c r="X70" s="482" t="str">
        <f>IF(一覧!X112="","",一覧!X112)</f>
        <v/>
      </c>
      <c r="Y70" s="482" t="str">
        <f>IF(一覧!Y112="","",一覧!Y112)</f>
        <v>ＣＡＭ</v>
      </c>
      <c r="Z70" s="482" t="str">
        <f>IF(一覧!Z112="","",一覧!Z112)</f>
        <v/>
      </c>
      <c r="AA70" s="482" t="str">
        <f>IF(一覧!AA112="","",一覧!AA112)</f>
        <v/>
      </c>
      <c r="AB70" s="482" t="str">
        <f>IF(一覧!AB112="","",一覧!AB112)</f>
        <v/>
      </c>
      <c r="AC70" s="483" t="str">
        <f>IF(一覧!AC112="","",一覧!AC112)</f>
        <v/>
      </c>
      <c r="AD70" s="482" t="str">
        <f>IF(一覧!AD112="","",一覧!AD112)</f>
        <v/>
      </c>
      <c r="AE70" s="482" t="str">
        <f>IF(一覧!AE112="","",一覧!AE112)</f>
        <v/>
      </c>
      <c r="AF70" s="482" t="str">
        <f>IF(一覧!AF112="","",一覧!AF112)</f>
        <v>※</v>
      </c>
      <c r="AG70" s="484" t="str">
        <f>IF(一覧!AG112="","",一覧!AG112)</f>
        <v/>
      </c>
      <c r="AH70" s="425" t="str">
        <f>IF(一覧!AH112="","",一覧!AH112)</f>
        <v/>
      </c>
      <c r="AI70" s="347">
        <f>SUM(AJ70,AN70,AO70,AP70)</f>
        <v>0</v>
      </c>
      <c r="AK70" s="347">
        <f>COUNTIF(C70:AG70,"NsubTD")</f>
        <v>0</v>
      </c>
      <c r="AL70" s="347">
        <f>COUNTIF(C70:AG70,"ｔｅｎ！")</f>
        <v>0</v>
      </c>
      <c r="AM70" s="347">
        <f>COUNTIF(C70:AG70,"ＲＤ")</f>
        <v>0</v>
      </c>
      <c r="AN70" s="366"/>
    </row>
    <row r="71" spans="1:42" ht="15" customHeight="1" thickBot="1">
      <c r="B71" s="372"/>
      <c r="C71" s="236"/>
      <c r="D71" s="236"/>
      <c r="E71" s="236"/>
      <c r="F71" s="236"/>
      <c r="G71" s="236"/>
      <c r="H71" s="235"/>
      <c r="I71" s="236"/>
      <c r="J71" s="236"/>
      <c r="K71" s="236"/>
      <c r="L71" s="236"/>
      <c r="M71" s="236"/>
      <c r="N71" s="236"/>
      <c r="O71" s="235"/>
      <c r="P71" s="236"/>
      <c r="Q71" s="236"/>
      <c r="R71" s="236"/>
      <c r="S71" s="236"/>
      <c r="T71" s="236"/>
      <c r="U71" s="236"/>
      <c r="V71" s="235"/>
      <c r="W71" s="236"/>
      <c r="X71" s="236"/>
      <c r="Y71" s="236"/>
      <c r="Z71" s="236"/>
      <c r="AA71" s="236"/>
      <c r="AB71" s="236"/>
      <c r="AC71" s="235"/>
      <c r="AD71" s="236"/>
      <c r="AE71" s="236"/>
      <c r="AF71" s="236"/>
      <c r="AG71" s="267"/>
      <c r="AH71" s="371"/>
      <c r="AN71" s="366"/>
    </row>
    <row r="72" spans="1:42" ht="15" customHeight="1" thickTop="1">
      <c r="C72" s="368"/>
      <c r="D72" s="368"/>
      <c r="E72" s="368"/>
      <c r="F72" s="368"/>
      <c r="G72" s="368"/>
      <c r="H72" s="368"/>
      <c r="I72" s="368"/>
      <c r="J72" s="368"/>
      <c r="K72" s="368"/>
      <c r="L72" s="368"/>
      <c r="M72" s="368"/>
      <c r="N72" s="368"/>
      <c r="O72" s="368"/>
      <c r="P72" s="368"/>
      <c r="Q72" s="368"/>
      <c r="R72" s="368"/>
      <c r="S72" s="368"/>
      <c r="T72" s="368"/>
      <c r="U72" s="368"/>
      <c r="V72" s="368"/>
      <c r="W72" s="368"/>
      <c r="X72" s="368"/>
      <c r="Y72" s="368"/>
      <c r="Z72" s="368"/>
      <c r="AA72" s="368"/>
      <c r="AB72" s="368"/>
      <c r="AC72" s="368"/>
      <c r="AD72" s="368"/>
      <c r="AE72" s="368"/>
      <c r="AF72" s="368"/>
      <c r="AG72" s="368"/>
      <c r="AN72" s="366"/>
    </row>
    <row r="73" spans="1:42" ht="15" customHeight="1">
      <c r="C73" s="368"/>
      <c r="D73" s="368"/>
      <c r="E73" s="368"/>
      <c r="F73" s="368"/>
      <c r="G73" s="368"/>
      <c r="H73" s="368"/>
      <c r="I73" s="368"/>
      <c r="J73" s="368"/>
      <c r="K73" s="368"/>
      <c r="L73" s="368"/>
      <c r="M73" s="368"/>
      <c r="N73" s="368"/>
      <c r="O73" s="368"/>
      <c r="P73" s="368"/>
      <c r="Q73" s="368"/>
      <c r="R73" s="368"/>
      <c r="S73" s="368"/>
      <c r="T73" s="368"/>
      <c r="U73" s="368"/>
      <c r="V73" s="368"/>
      <c r="W73" s="368"/>
      <c r="X73" s="368"/>
      <c r="Y73" s="368"/>
      <c r="Z73" s="368"/>
      <c r="AA73" s="368"/>
      <c r="AB73" s="368"/>
      <c r="AC73" s="368"/>
      <c r="AD73" s="368"/>
      <c r="AE73" s="368"/>
      <c r="AF73" s="368"/>
      <c r="AG73" s="368"/>
      <c r="AH73" s="381" t="s">
        <v>485</v>
      </c>
      <c r="AN73" s="366"/>
    </row>
    <row r="74" spans="1:42" ht="15" customHeight="1">
      <c r="C74" s="368"/>
      <c r="D74" s="368"/>
      <c r="E74" s="368"/>
      <c r="F74" s="368"/>
      <c r="G74" s="368"/>
      <c r="H74" s="368"/>
      <c r="I74" s="368"/>
      <c r="J74" s="368"/>
      <c r="K74" s="368"/>
      <c r="L74" s="368"/>
      <c r="M74" s="368"/>
      <c r="N74" s="368"/>
      <c r="O74" s="368"/>
      <c r="P74" s="368"/>
      <c r="Q74" s="368"/>
      <c r="R74" s="368"/>
      <c r="S74" s="368"/>
      <c r="T74" s="368"/>
      <c r="U74" s="368"/>
      <c r="V74" s="368"/>
      <c r="W74" s="368"/>
      <c r="X74" s="368"/>
      <c r="Y74" s="368"/>
      <c r="Z74" s="368"/>
      <c r="AA74" s="368"/>
      <c r="AB74" s="368"/>
      <c r="AC74" s="368"/>
      <c r="AD74" s="368"/>
      <c r="AE74" s="368"/>
      <c r="AF74" s="368"/>
      <c r="AG74" s="368"/>
      <c r="AH74" s="381">
        <v>0</v>
      </c>
      <c r="AJ74" s="347">
        <f>SUM(AJ23:AJ64)</f>
        <v>31</v>
      </c>
      <c r="AK74" s="347">
        <f>SUM(AK23:AK64)</f>
        <v>30</v>
      </c>
      <c r="AL74" s="347">
        <f>SUM(AL23:AL64)-AH74</f>
        <v>26</v>
      </c>
      <c r="AM74" s="347">
        <f>SUM(AM23:AM64)-AH76</f>
        <v>22</v>
      </c>
      <c r="AN74" s="347">
        <f>SUM(AJ65:AJ67)</f>
        <v>0</v>
      </c>
    </row>
    <row r="75" spans="1:42" ht="15" customHeight="1">
      <c r="C75" s="368"/>
      <c r="D75" s="368"/>
      <c r="E75" s="368"/>
      <c r="F75" s="368"/>
      <c r="G75" s="368"/>
      <c r="H75" s="368"/>
      <c r="I75" s="368"/>
      <c r="J75" s="368"/>
      <c r="K75" s="368"/>
      <c r="L75" s="368"/>
      <c r="M75" s="368"/>
      <c r="N75" s="368"/>
      <c r="O75" s="368"/>
      <c r="P75" s="368"/>
      <c r="Q75" s="368"/>
      <c r="R75" s="368"/>
      <c r="S75" s="368"/>
      <c r="T75" s="368"/>
      <c r="U75" s="368"/>
      <c r="V75" s="368"/>
      <c r="W75" s="368"/>
      <c r="X75" s="368"/>
      <c r="Y75" s="368"/>
      <c r="Z75" s="368"/>
      <c r="AA75" s="368"/>
      <c r="AB75" s="368"/>
      <c r="AC75" s="368"/>
      <c r="AD75" s="368"/>
      <c r="AE75" s="368"/>
      <c r="AF75" s="368"/>
      <c r="AG75" s="368"/>
      <c r="AH75" s="381" t="s">
        <v>486</v>
      </c>
      <c r="AL75" s="347">
        <f>COUNTIF(C18:AG18,"ｔｅｎ！")</f>
        <v>22</v>
      </c>
      <c r="AM75" s="347">
        <f>COUNTIF(C18:AG18,"ｔｅｎ！")</f>
        <v>22</v>
      </c>
    </row>
    <row r="76" spans="1:42" ht="15" customHeight="1">
      <c r="C76" s="368"/>
      <c r="D76" s="368"/>
      <c r="E76" s="368"/>
      <c r="F76" s="368"/>
      <c r="G76" s="368"/>
      <c r="H76" s="368"/>
      <c r="I76" s="368"/>
      <c r="J76" s="368"/>
      <c r="K76" s="368"/>
      <c r="L76" s="368"/>
      <c r="M76" s="368"/>
      <c r="N76" s="368"/>
      <c r="O76" s="368"/>
      <c r="P76" s="368"/>
      <c r="Q76" s="368"/>
      <c r="R76" s="368"/>
      <c r="S76" s="368"/>
      <c r="T76" s="368"/>
      <c r="U76" s="368"/>
      <c r="V76" s="368"/>
      <c r="W76" s="368"/>
      <c r="X76" s="368"/>
      <c r="Y76" s="368"/>
      <c r="Z76" s="368"/>
      <c r="AA76" s="368"/>
      <c r="AB76" s="368"/>
      <c r="AC76" s="368"/>
      <c r="AD76" s="368"/>
      <c r="AE76" s="368"/>
      <c r="AF76" s="368"/>
      <c r="AG76" s="368"/>
      <c r="AH76" s="381">
        <v>0</v>
      </c>
      <c r="AJ76" s="366" t="s">
        <v>472</v>
      </c>
      <c r="AK76" s="366" t="s">
        <v>473</v>
      </c>
      <c r="AL76" s="366" t="s">
        <v>474</v>
      </c>
      <c r="AM76" s="366" t="s">
        <v>475</v>
      </c>
      <c r="AN76" s="384" t="s">
        <v>487</v>
      </c>
    </row>
    <row r="77" spans="1:42" ht="15" customHeight="1">
      <c r="C77" s="368"/>
      <c r="D77" s="368"/>
      <c r="E77" s="368"/>
      <c r="F77" s="368"/>
      <c r="G77" s="368"/>
      <c r="H77" s="368"/>
      <c r="I77" s="368"/>
      <c r="J77" s="368"/>
      <c r="K77" s="368"/>
      <c r="L77" s="368"/>
      <c r="M77" s="368"/>
      <c r="N77" s="368"/>
      <c r="O77" s="368"/>
      <c r="P77" s="368"/>
      <c r="Q77" s="368"/>
      <c r="R77" s="368"/>
      <c r="S77" s="368"/>
      <c r="T77" s="368"/>
      <c r="U77" s="368"/>
      <c r="V77" s="368"/>
      <c r="W77" s="368"/>
      <c r="X77" s="368"/>
      <c r="Y77" s="368"/>
      <c r="Z77" s="368"/>
      <c r="AA77" s="368"/>
      <c r="AB77" s="368"/>
      <c r="AC77" s="368"/>
      <c r="AD77" s="368"/>
      <c r="AE77" s="368"/>
      <c r="AF77" s="368"/>
      <c r="AG77" s="368"/>
      <c r="AH77" s="381"/>
      <c r="AM77" s="366"/>
    </row>
    <row r="78" spans="1:42" ht="15" customHeight="1">
      <c r="C78" s="368"/>
      <c r="D78" s="368"/>
      <c r="E78" s="368"/>
      <c r="F78" s="368"/>
      <c r="G78" s="368"/>
      <c r="H78" s="368"/>
      <c r="I78" s="368"/>
      <c r="J78" s="368"/>
      <c r="K78" s="368"/>
      <c r="L78" s="368"/>
      <c r="M78" s="368"/>
      <c r="N78" s="368"/>
      <c r="O78" s="368"/>
      <c r="P78" s="368"/>
      <c r="Q78" s="368"/>
      <c r="R78" s="368"/>
      <c r="S78" s="368"/>
      <c r="T78" s="368"/>
      <c r="U78" s="368"/>
      <c r="V78" s="368"/>
      <c r="W78" s="368"/>
      <c r="X78" s="368"/>
      <c r="Y78" s="368"/>
      <c r="Z78" s="368"/>
      <c r="AA78" s="368"/>
      <c r="AB78" s="368"/>
      <c r="AC78" s="368"/>
      <c r="AD78" s="368"/>
      <c r="AE78" s="368"/>
      <c r="AF78" s="368"/>
      <c r="AG78" s="368"/>
      <c r="AH78" s="381"/>
    </row>
    <row r="79" spans="1:42" ht="15" customHeight="1">
      <c r="C79" s="368"/>
      <c r="D79" s="368"/>
      <c r="E79" s="368"/>
      <c r="F79" s="368"/>
      <c r="G79" s="368"/>
      <c r="H79" s="368"/>
      <c r="I79" s="368"/>
      <c r="J79" s="368"/>
      <c r="K79" s="369"/>
      <c r="L79" s="368"/>
      <c r="M79" s="368"/>
      <c r="N79" s="368"/>
      <c r="O79" s="368"/>
      <c r="P79" s="368"/>
      <c r="Q79" s="368"/>
      <c r="R79" s="368"/>
      <c r="S79" s="368"/>
      <c r="T79" s="368"/>
      <c r="U79" s="368"/>
      <c r="V79" s="368"/>
      <c r="W79" s="368"/>
      <c r="X79" s="368"/>
      <c r="Y79" s="369"/>
      <c r="Z79" s="369"/>
      <c r="AA79" s="368"/>
      <c r="AB79" s="368"/>
      <c r="AC79" s="368"/>
      <c r="AD79" s="368"/>
      <c r="AE79" s="368"/>
      <c r="AF79" s="368"/>
      <c r="AG79" s="368"/>
      <c r="AH79" s="381"/>
    </row>
    <row r="80" spans="1:42" ht="15" customHeight="1">
      <c r="C80" s="368"/>
      <c r="D80" s="368"/>
      <c r="E80" s="368"/>
      <c r="F80" s="368"/>
      <c r="G80" s="368"/>
      <c r="H80" s="368"/>
      <c r="I80" s="368"/>
      <c r="J80" s="368"/>
      <c r="K80" s="368"/>
      <c r="L80" s="368"/>
      <c r="M80" s="368"/>
      <c r="N80" s="368"/>
      <c r="O80" s="368"/>
      <c r="P80" s="368"/>
      <c r="Q80" s="368"/>
      <c r="R80" s="368"/>
      <c r="S80" s="368"/>
      <c r="T80" s="368"/>
      <c r="U80" s="368"/>
      <c r="V80" s="368"/>
      <c r="W80" s="368"/>
      <c r="X80" s="368"/>
      <c r="Y80" s="368"/>
      <c r="Z80" s="368"/>
      <c r="AA80" s="368"/>
      <c r="AB80" s="368"/>
      <c r="AC80" s="368"/>
      <c r="AD80" s="368"/>
      <c r="AE80" s="368"/>
      <c r="AF80" s="368"/>
      <c r="AG80" s="368"/>
      <c r="AH80" s="381"/>
    </row>
    <row r="81" spans="3:38" ht="15" customHeight="1">
      <c r="C81" s="368"/>
      <c r="D81" s="368"/>
      <c r="E81" s="368"/>
      <c r="F81" s="368"/>
      <c r="G81" s="368"/>
      <c r="H81" s="368"/>
      <c r="I81" s="368"/>
      <c r="J81" s="368"/>
      <c r="K81" s="368"/>
      <c r="L81" s="368"/>
      <c r="M81" s="368"/>
      <c r="N81" s="368"/>
      <c r="O81" s="368"/>
      <c r="P81" s="368"/>
      <c r="Q81" s="368"/>
      <c r="R81" s="368"/>
      <c r="S81" s="368"/>
      <c r="T81" s="368"/>
      <c r="U81" s="368"/>
      <c r="V81" s="368"/>
      <c r="W81" s="368"/>
      <c r="X81" s="368"/>
      <c r="Y81" s="368"/>
      <c r="Z81" s="368"/>
      <c r="AA81" s="368"/>
      <c r="AB81" s="368"/>
      <c r="AC81" s="368"/>
      <c r="AD81" s="368"/>
      <c r="AE81" s="368"/>
      <c r="AF81" s="368"/>
      <c r="AG81" s="368"/>
      <c r="AH81" s="381"/>
      <c r="AI81" s="366"/>
      <c r="AJ81" s="366"/>
      <c r="AK81" s="366"/>
      <c r="AL81" s="366"/>
    </row>
    <row r="82" spans="3:38" ht="15" customHeight="1">
      <c r="C82" s="367"/>
      <c r="D82" s="367"/>
      <c r="E82" s="367"/>
      <c r="F82" s="367"/>
      <c r="G82" s="367"/>
      <c r="H82" s="367"/>
      <c r="I82" s="367"/>
      <c r="J82" s="367"/>
      <c r="K82" s="367"/>
      <c r="L82" s="367"/>
      <c r="M82" s="367"/>
      <c r="N82" s="367"/>
      <c r="O82" s="367"/>
      <c r="P82" s="367"/>
      <c r="Q82" s="367"/>
      <c r="R82" s="367"/>
      <c r="S82" s="367"/>
      <c r="T82" s="367"/>
      <c r="U82" s="367"/>
      <c r="V82" s="367"/>
      <c r="W82" s="367"/>
      <c r="X82" s="367"/>
      <c r="Y82" s="367"/>
      <c r="Z82" s="367"/>
      <c r="AA82" s="367"/>
      <c r="AB82" s="367"/>
      <c r="AC82" s="367"/>
      <c r="AD82" s="367"/>
      <c r="AE82" s="367"/>
      <c r="AF82" s="367"/>
      <c r="AG82" s="367"/>
      <c r="AH82" s="381"/>
    </row>
  </sheetData>
  <sheetProtection sheet="1" objects="1" scenarios="1"/>
  <phoneticPr fontId="7"/>
  <printOptions horizontalCentered="1"/>
  <pageMargins left="0.27559055118110237" right="0.31496062992125984" top="0.39370078740157483" bottom="0.23622047244094491" header="0.39370078740157483" footer="0.39370078740157483"/>
  <pageSetup paperSize="8" scale="77" orientation="landscape" blackAndWhite="1" horizontalDpi="300" verticalDpi="300" r:id="rId1"/>
  <headerFooter alignWithMargins="0">
    <oddHeader>&amp;R&amp;"Osaka,標準"&amp;D　&amp;T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Line="0" autoPict="0" macro="[0]!報道罫線">
                <anchor moveWithCells="1" sizeWithCells="1">
                  <from>
                    <xdr:col>1</xdr:col>
                    <xdr:colOff>76200</xdr:colOff>
                    <xdr:row>0</xdr:row>
                    <xdr:rowOff>38100</xdr:rowOff>
                  </from>
                  <to>
                    <xdr:col>1</xdr:col>
                    <xdr:colOff>533400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Line="0" autoPict="0" macro="[0]!報道待機check">
                <anchor moveWithCells="1" siz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3</xdr:col>
                    <xdr:colOff>260350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B1:J35"/>
  <sheetViews>
    <sheetView topLeftCell="A13" workbookViewId="0"/>
  </sheetViews>
  <sheetFormatPr defaultColWidth="10.453125" defaultRowHeight="20.149999999999999" customHeight="1"/>
  <cols>
    <col min="1" max="1" width="2.453125" style="31" customWidth="1"/>
    <col min="2" max="3" width="4.453125" style="31" customWidth="1"/>
    <col min="4" max="9" width="10.453125" style="31" customWidth="1"/>
    <col min="10" max="10" width="16.453125" style="31" customWidth="1"/>
    <col min="11" max="11" width="2.453125" style="31" customWidth="1"/>
    <col min="12" max="13" width="8.453125" style="31" customWidth="1"/>
    <col min="14" max="16384" width="10.453125" style="31"/>
  </cols>
  <sheetData>
    <row r="1" spans="2:10" ht="20.149999999999999" customHeight="1">
      <c r="H1" s="107">
        <v>46167</v>
      </c>
      <c r="I1" s="74">
        <v>0.51379629629629631</v>
      </c>
      <c r="J1" s="31" t="s">
        <v>488</v>
      </c>
    </row>
    <row r="2" spans="2:10" ht="20.149999999999999" customHeight="1">
      <c r="D2" s="31">
        <f>月間設定!C1</f>
        <v>2026</v>
      </c>
      <c r="E2" s="31" t="s">
        <v>0</v>
      </c>
      <c r="F2" s="31">
        <f>月間設定!E1</f>
        <v>6</v>
      </c>
      <c r="G2" s="38" t="s">
        <v>489</v>
      </c>
    </row>
    <row r="3" spans="2:10" ht="20.149999999999999" customHeight="1" thickBot="1"/>
    <row r="4" spans="2:10" s="35" customFormat="1" ht="20.149999999999999" customHeight="1" thickBot="1">
      <c r="B4" s="32" t="s">
        <v>18</v>
      </c>
      <c r="C4" s="33" t="s">
        <v>490</v>
      </c>
      <c r="D4" s="34" t="s">
        <v>491</v>
      </c>
      <c r="E4" s="34" t="s">
        <v>492</v>
      </c>
      <c r="F4" s="34"/>
      <c r="G4" s="79" t="s">
        <v>493</v>
      </c>
      <c r="H4" s="34" t="s">
        <v>494</v>
      </c>
      <c r="I4" s="34" t="s">
        <v>475</v>
      </c>
      <c r="J4" s="33" t="s">
        <v>495</v>
      </c>
    </row>
    <row r="5" spans="2:10" ht="20.149999999999999" customHeight="1">
      <c r="B5" s="515">
        <v>1</v>
      </c>
      <c r="C5" s="516">
        <f t="shared" ref="C5:C32" si="0">WEEKDAY(DATE(D$2,F$2,B5))</f>
        <v>2</v>
      </c>
      <c r="D5" s="515" t="s">
        <v>496</v>
      </c>
      <c r="E5" s="515" t="s">
        <v>497</v>
      </c>
      <c r="F5" s="515"/>
      <c r="G5" s="515" t="s">
        <v>498</v>
      </c>
      <c r="H5" s="515"/>
      <c r="I5" s="515" t="s">
        <v>499</v>
      </c>
      <c r="J5" s="517"/>
    </row>
    <row r="6" spans="2:10" ht="20.149999999999999" customHeight="1">
      <c r="B6" s="515">
        <v>2</v>
      </c>
      <c r="C6" s="516">
        <f t="shared" si="0"/>
        <v>3</v>
      </c>
      <c r="D6" s="515" t="s">
        <v>500</v>
      </c>
      <c r="E6" s="515" t="s">
        <v>501</v>
      </c>
      <c r="F6" s="515"/>
      <c r="G6" s="515" t="s">
        <v>498</v>
      </c>
      <c r="H6" s="515"/>
      <c r="I6" s="515" t="s">
        <v>499</v>
      </c>
      <c r="J6" s="517"/>
    </row>
    <row r="7" spans="2:10" ht="20.149999999999999" customHeight="1">
      <c r="B7" s="515">
        <v>3</v>
      </c>
      <c r="C7" s="516">
        <f t="shared" si="0"/>
        <v>4</v>
      </c>
      <c r="D7" s="515" t="s">
        <v>498</v>
      </c>
      <c r="E7" s="515" t="s">
        <v>502</v>
      </c>
      <c r="F7" s="515"/>
      <c r="G7" s="515" t="s">
        <v>497</v>
      </c>
      <c r="H7" s="515"/>
      <c r="I7" s="515" t="s">
        <v>500</v>
      </c>
      <c r="J7" s="517"/>
    </row>
    <row r="8" spans="2:10" ht="20.149999999999999" customHeight="1">
      <c r="B8" s="515">
        <v>4</v>
      </c>
      <c r="C8" s="516">
        <f t="shared" si="0"/>
        <v>5</v>
      </c>
      <c r="D8" s="515" t="s">
        <v>497</v>
      </c>
      <c r="E8" s="515" t="s">
        <v>496</v>
      </c>
      <c r="F8" s="515"/>
      <c r="G8" s="515" t="s">
        <v>498</v>
      </c>
      <c r="H8" s="515" t="s">
        <v>500</v>
      </c>
      <c r="I8" s="515" t="s">
        <v>501</v>
      </c>
      <c r="J8" s="517"/>
    </row>
    <row r="9" spans="2:10" ht="20.149999999999999" customHeight="1">
      <c r="B9" s="515">
        <v>5</v>
      </c>
      <c r="C9" s="516">
        <f t="shared" si="0"/>
        <v>6</v>
      </c>
      <c r="D9" s="515" t="s">
        <v>503</v>
      </c>
      <c r="E9" s="515" t="s">
        <v>500</v>
      </c>
      <c r="F9" s="515"/>
      <c r="G9" s="515" t="s">
        <v>498</v>
      </c>
      <c r="H9" s="515"/>
      <c r="I9" s="515" t="s">
        <v>504</v>
      </c>
      <c r="J9" s="517"/>
    </row>
    <row r="10" spans="2:10" ht="20.149999999999999" customHeight="1" thickBot="1">
      <c r="B10" s="515">
        <v>6</v>
      </c>
      <c r="C10" s="516">
        <f t="shared" si="0"/>
        <v>7</v>
      </c>
      <c r="D10" s="515" t="s">
        <v>817</v>
      </c>
      <c r="E10" s="515" t="s">
        <v>497</v>
      </c>
      <c r="F10" s="515"/>
      <c r="G10" s="515"/>
      <c r="H10" s="515"/>
      <c r="I10" s="515"/>
      <c r="J10" s="517"/>
    </row>
    <row r="11" spans="2:10" ht="20.149999999999999" customHeight="1">
      <c r="B11" s="227">
        <v>7</v>
      </c>
      <c r="C11" s="228">
        <f t="shared" si="0"/>
        <v>1</v>
      </c>
      <c r="D11" s="229" t="s">
        <v>505</v>
      </c>
      <c r="E11" s="229" t="s">
        <v>506</v>
      </c>
      <c r="F11" s="229"/>
      <c r="G11" s="229"/>
      <c r="H11" s="229"/>
      <c r="I11" s="229"/>
      <c r="J11" s="230"/>
    </row>
    <row r="12" spans="2:10" ht="20.149999999999999" customHeight="1">
      <c r="B12" s="515">
        <v>8</v>
      </c>
      <c r="C12" s="516">
        <f t="shared" si="0"/>
        <v>2</v>
      </c>
      <c r="D12" s="515" t="s">
        <v>501</v>
      </c>
      <c r="E12" s="515" t="s">
        <v>507</v>
      </c>
      <c r="F12" s="515"/>
      <c r="G12" s="515" t="s">
        <v>501</v>
      </c>
      <c r="H12" s="515"/>
      <c r="I12" s="515" t="s">
        <v>499</v>
      </c>
      <c r="J12" s="517" t="s">
        <v>508</v>
      </c>
    </row>
    <row r="13" spans="2:10" ht="20.149999999999999" customHeight="1">
      <c r="B13" s="515">
        <v>9</v>
      </c>
      <c r="C13" s="516">
        <f t="shared" si="0"/>
        <v>3</v>
      </c>
      <c r="D13" s="515" t="s">
        <v>499</v>
      </c>
      <c r="E13" s="515" t="s">
        <v>509</v>
      </c>
      <c r="F13" s="515"/>
      <c r="G13" s="515" t="s">
        <v>501</v>
      </c>
      <c r="H13" s="515"/>
      <c r="I13" s="515" t="s">
        <v>500</v>
      </c>
      <c r="J13" s="517"/>
    </row>
    <row r="14" spans="2:10" ht="20.149999999999999" customHeight="1">
      <c r="B14" s="515">
        <v>10</v>
      </c>
      <c r="C14" s="516">
        <f t="shared" si="0"/>
        <v>4</v>
      </c>
      <c r="D14" s="515" t="s">
        <v>500</v>
      </c>
      <c r="E14" s="515" t="s">
        <v>499</v>
      </c>
      <c r="F14" s="515"/>
      <c r="G14" s="515" t="s">
        <v>497</v>
      </c>
      <c r="H14" s="515"/>
      <c r="I14" s="515" t="s">
        <v>496</v>
      </c>
      <c r="J14" s="517"/>
    </row>
    <row r="15" spans="2:10" ht="20.149999999999999" customHeight="1">
      <c r="B15" s="515">
        <v>11</v>
      </c>
      <c r="C15" s="516">
        <f t="shared" si="0"/>
        <v>5</v>
      </c>
      <c r="D15" s="515" t="s">
        <v>501</v>
      </c>
      <c r="E15" s="515" t="s">
        <v>510</v>
      </c>
      <c r="F15" s="515"/>
      <c r="G15" s="515" t="s">
        <v>497</v>
      </c>
      <c r="H15" s="515" t="s">
        <v>496</v>
      </c>
      <c r="I15" s="515" t="s">
        <v>500</v>
      </c>
      <c r="J15" s="517"/>
    </row>
    <row r="16" spans="2:10" ht="20.149999999999999" customHeight="1">
      <c r="B16" s="515">
        <v>12</v>
      </c>
      <c r="C16" s="516">
        <f t="shared" si="0"/>
        <v>6</v>
      </c>
      <c r="D16" s="515" t="s">
        <v>498</v>
      </c>
      <c r="E16" s="515" t="s">
        <v>501</v>
      </c>
      <c r="F16" s="515"/>
      <c r="G16" s="515" t="s">
        <v>496</v>
      </c>
      <c r="H16" s="515"/>
      <c r="I16" s="515" t="s">
        <v>502</v>
      </c>
      <c r="J16" s="517"/>
    </row>
    <row r="17" spans="2:10" ht="20.149999999999999" customHeight="1" thickBot="1">
      <c r="B17" s="515">
        <v>13</v>
      </c>
      <c r="C17" s="516">
        <f t="shared" si="0"/>
        <v>7</v>
      </c>
      <c r="D17" s="515" t="s">
        <v>498</v>
      </c>
      <c r="E17" s="515" t="s">
        <v>503</v>
      </c>
      <c r="F17" s="515"/>
      <c r="G17" s="515"/>
      <c r="H17" s="515"/>
      <c r="I17" s="515"/>
      <c r="J17" s="517"/>
    </row>
    <row r="18" spans="2:10" ht="20.149999999999999" customHeight="1">
      <c r="B18" s="227">
        <v>14</v>
      </c>
      <c r="C18" s="228">
        <f t="shared" si="0"/>
        <v>1</v>
      </c>
      <c r="D18" s="229" t="s">
        <v>499</v>
      </c>
      <c r="E18" s="229" t="s">
        <v>497</v>
      </c>
      <c r="F18" s="229"/>
      <c r="G18" s="229"/>
      <c r="H18" s="229"/>
      <c r="I18" s="229"/>
      <c r="J18" s="230"/>
    </row>
    <row r="19" spans="2:10" ht="20.149999999999999" customHeight="1">
      <c r="B19" s="515">
        <v>15</v>
      </c>
      <c r="C19" s="516">
        <f t="shared" si="0"/>
        <v>2</v>
      </c>
      <c r="D19" s="515" t="s">
        <v>498</v>
      </c>
      <c r="E19" s="515" t="s">
        <v>507</v>
      </c>
      <c r="F19" s="515"/>
      <c r="G19" s="515" t="s">
        <v>496</v>
      </c>
      <c r="H19" s="515"/>
      <c r="I19" s="515" t="s">
        <v>502</v>
      </c>
      <c r="J19" s="517"/>
    </row>
    <row r="20" spans="2:10" ht="20.149999999999999" customHeight="1">
      <c r="B20" s="515">
        <v>16</v>
      </c>
      <c r="C20" s="516">
        <f t="shared" si="0"/>
        <v>3</v>
      </c>
      <c r="D20" s="515" t="s">
        <v>499</v>
      </c>
      <c r="E20" s="515" t="s">
        <v>496</v>
      </c>
      <c r="F20" s="515"/>
      <c r="G20" s="515" t="s">
        <v>500</v>
      </c>
      <c r="H20" s="515"/>
      <c r="I20" s="515" t="s">
        <v>502</v>
      </c>
      <c r="J20" s="517"/>
    </row>
    <row r="21" spans="2:10" ht="20.149999999999999" customHeight="1">
      <c r="B21" s="515">
        <v>17</v>
      </c>
      <c r="C21" s="516">
        <f t="shared" si="0"/>
        <v>4</v>
      </c>
      <c r="D21" s="515" t="s">
        <v>501</v>
      </c>
      <c r="E21" s="515" t="s">
        <v>502</v>
      </c>
      <c r="F21" s="515"/>
      <c r="G21" s="515" t="s">
        <v>511</v>
      </c>
      <c r="H21" s="515"/>
      <c r="I21" s="515" t="s">
        <v>504</v>
      </c>
      <c r="J21" s="517"/>
    </row>
    <row r="22" spans="2:10" ht="20.149999999999999" customHeight="1">
      <c r="B22" s="515">
        <v>18</v>
      </c>
      <c r="C22" s="516">
        <f t="shared" si="0"/>
        <v>5</v>
      </c>
      <c r="D22" s="515" t="s">
        <v>496</v>
      </c>
      <c r="E22" s="515" t="s">
        <v>512</v>
      </c>
      <c r="F22" s="515"/>
      <c r="G22" s="515" t="s">
        <v>501</v>
      </c>
      <c r="H22" s="515" t="s">
        <v>513</v>
      </c>
      <c r="I22" s="515" t="s">
        <v>510</v>
      </c>
      <c r="J22" s="517"/>
    </row>
    <row r="23" spans="2:10" ht="20.149999999999999" customHeight="1">
      <c r="B23" s="515">
        <v>19</v>
      </c>
      <c r="C23" s="516">
        <f t="shared" si="0"/>
        <v>6</v>
      </c>
      <c r="D23" s="515" t="s">
        <v>497</v>
      </c>
      <c r="E23" s="515" t="s">
        <v>505</v>
      </c>
      <c r="F23" s="515"/>
      <c r="G23" s="515" t="s">
        <v>514</v>
      </c>
      <c r="H23" s="515"/>
      <c r="I23" s="515" t="s">
        <v>502</v>
      </c>
      <c r="J23" s="517"/>
    </row>
    <row r="24" spans="2:10" ht="20.149999999999999" customHeight="1" thickBot="1">
      <c r="B24" s="515">
        <v>20</v>
      </c>
      <c r="C24" s="516">
        <f t="shared" si="0"/>
        <v>7</v>
      </c>
      <c r="D24" s="515" t="s">
        <v>499</v>
      </c>
      <c r="E24" s="515" t="s">
        <v>498</v>
      </c>
      <c r="F24" s="515"/>
      <c r="G24" s="515"/>
      <c r="H24" s="515"/>
      <c r="I24" s="515"/>
      <c r="J24" s="517"/>
    </row>
    <row r="25" spans="2:10" ht="20.149999999999999" customHeight="1">
      <c r="B25" s="227">
        <v>21</v>
      </c>
      <c r="C25" s="228">
        <f t="shared" si="0"/>
        <v>1</v>
      </c>
      <c r="D25" s="229" t="s">
        <v>512</v>
      </c>
      <c r="E25" s="229" t="s">
        <v>499</v>
      </c>
      <c r="F25" s="229"/>
      <c r="G25" s="229"/>
      <c r="H25" s="229"/>
      <c r="I25" s="229"/>
      <c r="J25" s="230"/>
    </row>
    <row r="26" spans="2:10" ht="20.149999999999999" customHeight="1">
      <c r="B26" s="515">
        <v>22</v>
      </c>
      <c r="C26" s="516">
        <f t="shared" si="0"/>
        <v>2</v>
      </c>
      <c r="D26" s="515" t="s">
        <v>496</v>
      </c>
      <c r="E26" s="515" t="s">
        <v>506</v>
      </c>
      <c r="F26" s="515"/>
      <c r="G26" s="515" t="s">
        <v>496</v>
      </c>
      <c r="H26" s="515"/>
      <c r="I26" s="515" t="s">
        <v>504</v>
      </c>
      <c r="J26" s="517" t="s">
        <v>508</v>
      </c>
    </row>
    <row r="27" spans="2:10" ht="20.149999999999999" customHeight="1">
      <c r="B27" s="515">
        <v>23</v>
      </c>
      <c r="C27" s="516">
        <f t="shared" si="0"/>
        <v>3</v>
      </c>
      <c r="D27" s="515" t="s">
        <v>496</v>
      </c>
      <c r="E27" s="515" t="s">
        <v>503</v>
      </c>
      <c r="F27" s="515"/>
      <c r="G27" s="515" t="s">
        <v>514</v>
      </c>
      <c r="H27" s="515"/>
      <c r="I27" s="515" t="s">
        <v>497</v>
      </c>
      <c r="J27" s="517"/>
    </row>
    <row r="28" spans="2:10" ht="20.149999999999999" customHeight="1">
      <c r="B28" s="515">
        <v>24</v>
      </c>
      <c r="C28" s="516">
        <f t="shared" si="0"/>
        <v>4</v>
      </c>
      <c r="D28" s="515" t="s">
        <v>500</v>
      </c>
      <c r="E28" s="515" t="s">
        <v>496</v>
      </c>
      <c r="F28" s="515"/>
      <c r="G28" s="515" t="s">
        <v>500</v>
      </c>
      <c r="H28" s="515"/>
      <c r="I28" s="515" t="s">
        <v>501</v>
      </c>
      <c r="J28" s="517"/>
    </row>
    <row r="29" spans="2:10" ht="20.149999999999999" customHeight="1">
      <c r="B29" s="515">
        <v>25</v>
      </c>
      <c r="C29" s="516">
        <f t="shared" si="0"/>
        <v>5</v>
      </c>
      <c r="D29" s="515" t="s">
        <v>501</v>
      </c>
      <c r="E29" s="515" t="s">
        <v>511</v>
      </c>
      <c r="F29" s="515"/>
      <c r="G29" s="515" t="s">
        <v>506</v>
      </c>
      <c r="H29" s="515" t="s">
        <v>497</v>
      </c>
      <c r="I29" s="515" t="s">
        <v>510</v>
      </c>
      <c r="J29" s="517"/>
    </row>
    <row r="30" spans="2:10" ht="20.149999999999999" customHeight="1">
      <c r="B30" s="515">
        <v>26</v>
      </c>
      <c r="C30" s="516">
        <f t="shared" si="0"/>
        <v>6</v>
      </c>
      <c r="D30" s="515" t="s">
        <v>503</v>
      </c>
      <c r="E30" s="515" t="s">
        <v>500</v>
      </c>
      <c r="F30" s="515"/>
      <c r="G30" s="515" t="s">
        <v>497</v>
      </c>
      <c r="H30" s="515"/>
      <c r="I30" s="515" t="s">
        <v>499</v>
      </c>
      <c r="J30" s="517"/>
    </row>
    <row r="31" spans="2:10" ht="20.149999999999999" customHeight="1" thickBot="1">
      <c r="B31" s="515">
        <v>27</v>
      </c>
      <c r="C31" s="516">
        <f t="shared" si="0"/>
        <v>7</v>
      </c>
      <c r="D31" s="515" t="s">
        <v>499</v>
      </c>
      <c r="E31" s="515" t="s">
        <v>501</v>
      </c>
      <c r="F31" s="515"/>
      <c r="G31" s="515"/>
      <c r="H31" s="515"/>
      <c r="I31" s="515"/>
      <c r="J31" s="517"/>
    </row>
    <row r="32" spans="2:10" ht="20.149999999999999" customHeight="1">
      <c r="B32" s="227">
        <v>28</v>
      </c>
      <c r="C32" s="228">
        <f t="shared" si="0"/>
        <v>1</v>
      </c>
      <c r="D32" s="229" t="s">
        <v>496</v>
      </c>
      <c r="E32" s="229" t="s">
        <v>502</v>
      </c>
      <c r="F32" s="229"/>
      <c r="G32" s="229"/>
      <c r="H32" s="229"/>
      <c r="I32" s="229"/>
      <c r="J32" s="230"/>
    </row>
    <row r="33" spans="2:10" ht="20.149999999999999" customHeight="1">
      <c r="B33" s="515">
        <f>IF(AND(F2=2,MOD(D2,4)&lt;&gt;0),"",29)</f>
        <v>29</v>
      </c>
      <c r="C33" s="516">
        <f>IF(B33="","",WEEKDAY(DATE(D$2,F$2,B33)))</f>
        <v>2</v>
      </c>
      <c r="D33" s="515" t="s">
        <v>498</v>
      </c>
      <c r="E33" s="515" t="s">
        <v>504</v>
      </c>
      <c r="F33" s="515"/>
      <c r="G33" s="515" t="s">
        <v>498</v>
      </c>
      <c r="H33" s="515"/>
      <c r="I33" s="515" t="s">
        <v>497</v>
      </c>
      <c r="J33" s="517" t="s">
        <v>508</v>
      </c>
    </row>
    <row r="34" spans="2:10" ht="20.149999999999999" customHeight="1">
      <c r="B34" s="515">
        <f>IF(F2=2,"",30)</f>
        <v>30</v>
      </c>
      <c r="C34" s="516">
        <f>IF(B34="","",WEEKDAY(DATE(D$2,F$2,B34)))</f>
        <v>3</v>
      </c>
      <c r="D34" s="515" t="s">
        <v>497</v>
      </c>
      <c r="E34" s="515" t="s">
        <v>509</v>
      </c>
      <c r="F34" s="515"/>
      <c r="G34" s="515" t="s">
        <v>497</v>
      </c>
      <c r="H34" s="515"/>
      <c r="I34" s="515" t="s">
        <v>500</v>
      </c>
      <c r="J34" s="517"/>
    </row>
    <row r="35" spans="2:10" ht="20.149999999999999" customHeight="1" thickBot="1">
      <c r="B35" s="488" t="str">
        <f>IF(OR(F2=2,F2=4,F2=6,F2=9,F2=11),"",31)</f>
        <v/>
      </c>
      <c r="C35" s="489" t="str">
        <f>IF(B35="","",WEEKDAY(DATE(D$2,F$2,B35)))</f>
        <v/>
      </c>
      <c r="D35" s="490"/>
      <c r="E35" s="490"/>
      <c r="F35" s="490"/>
      <c r="G35" s="490"/>
      <c r="H35" s="490"/>
      <c r="I35" s="490"/>
      <c r="J35" s="491"/>
    </row>
  </sheetData>
  <sheetProtection sheet="1" objects="1" scenarios="1"/>
  <customSheetViews>
    <customSheetView guid="{48D17560-CF9A-4AC4-87A5-512F1C94B1E6}" showRuler="0">
      <pageMargins left="0" right="0" top="0" bottom="0" header="0" footer="0"/>
      <pageSetup paperSize="9" orientation="portrait" blackAndWhite="1" horizontalDpi="4294967292" verticalDpi="4294967292" r:id="rId1"/>
      <headerFooter alignWithMargins="0"/>
    </customSheetView>
  </customSheetViews>
  <phoneticPr fontId="7"/>
  <printOptions gridLinesSet="0"/>
  <pageMargins left="0.39370078740157483" right="0.39370078740157483" top="0.39370078740157483" bottom="0.39370078740157483" header="0" footer="0"/>
  <pageSetup paperSize="9" orientation="portrait" blackAndWhite="1" horizontalDpi="4294967292" verticalDpi="4294967292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hakko">
                <anchor moveWithCells="1" sizeWithCells="1">
                  <from>
                    <xdr:col>9</xdr:col>
                    <xdr:colOff>69850</xdr:colOff>
                    <xdr:row>1</xdr:row>
                    <xdr:rowOff>107950</xdr:rowOff>
                  </from>
                  <to>
                    <xdr:col>9</xdr:col>
                    <xdr:colOff>838200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661A-79C5-4C1C-B75F-B12DD4DF62F2}">
  <sheetPr codeName="Sheet22"/>
  <dimension ref="A1:AJ93"/>
  <sheetViews>
    <sheetView topLeftCell="A44" workbookViewId="0">
      <selection activeCell="J88" sqref="J88"/>
    </sheetView>
  </sheetViews>
  <sheetFormatPr defaultColWidth="8.453125" defaultRowHeight="13"/>
  <cols>
    <col min="1" max="1" width="10.453125" style="324" bestFit="1" customWidth="1"/>
    <col min="2" max="2" width="4.453125" style="324" customWidth="1"/>
    <col min="3" max="3" width="2.453125" style="287" customWidth="1"/>
    <col min="4" max="4" width="15.453125" style="287" customWidth="1"/>
    <col min="5" max="16384" width="8.453125" style="287"/>
  </cols>
  <sheetData>
    <row r="1" spans="1:36" ht="21" customHeight="1" thickBot="1">
      <c r="A1" s="323" t="s">
        <v>515</v>
      </c>
    </row>
    <row r="2" spans="1:36" ht="14.5">
      <c r="A2" s="325" t="str">
        <f>一覧!AI27</f>
        <v>houdou</v>
      </c>
      <c r="B2" s="326" t="str">
        <f>一覧!AJ27</f>
        <v>a</v>
      </c>
      <c r="C2" s="327"/>
      <c r="D2" s="328" t="str">
        <f>一覧!B27</f>
        <v>小池　一暢</v>
      </c>
      <c r="E2" s="326" t="str">
        <f>IF(一覧!C27="","",一覧!C27)</f>
        <v>局会</v>
      </c>
      <c r="F2" s="326" t="str">
        <f>IF(一覧!D27="","",一覧!D27)</f>
        <v/>
      </c>
      <c r="G2" s="326" t="str">
        <f>IF(一覧!E27="","",一覧!E27)</f>
        <v/>
      </c>
      <c r="H2" s="326" t="str">
        <f>IF(一覧!F27="","",一覧!F27)</f>
        <v/>
      </c>
      <c r="I2" s="326" t="str">
        <f>IF(一覧!G27="","",一覧!G27)</f>
        <v>ＲＤ</v>
      </c>
      <c r="J2" s="326" t="str">
        <f>IF(一覧!H27="","",一覧!H27)</f>
        <v>★</v>
      </c>
      <c r="K2" s="326" t="str">
        <f>IF(一覧!I27="","",一覧!I27)</f>
        <v>★★</v>
      </c>
      <c r="L2" s="326" t="str">
        <f>IF(一覧!J27="","",一覧!J27)</f>
        <v/>
      </c>
      <c r="M2" s="326" t="str">
        <f>IF(一覧!K27="","",一覧!K27)</f>
        <v/>
      </c>
      <c r="N2" s="326" t="str">
        <f>IF(一覧!L27="","",一覧!L27)</f>
        <v/>
      </c>
      <c r="O2" s="326" t="str">
        <f>IF(一覧!M27="","",一覧!M27)</f>
        <v>じゅっと</v>
      </c>
      <c r="P2" s="326" t="str">
        <f>IF(一覧!N27="","",一覧!N27)</f>
        <v/>
      </c>
      <c r="Q2" s="326" t="str">
        <f>IF(一覧!O27="","",一覧!O27)</f>
        <v>★</v>
      </c>
      <c r="R2" s="326" t="str">
        <f>IF(一覧!P27="","",一覧!P27)</f>
        <v>★★</v>
      </c>
      <c r="S2" s="326" t="str">
        <f>IF(一覧!Q27="","",一覧!Q27)</f>
        <v/>
      </c>
      <c r="T2" s="326" t="str">
        <f>IF(一覧!R27="","",一覧!R27)</f>
        <v>年休</v>
      </c>
      <c r="U2" s="326" t="str">
        <f>IF(一覧!S27="","",一覧!S27)</f>
        <v>ＲＤ</v>
      </c>
      <c r="V2" s="326" t="str">
        <f>IF(一覧!T27="","",一覧!T27)</f>
        <v>じゅっと</v>
      </c>
      <c r="W2" s="326" t="str">
        <f>IF(一覧!U27="","",一覧!U27)</f>
        <v>ｶﾒﾗG会</v>
      </c>
      <c r="X2" s="326" t="str">
        <f>IF(一覧!V27="","",一覧!V27)</f>
        <v>★</v>
      </c>
      <c r="Y2" s="326" t="str">
        <f>IF(一覧!W27="","",一覧!W27)</f>
        <v>★★</v>
      </c>
      <c r="Z2" s="326" t="str">
        <f>IF(一覧!X27="","",一覧!X27)</f>
        <v>ＲＤ</v>
      </c>
      <c r="AA2" s="326" t="str">
        <f>IF(一覧!Y27="","",一覧!Y27)</f>
        <v/>
      </c>
      <c r="AB2" s="326" t="str">
        <f>IF(一覧!Z27="","",一覧!Z27)</f>
        <v>音G/VEG</v>
      </c>
      <c r="AC2" s="326" t="str">
        <f>IF(一覧!AA27="","",一覧!AA27)</f>
        <v/>
      </c>
      <c r="AD2" s="326" t="str">
        <f>IF(一覧!AB27="","",一覧!AB27)</f>
        <v>技術会議</v>
      </c>
      <c r="AE2" s="326" t="str">
        <f>IF(一覧!AC27="","",一覧!AC27)</f>
        <v>★</v>
      </c>
      <c r="AF2" s="326" t="str">
        <f>IF(一覧!AD27="","",一覧!AD27)</f>
        <v>★★</v>
      </c>
      <c r="AG2" s="326" t="str">
        <f>IF(一覧!AE27="","",一覧!AE27)</f>
        <v>　　　━</v>
      </c>
      <c r="AH2" s="326" t="str">
        <f>IF(一覧!AF27="","",一覧!AF27)</f>
        <v>━　　　</v>
      </c>
      <c r="AI2" s="326" t="str">
        <f>IF(一覧!AG27="","",一覧!AG27)</f>
        <v/>
      </c>
      <c r="AJ2" s="329" t="str">
        <f>IF(一覧!AH27="","",一覧!AH27)</f>
        <v>小池</v>
      </c>
    </row>
    <row r="3" spans="1:36" ht="15" thickBot="1">
      <c r="A3" s="330" t="str">
        <f>一覧!AI27</f>
        <v>houdou</v>
      </c>
      <c r="B3" s="331" t="str">
        <f>一覧!AJ27</f>
        <v>a</v>
      </c>
      <c r="C3" s="332"/>
      <c r="D3" s="333"/>
      <c r="E3" s="331" t="str">
        <f>IF(一覧!C28="","",一覧!C28)</f>
        <v>部長会</v>
      </c>
      <c r="F3" s="331" t="str">
        <f>IF(一覧!D28="","",一覧!D28)</f>
        <v>車両会議</v>
      </c>
      <c r="G3" s="331" t="str">
        <f>IF(一覧!E28="","",一覧!E28)</f>
        <v/>
      </c>
      <c r="H3" s="331" t="str">
        <f>IF(一覧!F28="","",一覧!F28)</f>
        <v/>
      </c>
      <c r="I3" s="331" t="str">
        <f>IF(一覧!G28="","",一覧!G28)</f>
        <v/>
      </c>
      <c r="J3" s="331" t="str">
        <f>IF(一覧!H28="","",一覧!H28)</f>
        <v/>
      </c>
      <c r="K3" s="331" t="str">
        <f>IF(一覧!I28="","",一覧!I28)</f>
        <v/>
      </c>
      <c r="L3" s="331" t="str">
        <f>IF(一覧!J28="","",一覧!J28)</f>
        <v>部長会</v>
      </c>
      <c r="M3" s="331" t="str">
        <f>IF(一覧!K28="","",一覧!K28)</f>
        <v/>
      </c>
      <c r="N3" s="331" t="str">
        <f>IF(一覧!L28="","",一覧!L28)</f>
        <v>照明G</v>
      </c>
      <c r="O3" s="331" t="str">
        <f>IF(一覧!M28="","",一覧!M28)</f>
        <v>ＴＤ</v>
      </c>
      <c r="P3" s="331" t="str">
        <f>IF(一覧!N28="","",一覧!N28)</f>
        <v/>
      </c>
      <c r="Q3" s="331" t="str">
        <f>IF(一覧!O28="","",一覧!O28)</f>
        <v/>
      </c>
      <c r="R3" s="331" t="str">
        <f>IF(一覧!P28="","",一覧!P28)</f>
        <v/>
      </c>
      <c r="S3" s="331" t="str">
        <f>IF(一覧!Q28="","",一覧!Q28)</f>
        <v>部長会</v>
      </c>
      <c r="T3" s="331" t="str">
        <f>IF(一覧!R28="","",一覧!R28)</f>
        <v/>
      </c>
      <c r="U3" s="331" t="str">
        <f>IF(一覧!S28="","",一覧!S28)</f>
        <v/>
      </c>
      <c r="V3" s="331" t="str">
        <f>IF(一覧!T28="","",一覧!T28)</f>
        <v>ＴＤ</v>
      </c>
      <c r="W3" s="331" t="str">
        <f>IF(一覧!U28="","",一覧!U28)</f>
        <v>回線Ｇ</v>
      </c>
      <c r="X3" s="331" t="str">
        <f>IF(一覧!V28="","",一覧!V28)</f>
        <v/>
      </c>
      <c r="Y3" s="331" t="str">
        <f>IF(一覧!W28="","",一覧!W28)</f>
        <v/>
      </c>
      <c r="Z3" s="331" t="str">
        <f>IF(一覧!X28="","",一覧!X28)</f>
        <v>部長会</v>
      </c>
      <c r="AA3" s="331" t="str">
        <f>IF(一覧!Y28="","",一覧!Y28)</f>
        <v/>
      </c>
      <c r="AB3" s="331" t="str">
        <f>IF(一覧!Z28="","",一覧!Z28)</f>
        <v>制作費会議</v>
      </c>
      <c r="AC3" s="331" t="str">
        <f>IF(一覧!AA28="","",一覧!AA28)</f>
        <v/>
      </c>
      <c r="AD3" s="331" t="str">
        <f>IF(一覧!AB28="","",一覧!AB28)</f>
        <v>NT会議</v>
      </c>
      <c r="AE3" s="331" t="str">
        <f>IF(一覧!AC28="","",一覧!AC28)</f>
        <v/>
      </c>
      <c r="AF3" s="331" t="str">
        <f>IF(一覧!AD28="","",一覧!AD28)</f>
        <v/>
      </c>
      <c r="AG3" s="331" t="str">
        <f>IF(一覧!AE28="","",一覧!AE28)</f>
        <v>部長会</v>
      </c>
      <c r="AH3" s="331" t="str">
        <f>IF(一覧!AF28="","",一覧!AF28)</f>
        <v/>
      </c>
      <c r="AI3" s="331" t="str">
        <f>IF(一覧!AG28="","",一覧!AG28)</f>
        <v/>
      </c>
      <c r="AJ3" s="334" t="str">
        <f>IF(一覧!AH28="","",一覧!AH28)</f>
        <v/>
      </c>
    </row>
    <row r="4" spans="1:36" ht="14.5">
      <c r="A4" s="325" t="str">
        <f>一覧!AI29</f>
        <v>camera</v>
      </c>
      <c r="B4" s="326" t="str">
        <f>一覧!AJ29</f>
        <v>a</v>
      </c>
      <c r="C4" s="327"/>
      <c r="D4" s="328" t="str">
        <f>一覧!B29</f>
        <v>鈴木　直人</v>
      </c>
      <c r="E4" s="326" t="str">
        <f>IF(一覧!C29="","",一覧!C29)</f>
        <v>局会</v>
      </c>
      <c r="F4" s="326" t="str">
        <f>IF(一覧!D29="","",一覧!D29)</f>
        <v/>
      </c>
      <c r="G4" s="326" t="str">
        <f>IF(一覧!E29="","",一覧!E29)</f>
        <v/>
      </c>
      <c r="H4" s="326" t="str">
        <f>IF(一覧!F29="","",一覧!F29)</f>
        <v/>
      </c>
      <c r="I4" s="326" t="str">
        <f>IF(一覧!G29="","",一覧!G29)</f>
        <v/>
      </c>
      <c r="J4" s="326" t="str">
        <f>IF(一覧!H29="","",一覧!H29)</f>
        <v>★</v>
      </c>
      <c r="K4" s="326" t="str">
        <f>IF(一覧!I29="","",一覧!I29)</f>
        <v>★★</v>
      </c>
      <c r="L4" s="326" t="str">
        <f>IF(一覧!J29="","",一覧!J29)</f>
        <v/>
      </c>
      <c r="M4" s="326" t="str">
        <f>IF(一覧!K29="","",一覧!K29)</f>
        <v/>
      </c>
      <c r="N4" s="326" t="str">
        <f>IF(一覧!L29="","",一覧!L29)</f>
        <v/>
      </c>
      <c r="O4" s="326" t="str">
        <f>IF(一覧!M29="","",一覧!M29)</f>
        <v>　　　━</v>
      </c>
      <c r="P4" s="326" t="str">
        <f>IF(一覧!N29="","",一覧!N29)</f>
        <v>━　　　</v>
      </c>
      <c r="Q4" s="326" t="str">
        <f>IF(一覧!O29="","",一覧!O29)</f>
        <v>★</v>
      </c>
      <c r="R4" s="326" t="str">
        <f>IF(一覧!P29="","",一覧!P29)</f>
        <v>★★</v>
      </c>
      <c r="S4" s="326" t="str">
        <f>IF(一覧!Q29="","",一覧!Q29)</f>
        <v/>
      </c>
      <c r="T4" s="326" t="str">
        <f>IF(一覧!R29="","",一覧!R29)</f>
        <v/>
      </c>
      <c r="U4" s="326" t="str">
        <f>IF(一覧!S29="","",一覧!S29)</f>
        <v/>
      </c>
      <c r="V4" s="326" t="str">
        <f>IF(一覧!T29="","",一覧!T29)</f>
        <v>ＲＤ</v>
      </c>
      <c r="W4" s="326" t="str">
        <f>IF(一覧!U29="","",一覧!U29)</f>
        <v>ｶﾒﾗG会</v>
      </c>
      <c r="X4" s="326" t="str">
        <f>IF(一覧!V29="","",一覧!V29)</f>
        <v>★</v>
      </c>
      <c r="Y4" s="326" t="str">
        <f>IF(一覧!W29="","",一覧!W29)</f>
        <v>★★</v>
      </c>
      <c r="Z4" s="326" t="str">
        <f>IF(一覧!X29="","",一覧!X29)</f>
        <v/>
      </c>
      <c r="AA4" s="326" t="str">
        <f>IF(一覧!Y29="","",一覧!Y29)</f>
        <v/>
      </c>
      <c r="AB4" s="326" t="str">
        <f>IF(一覧!Z29="","",一覧!Z29)</f>
        <v>音G/VEG</v>
      </c>
      <c r="AC4" s="326" t="str">
        <f>IF(一覧!AA29="","",一覧!AA29)</f>
        <v>ＲＤ</v>
      </c>
      <c r="AD4" s="326" t="str">
        <f>IF(一覧!AB29="","",一覧!AB29)</f>
        <v>技術会議</v>
      </c>
      <c r="AE4" s="326" t="str">
        <f>IF(一覧!AC29="","",一覧!AC29)</f>
        <v>★</v>
      </c>
      <c r="AF4" s="326" t="str">
        <f>IF(一覧!AD29="","",一覧!AD29)</f>
        <v>★★</v>
      </c>
      <c r="AG4" s="326" t="str">
        <f>IF(一覧!AE29="","",一覧!AE29)</f>
        <v/>
      </c>
      <c r="AH4" s="326" t="str">
        <f>IF(一覧!AF29="","",一覧!AF29)</f>
        <v/>
      </c>
      <c r="AI4" s="326" t="str">
        <f>IF(一覧!AG29="","",一覧!AG29)</f>
        <v/>
      </c>
      <c r="AJ4" s="329" t="str">
        <f>IF(一覧!AH29="","",一覧!AH29)</f>
        <v>鈴木</v>
      </c>
    </row>
    <row r="5" spans="1:36" ht="15" thickBot="1">
      <c r="A5" s="330" t="str">
        <f>一覧!AI29</f>
        <v>camera</v>
      </c>
      <c r="B5" s="331" t="str">
        <f>一覧!AJ29</f>
        <v>a</v>
      </c>
      <c r="C5" s="332"/>
      <c r="D5" s="333"/>
      <c r="E5" s="331" t="str">
        <f>IF(一覧!C30="","",一覧!C30)</f>
        <v>部長会</v>
      </c>
      <c r="F5" s="331" t="str">
        <f>IF(一覧!D30="","",一覧!D30)</f>
        <v>車両会議</v>
      </c>
      <c r="G5" s="331" t="str">
        <f>IF(一覧!E30="","",一覧!E30)</f>
        <v/>
      </c>
      <c r="H5" s="331" t="str">
        <f>IF(一覧!F30="","",一覧!F30)</f>
        <v/>
      </c>
      <c r="I5" s="331" t="str">
        <f>IF(一覧!G30="","",一覧!G30)</f>
        <v>セミナー</v>
      </c>
      <c r="J5" s="331" t="str">
        <f>IF(一覧!H30="","",一覧!H30)</f>
        <v/>
      </c>
      <c r="K5" s="331" t="str">
        <f>IF(一覧!I30="","",一覧!I30)</f>
        <v/>
      </c>
      <c r="L5" s="331" t="str">
        <f>IF(一覧!J30="","",一覧!J30)</f>
        <v>部長会</v>
      </c>
      <c r="M5" s="331" t="str">
        <f>IF(一覧!K30="","",一覧!K30)</f>
        <v/>
      </c>
      <c r="N5" s="331" t="str">
        <f>IF(一覧!L30="","",一覧!L30)</f>
        <v>照明G</v>
      </c>
      <c r="O5" s="331" t="str">
        <f>IF(一覧!M30="","",一覧!M30)</f>
        <v>コンプラ</v>
      </c>
      <c r="P5" s="331" t="str">
        <f>IF(一覧!N30="","",一覧!N30)</f>
        <v>事故対</v>
      </c>
      <c r="Q5" s="331" t="str">
        <f>IF(一覧!O30="","",一覧!O30)</f>
        <v>※</v>
      </c>
      <c r="R5" s="331" t="str">
        <f>IF(一覧!P30="","",一覧!P30)</f>
        <v/>
      </c>
      <c r="S5" s="331" t="str">
        <f>IF(一覧!Q30="","",一覧!Q30)</f>
        <v>部長会</v>
      </c>
      <c r="T5" s="331" t="str">
        <f>IF(一覧!R30="","",一覧!R30)</f>
        <v/>
      </c>
      <c r="U5" s="331" t="str">
        <f>IF(一覧!S30="","",一覧!S30)</f>
        <v/>
      </c>
      <c r="V5" s="331" t="str">
        <f>IF(一覧!T30="","",一覧!T30)</f>
        <v/>
      </c>
      <c r="W5" s="331" t="str">
        <f>IF(一覧!U30="","",一覧!U30)</f>
        <v>回線Ｇ</v>
      </c>
      <c r="X5" s="331" t="str">
        <f>IF(一覧!V30="","",一覧!V30)</f>
        <v>※</v>
      </c>
      <c r="Y5" s="331" t="str">
        <f>IF(一覧!W30="","",一覧!W30)</f>
        <v>※</v>
      </c>
      <c r="Z5" s="331" t="str">
        <f>IF(一覧!X30="","",一覧!X30)</f>
        <v>部長会</v>
      </c>
      <c r="AA5" s="331" t="str">
        <f>IF(一覧!Y30="","",一覧!Y30)</f>
        <v/>
      </c>
      <c r="AB5" s="331" t="str">
        <f>IF(一覧!Z30="","",一覧!Z30)</f>
        <v>制作費会議</v>
      </c>
      <c r="AC5" s="331" t="str">
        <f>IF(一覧!AA30="","",一覧!AA30)</f>
        <v/>
      </c>
      <c r="AD5" s="331" t="str">
        <f>IF(一覧!AB30="","",一覧!AB30)</f>
        <v>NT会議</v>
      </c>
      <c r="AE5" s="331" t="str">
        <f>IF(一覧!AC30="","",一覧!AC30)</f>
        <v/>
      </c>
      <c r="AF5" s="331" t="str">
        <f>IF(一覧!AD30="","",一覧!AD30)</f>
        <v/>
      </c>
      <c r="AG5" s="331" t="str">
        <f>IF(一覧!AE30="","",一覧!AE30)</f>
        <v>部長会</v>
      </c>
      <c r="AH5" s="331" t="str">
        <f>IF(一覧!AF30="","",一覧!AF30)</f>
        <v/>
      </c>
      <c r="AI5" s="331" t="str">
        <f>IF(一覧!AG30="","",一覧!AG30)</f>
        <v/>
      </c>
      <c r="AJ5" s="334" t="str">
        <f>IF(一覧!AH30="","",一覧!AH30)</f>
        <v/>
      </c>
    </row>
    <row r="6" spans="1:36" ht="14.5">
      <c r="A6" s="325" t="str">
        <f>一覧!AI31</f>
        <v>onsei</v>
      </c>
      <c r="B6" s="326" t="str">
        <f>一覧!AJ31</f>
        <v>a</v>
      </c>
      <c r="C6" s="327"/>
      <c r="D6" s="328" t="str">
        <f>一覧!B31</f>
        <v>三村　将之</v>
      </c>
      <c r="E6" s="326" t="str">
        <f>IF(一覧!C31="","",一覧!C31)</f>
        <v/>
      </c>
      <c r="F6" s="326" t="str">
        <f>IF(一覧!D31="","",一覧!D31)</f>
        <v>PT研修</v>
      </c>
      <c r="G6" s="326" t="str">
        <f>IF(一覧!E31="","",一覧!E31)</f>
        <v/>
      </c>
      <c r="H6" s="326" t="str">
        <f>IF(一覧!F31="","",一覧!F31)</f>
        <v>じゅっと</v>
      </c>
      <c r="I6" s="326" t="str">
        <f>IF(一覧!G31="","",一覧!G31)</f>
        <v/>
      </c>
      <c r="J6" s="326" t="str">
        <f>IF(一覧!H31="","",一覧!H31)</f>
        <v>★★</v>
      </c>
      <c r="K6" s="326" t="str">
        <f>IF(一覧!I31="","",一覧!I31)</f>
        <v>NsubTD</v>
      </c>
      <c r="L6" s="326" t="str">
        <f>IF(一覧!J31="","",一覧!J31)</f>
        <v>じゅっと</v>
      </c>
      <c r="M6" s="326" t="str">
        <f>IF(一覧!K31="","",一覧!K31)</f>
        <v>中継車WG</v>
      </c>
      <c r="N6" s="326" t="str">
        <f>IF(一覧!L31="","",一覧!L31)</f>
        <v/>
      </c>
      <c r="O6" s="326" t="str">
        <f>IF(一覧!M31="","",一覧!M31)</f>
        <v/>
      </c>
      <c r="P6" s="326" t="str">
        <f>IF(一覧!N31="","",一覧!N31)</f>
        <v>★</v>
      </c>
      <c r="Q6" s="326" t="str">
        <f>IF(一覧!O31="","",一覧!O31)</f>
        <v>★</v>
      </c>
      <c r="R6" s="326" t="str">
        <f>IF(一覧!P31="","",一覧!P31)</f>
        <v>★★</v>
      </c>
      <c r="S6" s="326" t="str">
        <f>IF(一覧!Q31="","",一覧!Q31)</f>
        <v>特休</v>
      </c>
      <c r="T6" s="326" t="str">
        <f>IF(一覧!R31="","",一覧!R31)</f>
        <v>特休</v>
      </c>
      <c r="U6" s="326" t="str">
        <f>IF(一覧!S31="","",一覧!S31)</f>
        <v>特休</v>
      </c>
      <c r="V6" s="326" t="str">
        <f>IF(一覧!T31="","",一覧!T31)</f>
        <v>設備WG</v>
      </c>
      <c r="W6" s="326" t="str">
        <f>IF(一覧!U31="","",一覧!U31)</f>
        <v>　　　━</v>
      </c>
      <c r="X6" s="326" t="str">
        <f>IF(一覧!V31="","",一覧!V31)</f>
        <v>━　　　</v>
      </c>
      <c r="Y6" s="326" t="str">
        <f>IF(一覧!W31="","",一覧!W31)</f>
        <v>★★</v>
      </c>
      <c r="Z6" s="326" t="str">
        <f>IF(一覧!X31="","",一覧!X31)</f>
        <v>★</v>
      </c>
      <c r="AA6" s="326" t="str">
        <f>IF(一覧!Y31="","",一覧!Y31)</f>
        <v/>
      </c>
      <c r="AB6" s="326" t="str">
        <f>IF(一覧!Z31="","",一覧!Z31)</f>
        <v>音声G会</v>
      </c>
      <c r="AC6" s="326" t="str">
        <f>IF(一覧!AA31="","",一覧!AA31)</f>
        <v>ミヤネ屋</v>
      </c>
      <c r="AD6" s="326" t="str">
        <f>IF(一覧!AB31="","",一覧!AB31)</f>
        <v>技術会議</v>
      </c>
      <c r="AE6" s="326" t="str">
        <f>IF(一覧!AC31="","",一覧!AC31)</f>
        <v>★</v>
      </c>
      <c r="AF6" s="326" t="str">
        <f>IF(一覧!AD31="","",一覧!AD31)</f>
        <v>★★</v>
      </c>
      <c r="AG6" s="326" t="str">
        <f>IF(一覧!AE31="","",一覧!AE31)</f>
        <v/>
      </c>
      <c r="AH6" s="326" t="str">
        <f>IF(一覧!AF31="","",一覧!AF31)</f>
        <v/>
      </c>
      <c r="AI6" s="326" t="str">
        <f>IF(一覧!AG31="","",一覧!AG31)</f>
        <v/>
      </c>
      <c r="AJ6" s="329" t="str">
        <f>IF(一覧!AH31="","",一覧!AH31)</f>
        <v>三村</v>
      </c>
    </row>
    <row r="7" spans="1:36" ht="15" thickBot="1">
      <c r="A7" s="330" t="str">
        <f>一覧!AI31</f>
        <v>onsei</v>
      </c>
      <c r="B7" s="331" t="str">
        <f>一覧!AJ31</f>
        <v>a</v>
      </c>
      <c r="C7" s="332"/>
      <c r="D7" s="333"/>
      <c r="E7" s="331" t="str">
        <f>IF(一覧!C32="","",一覧!C32)</f>
        <v>局会</v>
      </c>
      <c r="F7" s="331" t="str">
        <f>IF(一覧!D32="","",一覧!D32)</f>
        <v/>
      </c>
      <c r="G7" s="331" t="str">
        <f>IF(一覧!E32="","",一覧!E32)</f>
        <v/>
      </c>
      <c r="H7" s="331" t="str">
        <f>IF(一覧!F32="","",一覧!F32)</f>
        <v>ＴＤ</v>
      </c>
      <c r="I7" s="331" t="str">
        <f>IF(一覧!G32="","",一覧!G32)</f>
        <v/>
      </c>
      <c r="J7" s="331" t="str">
        <f>IF(一覧!H32="","",一覧!H32)</f>
        <v>※</v>
      </c>
      <c r="K7" s="331" t="str">
        <f>IF(一覧!I32="","",一覧!I32)</f>
        <v/>
      </c>
      <c r="L7" s="331" t="str">
        <f>IF(一覧!J32="","",一覧!J32)</f>
        <v>ＴＤ</v>
      </c>
      <c r="M7" s="331" t="str">
        <f>IF(一覧!K32="","",一覧!K32)</f>
        <v/>
      </c>
      <c r="N7" s="331" t="str">
        <f>IF(一覧!L32="","",一覧!L32)</f>
        <v>照明G</v>
      </c>
      <c r="O7" s="331" t="str">
        <f>IF(一覧!M32="","",一覧!M32)</f>
        <v/>
      </c>
      <c r="P7" s="331" t="str">
        <f>IF(一覧!N32="","",一覧!N32)</f>
        <v/>
      </c>
      <c r="Q7" s="331" t="str">
        <f>IF(一覧!O32="","",一覧!O32)</f>
        <v/>
      </c>
      <c r="R7" s="331" t="str">
        <f>IF(一覧!P32="","",一覧!P32)</f>
        <v>※</v>
      </c>
      <c r="S7" s="331" t="str">
        <f>IF(一覧!Q32="","",一覧!Q32)</f>
        <v>※</v>
      </c>
      <c r="T7" s="331" t="str">
        <f>IF(一覧!R32="","",一覧!R32)</f>
        <v>※</v>
      </c>
      <c r="U7" s="331" t="str">
        <f>IF(一覧!S32="","",一覧!S32)</f>
        <v>※</v>
      </c>
      <c r="V7" s="331" t="str">
        <f>IF(一覧!T32="","",一覧!T32)</f>
        <v/>
      </c>
      <c r="W7" s="331" t="str">
        <f>IF(一覧!U32="","",一覧!U32)</f>
        <v/>
      </c>
      <c r="X7" s="331" t="str">
        <f>IF(一覧!V32="","",一覧!V32)</f>
        <v/>
      </c>
      <c r="Y7" s="331" t="str">
        <f>IF(一覧!W32="","",一覧!W32)</f>
        <v/>
      </c>
      <c r="Z7" s="331" t="str">
        <f>IF(一覧!X32="","",一覧!X32)</f>
        <v/>
      </c>
      <c r="AA7" s="331" t="str">
        <f>IF(一覧!Y32="","",一覧!Y32)</f>
        <v/>
      </c>
      <c r="AB7" s="331" t="str">
        <f>IF(一覧!Z32="","",一覧!Z32)</f>
        <v>MA更新会</v>
      </c>
      <c r="AC7" s="331" t="str">
        <f>IF(一覧!AA32="","",一覧!AA32)</f>
        <v>ＴＤ</v>
      </c>
      <c r="AD7" s="331" t="str">
        <f>IF(一覧!AB32="","",一覧!AB32)</f>
        <v>NT会議</v>
      </c>
      <c r="AE7" s="331" t="str">
        <f>IF(一覧!AC32="","",一覧!AC32)</f>
        <v/>
      </c>
      <c r="AF7" s="331" t="str">
        <f>IF(一覧!AD32="","",一覧!AD32)</f>
        <v/>
      </c>
      <c r="AG7" s="331" t="str">
        <f>IF(一覧!AE32="","",一覧!AE32)</f>
        <v/>
      </c>
      <c r="AH7" s="331" t="str">
        <f>IF(一覧!AF32="","",一覧!AF32)</f>
        <v/>
      </c>
      <c r="AI7" s="331" t="str">
        <f>IF(一覧!AG32="","",一覧!AG32)</f>
        <v/>
      </c>
      <c r="AJ7" s="334" t="str">
        <f>IF(一覧!AH32="","",一覧!AH32)</f>
        <v/>
      </c>
    </row>
    <row r="8" spans="1:36" ht="14.5">
      <c r="A8" s="325" t="str">
        <f>一覧!AI35</f>
        <v>camera</v>
      </c>
      <c r="B8" s="326" t="str">
        <f>一覧!AJ35</f>
        <v>a</v>
      </c>
      <c r="C8" s="327"/>
      <c r="D8" s="328" t="str">
        <f>一覧!B35</f>
        <v>坂口　裕一</v>
      </c>
      <c r="E8" s="326" t="str">
        <f>IF(一覧!C35="","",一覧!C35)</f>
        <v>じゅっと</v>
      </c>
      <c r="F8" s="326" t="str">
        <f>IF(一覧!D35="","",一覧!D35)</f>
        <v>ミヤネ屋</v>
      </c>
      <c r="G8" s="326" t="str">
        <f>IF(一覧!E35="","",一覧!E35)</f>
        <v>代休</v>
      </c>
      <c r="H8" s="326" t="str">
        <f>IF(一覧!F35="","",一覧!F35)</f>
        <v>ｔｅｎ！</v>
      </c>
      <c r="I8" s="326" t="str">
        <f>IF(一覧!G35="","",一覧!G35)</f>
        <v>吉田粗品</v>
      </c>
      <c r="J8" s="326" t="str">
        <f>IF(一覧!H35="","",一覧!H35)</f>
        <v>★★</v>
      </c>
      <c r="K8" s="326" t="str">
        <f>IF(一覧!I35="","",一覧!I35)</f>
        <v>　　　━</v>
      </c>
      <c r="L8" s="326" t="str">
        <f>IF(一覧!J35="","",一覧!J35)</f>
        <v>━　　　</v>
      </c>
      <c r="M8" s="326" t="str">
        <f>IF(一覧!K35="","",一覧!K35)</f>
        <v>中継車WG</v>
      </c>
      <c r="N8" s="326" t="str">
        <f>IF(一覧!L35="","",一覧!L35)</f>
        <v>NTV会議</v>
      </c>
      <c r="O8" s="326" t="str">
        <f>IF(一覧!M35="","",一覧!M35)</f>
        <v/>
      </c>
      <c r="P8" s="326" t="str">
        <f>IF(一覧!N35="","",一覧!N35)</f>
        <v>★</v>
      </c>
      <c r="Q8" s="326" t="str">
        <f>IF(一覧!O35="","",一覧!O35)</f>
        <v>★</v>
      </c>
      <c r="R8" s="326" t="str">
        <f>IF(一覧!P35="","",一覧!P35)</f>
        <v>★★</v>
      </c>
      <c r="S8" s="326" t="str">
        <f>IF(一覧!Q35="","",一覧!Q35)</f>
        <v/>
      </c>
      <c r="T8" s="326" t="str">
        <f>IF(一覧!R35="","",一覧!R35)</f>
        <v/>
      </c>
      <c r="U8" s="326" t="str">
        <f>IF(一覧!S35="","",一覧!S35)</f>
        <v>うさかめ</v>
      </c>
      <c r="V8" s="326" t="str">
        <f>IF(一覧!T35="","",一覧!T35)</f>
        <v>吉田粗品</v>
      </c>
      <c r="W8" s="326" t="str">
        <f>IF(一覧!U35="","",一覧!U35)</f>
        <v>ｶﾒﾗG会</v>
      </c>
      <c r="X8" s="326" t="str">
        <f>IF(一覧!V35="","",一覧!V35)</f>
        <v>ジグザグ</v>
      </c>
      <c r="Y8" s="326" t="str">
        <f>IF(一覧!W35="","",一覧!W35)</f>
        <v>★★</v>
      </c>
      <c r="Z8" s="326" t="str">
        <f>IF(一覧!X35="","",一覧!X35)</f>
        <v>　　　━</v>
      </c>
      <c r="AA8" s="326" t="str">
        <f>IF(一覧!Y35="","",一覧!Y35)</f>
        <v>━　　　</v>
      </c>
      <c r="AB8" s="326" t="str">
        <f>IF(一覧!Z35="","",一覧!Z35)</f>
        <v>★</v>
      </c>
      <c r="AC8" s="326" t="str">
        <f>IF(一覧!AA35="","",一覧!AA35)</f>
        <v>ｔｅｎ！</v>
      </c>
      <c r="AD8" s="326" t="str">
        <f>IF(一覧!AB35="","",一覧!AB35)</f>
        <v/>
      </c>
      <c r="AE8" s="326" t="str">
        <f>IF(一覧!AC35="","",一覧!AC35)</f>
        <v>★</v>
      </c>
      <c r="AF8" s="326" t="str">
        <f>IF(一覧!AD35="","",一覧!AD35)</f>
        <v>★★</v>
      </c>
      <c r="AG8" s="326" t="str">
        <f>IF(一覧!AE35="","",一覧!AE35)</f>
        <v>ミヤネ屋</v>
      </c>
      <c r="AH8" s="326" t="str">
        <f>IF(一覧!AF35="","",一覧!AF35)</f>
        <v>じゅっと</v>
      </c>
      <c r="AI8" s="326" t="str">
        <f>IF(一覧!AG35="","",一覧!AG35)</f>
        <v/>
      </c>
      <c r="AJ8" s="329" t="str">
        <f>IF(一覧!AH35="","",一覧!AH35)</f>
        <v>坂口裕</v>
      </c>
    </row>
    <row r="9" spans="1:36" ht="15" thickBot="1">
      <c r="A9" s="330" t="str">
        <f>一覧!AI35</f>
        <v>camera</v>
      </c>
      <c r="B9" s="331" t="str">
        <f>一覧!AJ35</f>
        <v>a</v>
      </c>
      <c r="C9" s="332"/>
      <c r="D9" s="333"/>
      <c r="E9" s="331" t="str">
        <f>IF(一覧!C36="","",一覧!C36)</f>
        <v>ＴＤ</v>
      </c>
      <c r="F9" s="331" t="str">
        <f>IF(一覧!D36="","",一覧!D36)</f>
        <v>ＳＷ</v>
      </c>
      <c r="G9" s="331" t="str">
        <f>IF(一覧!E36="","",一覧!E36)</f>
        <v>5/31分</v>
      </c>
      <c r="H9" s="331" t="str">
        <f>IF(一覧!F36="","",一覧!F36)</f>
        <v>ＳＷ</v>
      </c>
      <c r="I9" s="331" t="str">
        <f>IF(一覧!G36="","",一覧!G36)</f>
        <v>ＴＤ</v>
      </c>
      <c r="J9" s="331" t="str">
        <f>IF(一覧!H36="","",一覧!H36)</f>
        <v>※</v>
      </c>
      <c r="K9" s="331" t="str">
        <f>IF(一覧!I36="","",一覧!I36)</f>
        <v/>
      </c>
      <c r="L9" s="331" t="str">
        <f>IF(一覧!J36="","",一覧!J36)</f>
        <v>吉田粗品</v>
      </c>
      <c r="M9" s="331" t="str">
        <f>IF(一覧!K36="","",一覧!K36)</f>
        <v/>
      </c>
      <c r="N9" s="331" t="str">
        <f>IF(一覧!L36="","",一覧!L36)</f>
        <v/>
      </c>
      <c r="O9" s="331" t="str">
        <f>IF(一覧!M36="","",一覧!M36)</f>
        <v/>
      </c>
      <c r="P9" s="331" t="str">
        <f>IF(一覧!N36="","",一覧!N36)</f>
        <v/>
      </c>
      <c r="Q9" s="331" t="str">
        <f>IF(一覧!O36="","",一覧!O36)</f>
        <v/>
      </c>
      <c r="R9" s="331" t="str">
        <f>IF(一覧!P36="","",一覧!P36)</f>
        <v/>
      </c>
      <c r="S9" s="331" t="str">
        <f>IF(一覧!Q36="","",一覧!Q36)</f>
        <v/>
      </c>
      <c r="T9" s="331" t="str">
        <f>IF(一覧!R36="","",一覧!R36)</f>
        <v/>
      </c>
      <c r="U9" s="331" t="str">
        <f>IF(一覧!S36="","",一覧!S36)</f>
        <v>ＴＤ</v>
      </c>
      <c r="V9" s="331" t="str">
        <f>IF(一覧!T36="","",一覧!T36)</f>
        <v>ＳＷ</v>
      </c>
      <c r="W9" s="331" t="str">
        <f>IF(一覧!U36="","",一覧!U36)</f>
        <v>13゜～</v>
      </c>
      <c r="X9" s="331" t="str">
        <f>IF(一覧!V36="","",一覧!V36)</f>
        <v>ＴＤ</v>
      </c>
      <c r="Y9" s="331" t="str">
        <f>IF(一覧!W36="","",一覧!W36)</f>
        <v/>
      </c>
      <c r="Z9" s="331" t="str">
        <f>IF(一覧!X36="","",一覧!X36)</f>
        <v/>
      </c>
      <c r="AA9" s="331" t="str">
        <f>IF(一覧!Y36="","",一覧!Y36)</f>
        <v/>
      </c>
      <c r="AB9" s="331" t="str">
        <f>IF(一覧!Z36="","",一覧!Z36)</f>
        <v/>
      </c>
      <c r="AC9" s="331" t="str">
        <f>IF(一覧!AA36="","",一覧!AA36)</f>
        <v>ＴＤ</v>
      </c>
      <c r="AD9" s="331" t="str">
        <f>IF(一覧!AB36="","",一覧!AB36)</f>
        <v>技術会議</v>
      </c>
      <c r="AE9" s="331" t="str">
        <f>IF(一覧!AC36="","",一覧!AC36)</f>
        <v/>
      </c>
      <c r="AF9" s="331" t="str">
        <f>IF(一覧!AD36="","",一覧!AD36)</f>
        <v/>
      </c>
      <c r="AG9" s="331" t="str">
        <f>IF(一覧!AE36="","",一覧!AE36)</f>
        <v>ＳＷ</v>
      </c>
      <c r="AH9" s="331" t="str">
        <f>IF(一覧!AF36="","",一覧!AF36)</f>
        <v>ＴＤ</v>
      </c>
      <c r="AI9" s="331" t="str">
        <f>IF(一覧!AG36="","",一覧!AG36)</f>
        <v/>
      </c>
      <c r="AJ9" s="334" t="str">
        <f>IF(一覧!AH36="","",一覧!AH36)</f>
        <v/>
      </c>
    </row>
    <row r="10" spans="1:36" ht="14.5">
      <c r="A10" s="325" t="str">
        <f>一覧!AI37</f>
        <v>houdou</v>
      </c>
      <c r="B10" s="326" t="str">
        <f>一覧!AJ37</f>
        <v>a</v>
      </c>
      <c r="C10" s="327"/>
      <c r="D10" s="328" t="str">
        <f>一覧!B37</f>
        <v>湯川　洋輔</v>
      </c>
      <c r="E10" s="326" t="str">
        <f>IF(一覧!C37="","",一覧!C37)</f>
        <v/>
      </c>
      <c r="F10" s="326" t="str">
        <f>IF(一覧!D37="","",一覧!D37)</f>
        <v/>
      </c>
      <c r="G10" s="326" t="str">
        <f>IF(一覧!E37="","",一覧!E37)</f>
        <v>　　　━</v>
      </c>
      <c r="H10" s="326" t="str">
        <f>IF(一覧!F37="","",一覧!F37)</f>
        <v>━　　　</v>
      </c>
      <c r="I10" s="326" t="str">
        <f>IF(一覧!G37="","",一覧!G37)</f>
        <v/>
      </c>
      <c r="J10" s="326" t="str">
        <f>IF(一覧!H37="","",一覧!H37)</f>
        <v>★</v>
      </c>
      <c r="K10" s="326" t="str">
        <f>IF(一覧!I37="","",一覧!I37)</f>
        <v>★★</v>
      </c>
      <c r="L10" s="326" t="str">
        <f>IF(一覧!J37="","",一覧!J37)</f>
        <v/>
      </c>
      <c r="M10" s="326" t="str">
        <f>IF(一覧!K37="","",一覧!K37)</f>
        <v>近総通</v>
      </c>
      <c r="N10" s="326" t="str">
        <f>IF(一覧!L37="","",一覧!L37)</f>
        <v>NTV会議</v>
      </c>
      <c r="O10" s="326" t="str">
        <f>IF(一覧!M37="","",一覧!M37)</f>
        <v/>
      </c>
      <c r="P10" s="326" t="str">
        <f>IF(一覧!N37="","",一覧!N37)</f>
        <v>ＲＤ</v>
      </c>
      <c r="Q10" s="326" t="str">
        <f>IF(一覧!O37="","",一覧!O37)</f>
        <v>★</v>
      </c>
      <c r="R10" s="326" t="str">
        <f>IF(一覧!P37="","",一覧!P37)</f>
        <v>★★</v>
      </c>
      <c r="S10" s="326" t="str">
        <f>IF(一覧!Q37="","",一覧!Q37)</f>
        <v>ＲＤ</v>
      </c>
      <c r="T10" s="326" t="str">
        <f>IF(一覧!R37="","",一覧!R37)</f>
        <v>ＲＤ</v>
      </c>
      <c r="U10" s="326" t="str">
        <f>IF(一覧!S37="","",一覧!S37)</f>
        <v>　　　━</v>
      </c>
      <c r="V10" s="326" t="str">
        <f>IF(一覧!T37="","",一覧!T37)</f>
        <v>━　　　</v>
      </c>
      <c r="W10" s="326" t="str">
        <f>IF(一覧!U37="","",一覧!U37)</f>
        <v>回線Ｇ</v>
      </c>
      <c r="X10" s="326" t="str">
        <f>IF(一覧!V37="","",一覧!V37)</f>
        <v>　　　━</v>
      </c>
      <c r="Y10" s="326" t="str">
        <f>IF(一覧!W37="","",一覧!W37)</f>
        <v>━　　　</v>
      </c>
      <c r="Z10" s="326" t="str">
        <f>IF(一覧!X37="","",一覧!X37)</f>
        <v>★★</v>
      </c>
      <c r="AA10" s="326" t="str">
        <f>IF(一覧!Y37="","",一覧!Y37)</f>
        <v>ヤ</v>
      </c>
      <c r="AB10" s="326" t="str">
        <f>IF(一覧!Z37="","",一覧!Z37)</f>
        <v>年休</v>
      </c>
      <c r="AC10" s="326" t="str">
        <f>IF(一覧!AA37="","",一覧!AA37)</f>
        <v>年休</v>
      </c>
      <c r="AD10" s="326" t="str">
        <f>IF(一覧!AB37="","",一覧!AB37)</f>
        <v>★</v>
      </c>
      <c r="AE10" s="326" t="str">
        <f>IF(一覧!AC37="","",一覧!AC37)</f>
        <v>★★</v>
      </c>
      <c r="AF10" s="326" t="str">
        <f>IF(一覧!AD37="","",一覧!AD37)</f>
        <v>　　　━</v>
      </c>
      <c r="AG10" s="326" t="str">
        <f>IF(一覧!AE37="","",一覧!AE37)</f>
        <v>━　　　</v>
      </c>
      <c r="AH10" s="326" t="str">
        <f>IF(一覧!AF37="","",一覧!AF37)</f>
        <v>★</v>
      </c>
      <c r="AI10" s="326" t="str">
        <f>IF(一覧!AG37="","",一覧!AG37)</f>
        <v/>
      </c>
      <c r="AJ10" s="329" t="str">
        <f>IF(一覧!AH37="","",一覧!AH37)</f>
        <v>湯川</v>
      </c>
    </row>
    <row r="11" spans="1:36" ht="15" thickBot="1">
      <c r="A11" s="330" t="str">
        <f>一覧!AI37</f>
        <v>houdou</v>
      </c>
      <c r="B11" s="331" t="str">
        <f>一覧!AJ37</f>
        <v>a</v>
      </c>
      <c r="C11" s="332"/>
      <c r="D11" s="333"/>
      <c r="E11" s="331" t="str">
        <f>IF(一覧!C38="","",一覧!C38)</f>
        <v>局会</v>
      </c>
      <c r="F11" s="331" t="str">
        <f>IF(一覧!D38="","",一覧!D38)</f>
        <v/>
      </c>
      <c r="G11" s="331" t="str">
        <f>IF(一覧!E38="","",一覧!E38)</f>
        <v/>
      </c>
      <c r="H11" s="331" t="str">
        <f>IF(一覧!F38="","",一覧!F38)</f>
        <v/>
      </c>
      <c r="I11" s="331" t="str">
        <f>IF(一覧!G38="","",一覧!G38)</f>
        <v/>
      </c>
      <c r="J11" s="331" t="str">
        <f>IF(一覧!H38="","",一覧!H38)</f>
        <v>※</v>
      </c>
      <c r="K11" s="331" t="str">
        <f>IF(一覧!I38="","",一覧!I38)</f>
        <v/>
      </c>
      <c r="L11" s="331" t="str">
        <f>IF(一覧!J38="","",一覧!J38)</f>
        <v/>
      </c>
      <c r="M11" s="331" t="str">
        <f>IF(一覧!K38="","",一覧!K38)</f>
        <v>現地視察</v>
      </c>
      <c r="N11" s="331" t="str">
        <f>IF(一覧!L38="","",一覧!L38)</f>
        <v/>
      </c>
      <c r="O11" s="331" t="str">
        <f>IF(一覧!M38="","",一覧!M38)</f>
        <v/>
      </c>
      <c r="P11" s="331" t="str">
        <f>IF(一覧!N38="","",一覧!N38)</f>
        <v/>
      </c>
      <c r="Q11" s="331" t="str">
        <f>IF(一覧!O38="","",一覧!O38)</f>
        <v/>
      </c>
      <c r="R11" s="331" t="str">
        <f>IF(一覧!P38="","",一覧!P38)</f>
        <v/>
      </c>
      <c r="S11" s="331" t="str">
        <f>IF(一覧!Q38="","",一覧!Q38)</f>
        <v/>
      </c>
      <c r="T11" s="331" t="str">
        <f>IF(一覧!R38="","",一覧!R38)</f>
        <v/>
      </c>
      <c r="U11" s="331" t="str">
        <f>IF(一覧!S38="","",一覧!S38)</f>
        <v/>
      </c>
      <c r="V11" s="331" t="str">
        <f>IF(一覧!T38="","",一覧!T38)</f>
        <v/>
      </c>
      <c r="W11" s="331" t="str">
        <f>IF(一覧!U38="","",一覧!U38)</f>
        <v>ＲＤ</v>
      </c>
      <c r="X11" s="331" t="str">
        <f>IF(一覧!V38="","",一覧!V38)</f>
        <v/>
      </c>
      <c r="Y11" s="331" t="str">
        <f>IF(一覧!W38="","",一覧!W38)</f>
        <v/>
      </c>
      <c r="Z11" s="331" t="str">
        <f>IF(一覧!X38="","",一覧!X38)</f>
        <v>※</v>
      </c>
      <c r="AA11" s="331" t="str">
        <f>IF(一覧!Y38="","",一覧!Y38)</f>
        <v>※</v>
      </c>
      <c r="AB11" s="331" t="str">
        <f>IF(一覧!Z38="","",一覧!Z38)</f>
        <v>※</v>
      </c>
      <c r="AC11" s="331" t="str">
        <f>IF(一覧!AA38="","",一覧!AA38)</f>
        <v>※</v>
      </c>
      <c r="AD11" s="331" t="str">
        <f>IF(一覧!AB38="","",一覧!AB38)</f>
        <v>技術会議</v>
      </c>
      <c r="AE11" s="331" t="str">
        <f>IF(一覧!AC38="","",一覧!AC38)</f>
        <v/>
      </c>
      <c r="AF11" s="331" t="str">
        <f>IF(一覧!AD38="","",一覧!AD38)</f>
        <v/>
      </c>
      <c r="AG11" s="331" t="str">
        <f>IF(一覧!AE38="","",一覧!AE38)</f>
        <v/>
      </c>
      <c r="AH11" s="331" t="str">
        <f>IF(一覧!AF38="","",一覧!AF38)</f>
        <v/>
      </c>
      <c r="AI11" s="331" t="str">
        <f>IF(一覧!AG38="","",一覧!AG38)</f>
        <v/>
      </c>
      <c r="AJ11" s="334" t="str">
        <f>IF(一覧!AH38="","",一覧!AH38)</f>
        <v/>
      </c>
    </row>
    <row r="12" spans="1:36" ht="14.5">
      <c r="A12" s="325" t="str">
        <f>一覧!AI39</f>
        <v>VE</v>
      </c>
      <c r="B12" s="326" t="str">
        <f>一覧!AJ39</f>
        <v>a</v>
      </c>
      <c r="C12" s="327"/>
      <c r="D12" s="328" t="str">
        <f>一覧!B39</f>
        <v>窪内　誠</v>
      </c>
      <c r="E12" s="326" t="str">
        <f>IF(一覧!C39="","",一覧!C39)</f>
        <v/>
      </c>
      <c r="F12" s="326" t="str">
        <f>IF(一覧!D39="","",一覧!D39)</f>
        <v>ミヤネ屋</v>
      </c>
      <c r="G12" s="326" t="str">
        <f>IF(一覧!E39="","",一覧!E39)</f>
        <v>じゅっと</v>
      </c>
      <c r="H12" s="326" t="str">
        <f>IF(一覧!F39="","",一覧!F39)</f>
        <v>VEレク</v>
      </c>
      <c r="I12" s="326" t="str">
        <f>IF(一覧!G39="","",一覧!G39)</f>
        <v>VEレク</v>
      </c>
      <c r="J12" s="326" t="str">
        <f>IF(一覧!H39="","",一覧!H39)</f>
        <v>★</v>
      </c>
      <c r="K12" s="326" t="str">
        <f>IF(一覧!I39="","",一覧!I39)</f>
        <v>★★</v>
      </c>
      <c r="L12" s="326" t="str">
        <f>IF(一覧!J39="","",一覧!J39)</f>
        <v>　　　━</v>
      </c>
      <c r="M12" s="326" t="str">
        <f>IF(一覧!K39="","",一覧!K39)</f>
        <v>━　　　</v>
      </c>
      <c r="N12" s="326" t="str">
        <f>IF(一覧!L39="","",一覧!L39)</f>
        <v/>
      </c>
      <c r="O12" s="326" t="str">
        <f>IF(一覧!M39="","",一覧!M39)</f>
        <v>音道楽</v>
      </c>
      <c r="P12" s="326" t="str">
        <f>IF(一覧!N39="","",一覧!N39)</f>
        <v>委員会</v>
      </c>
      <c r="Q12" s="326" t="str">
        <f>IF(一覧!O39="","",一覧!O39)</f>
        <v>★</v>
      </c>
      <c r="R12" s="326" t="str">
        <f>IF(一覧!P39="","",一覧!P39)</f>
        <v>★★</v>
      </c>
      <c r="S12" s="326" t="str">
        <f>IF(一覧!Q39="","",一覧!Q39)</f>
        <v>　　　━</v>
      </c>
      <c r="T12" s="326" t="str">
        <f>IF(一覧!R39="","",一覧!R39)</f>
        <v>━　　　</v>
      </c>
      <c r="U12" s="326" t="str">
        <f>IF(一覧!S39="","",一覧!S39)</f>
        <v>ミヤネ屋</v>
      </c>
      <c r="V12" s="326" t="str">
        <f>IF(一覧!T39="","",一覧!T39)</f>
        <v>吉田粗品</v>
      </c>
      <c r="W12" s="326" t="str">
        <f>IF(一覧!U39="","",一覧!U39)</f>
        <v>機材整備</v>
      </c>
      <c r="X12" s="326" t="str">
        <f>IF(一覧!V39="","",一覧!V39)</f>
        <v>★</v>
      </c>
      <c r="Y12" s="326" t="str">
        <f>IF(一覧!W39="","",一覧!W39)</f>
        <v>★★</v>
      </c>
      <c r="Z12" s="326" t="str">
        <f>IF(一覧!X39="","",一覧!X39)</f>
        <v>ミヤネ屋</v>
      </c>
      <c r="AA12" s="326" t="str">
        <f>IF(一覧!Y39="","",一覧!Y39)</f>
        <v>ほんわか</v>
      </c>
      <c r="AB12" s="326" t="str">
        <f>IF(一覧!Z39="","",一覧!Z39)</f>
        <v>VEG会議</v>
      </c>
      <c r="AC12" s="326" t="str">
        <f>IF(一覧!AA39="","",一覧!AA39)</f>
        <v>じゅっと</v>
      </c>
      <c r="AD12" s="326" t="str">
        <f>IF(一覧!AB39="","",一覧!AB39)</f>
        <v/>
      </c>
      <c r="AE12" s="326" t="str">
        <f>IF(一覧!AC39="","",一覧!AC39)</f>
        <v>★</v>
      </c>
      <c r="AF12" s="326" t="str">
        <f>IF(一覧!AD39="","",一覧!AD39)</f>
        <v>★★</v>
      </c>
      <c r="AG12" s="326" t="str">
        <f>IF(一覧!AE39="","",一覧!AE39)</f>
        <v>土ダメ</v>
      </c>
      <c r="AH12" s="326" t="str">
        <f>IF(一覧!AF39="","",一覧!AF39)</f>
        <v>登録</v>
      </c>
      <c r="AI12" s="326" t="str">
        <f>IF(一覧!AG39="","",一覧!AG39)</f>
        <v/>
      </c>
      <c r="AJ12" s="329" t="str">
        <f>IF(一覧!AH39="","",一覧!AH39)</f>
        <v>窪内</v>
      </c>
    </row>
    <row r="13" spans="1:36" ht="15" thickBot="1">
      <c r="A13" s="330" t="str">
        <f>一覧!AI39</f>
        <v>VE</v>
      </c>
      <c r="B13" s="331" t="str">
        <f>一覧!AJ39</f>
        <v>a</v>
      </c>
      <c r="C13" s="332"/>
      <c r="D13" s="333"/>
      <c r="E13" s="331" t="str">
        <f>IF(一覧!C40="","",一覧!C40)</f>
        <v>局会</v>
      </c>
      <c r="F13" s="331" t="str">
        <f>IF(一覧!D40="","",一覧!D40)</f>
        <v>ＴＤ</v>
      </c>
      <c r="G13" s="331" t="str">
        <f>IF(一覧!E40="","",一覧!E40)</f>
        <v>ＶＥ</v>
      </c>
      <c r="H13" s="331" t="str">
        <f>IF(一覧!F40="","",一覧!F40)</f>
        <v/>
      </c>
      <c r="I13" s="331" t="str">
        <f>IF(一覧!G40="","",一覧!G40)</f>
        <v/>
      </c>
      <c r="J13" s="331" t="str">
        <f>IF(一覧!H40="","",一覧!H40)</f>
        <v/>
      </c>
      <c r="K13" s="331" t="str">
        <f>IF(一覧!I40="","",一覧!I40)</f>
        <v/>
      </c>
      <c r="L13" s="331" t="str">
        <f>IF(一覧!J40="","",一覧!J40)</f>
        <v/>
      </c>
      <c r="M13" s="331" t="str">
        <f>IF(一覧!K40="","",一覧!K40)</f>
        <v>中継車WG</v>
      </c>
      <c r="N13" s="331" t="str">
        <f>IF(一覧!L40="","",一覧!L40)</f>
        <v>照明G</v>
      </c>
      <c r="O13" s="331" t="str">
        <f>IF(一覧!M40="","",一覧!M40)</f>
        <v>ＶＥ</v>
      </c>
      <c r="P13" s="331" t="str">
        <f>IF(一覧!N40="","",一覧!N40)</f>
        <v>ＶＥ</v>
      </c>
      <c r="Q13" s="331" t="str">
        <f>IF(一覧!O40="","",一覧!O40)</f>
        <v/>
      </c>
      <c r="R13" s="331" t="str">
        <f>IF(一覧!P40="","",一覧!P40)</f>
        <v/>
      </c>
      <c r="S13" s="331" t="str">
        <f>IF(一覧!Q40="","",一覧!Q40)</f>
        <v/>
      </c>
      <c r="T13" s="331" t="str">
        <f>IF(一覧!R40="","",一覧!R40)</f>
        <v/>
      </c>
      <c r="U13" s="331" t="str">
        <f>IF(一覧!S40="","",一覧!S40)</f>
        <v>ＴＤ</v>
      </c>
      <c r="V13" s="331" t="str">
        <f>IF(一覧!T40="","",一覧!T40)</f>
        <v>ＴＤ</v>
      </c>
      <c r="W13" s="331" t="str">
        <f>IF(一覧!U40="","",一覧!U40)</f>
        <v/>
      </c>
      <c r="X13" s="331" t="str">
        <f>IF(一覧!V40="","",一覧!V40)</f>
        <v/>
      </c>
      <c r="Y13" s="331" t="str">
        <f>IF(一覧!W40="","",一覧!W40)</f>
        <v/>
      </c>
      <c r="Z13" s="331" t="str">
        <f>IF(一覧!X40="","",一覧!X40)</f>
        <v>ＬＤ</v>
      </c>
      <c r="AA13" s="331" t="str">
        <f>IF(一覧!Y40="","",一覧!Y40)</f>
        <v>ＶＥ</v>
      </c>
      <c r="AB13" s="331" t="str">
        <f>IF(一覧!Z40="","",一覧!Z40)</f>
        <v/>
      </c>
      <c r="AC13" s="331" t="str">
        <f>IF(一覧!AA40="","",一覧!AA40)</f>
        <v>ＴＤ</v>
      </c>
      <c r="AD13" s="331" t="str">
        <f>IF(一覧!AB40="","",一覧!AB40)</f>
        <v>技術会議</v>
      </c>
      <c r="AE13" s="331" t="str">
        <f>IF(一覧!AC40="","",一覧!AC40)</f>
        <v/>
      </c>
      <c r="AF13" s="331" t="str">
        <f>IF(一覧!AD40="","",一覧!AD40)</f>
        <v/>
      </c>
      <c r="AG13" s="331" t="str">
        <f>IF(一覧!AE40="","",一覧!AE40)</f>
        <v>ＶＥ</v>
      </c>
      <c r="AH13" s="331" t="str">
        <f>IF(一覧!AF40="","",一覧!AF40)</f>
        <v/>
      </c>
      <c r="AI13" s="331" t="str">
        <f>IF(一覧!AG40="","",一覧!AG40)</f>
        <v/>
      </c>
      <c r="AJ13" s="334" t="str">
        <f>IF(一覧!AH40="","",一覧!AH40)</f>
        <v/>
      </c>
    </row>
    <row r="14" spans="1:36" ht="14.5">
      <c r="A14" s="325" t="str">
        <f>一覧!AI33</f>
        <v>houdou</v>
      </c>
      <c r="B14" s="326" t="str">
        <f>一覧!AJ33</f>
        <v>a</v>
      </c>
      <c r="C14" s="327"/>
      <c r="D14" s="328" t="str">
        <f>一覧!B33</f>
        <v>森本　泰輔</v>
      </c>
      <c r="E14" s="326" t="str">
        <f>IF(一覧!C33="","",一覧!C33)</f>
        <v/>
      </c>
      <c r="F14" s="326" t="str">
        <f>IF(一覧!D33="","",一覧!D33)</f>
        <v>　　　━</v>
      </c>
      <c r="G14" s="326" t="str">
        <f>IF(一覧!E33="","",一覧!E33)</f>
        <v>━　　　</v>
      </c>
      <c r="H14" s="326" t="str">
        <f>IF(一覧!F33="","",一覧!F33)</f>
        <v>ＲＤ</v>
      </c>
      <c r="I14" s="326" t="str">
        <f>IF(一覧!G33="","",一覧!G33)</f>
        <v>大規模</v>
      </c>
      <c r="J14" s="326" t="str">
        <f>IF(一覧!H33="","",一覧!H33)</f>
        <v>★</v>
      </c>
      <c r="K14" s="326" t="str">
        <f>IF(一覧!I33="","",一覧!I33)</f>
        <v>★★</v>
      </c>
      <c r="L14" s="326" t="str">
        <f>IF(一覧!J33="","",一覧!J33)</f>
        <v>ｔｅｎ！</v>
      </c>
      <c r="M14" s="326" t="str">
        <f>IF(一覧!K33="","",一覧!K33)</f>
        <v>ｔｅｎ！</v>
      </c>
      <c r="N14" s="326" t="str">
        <f>IF(一覧!L33="","",一覧!L33)</f>
        <v>勤務作成</v>
      </c>
      <c r="O14" s="326" t="str">
        <f>IF(一覧!M33="","",一覧!M33)</f>
        <v>NsubTD</v>
      </c>
      <c r="P14" s="326" t="str">
        <f>IF(一覧!N33="","",一覧!N33)</f>
        <v>　　　━</v>
      </c>
      <c r="Q14" s="326" t="str">
        <f>IF(一覧!O33="","",一覧!O33)</f>
        <v>━　　　</v>
      </c>
      <c r="R14" s="326" t="str">
        <f>IF(一覧!P33="","",一覧!P33)</f>
        <v>★★</v>
      </c>
      <c r="S14" s="326" t="str">
        <f>IF(一覧!Q33="","",一覧!Q33)</f>
        <v>★</v>
      </c>
      <c r="T14" s="326" t="str">
        <f>IF(一覧!R33="","",一覧!R33)</f>
        <v/>
      </c>
      <c r="U14" s="326" t="str">
        <f>IF(一覧!S33="","",一覧!S33)</f>
        <v>NsubTD</v>
      </c>
      <c r="V14" s="326" t="str">
        <f>IF(一覧!T33="","",一覧!T33)</f>
        <v>ｔｅｎ！</v>
      </c>
      <c r="W14" s="326" t="str">
        <f>IF(一覧!U33="","",一覧!U33)</f>
        <v>回線Ｇ</v>
      </c>
      <c r="X14" s="326" t="str">
        <f>IF(一覧!V33="","",一覧!V33)</f>
        <v>★</v>
      </c>
      <c r="Y14" s="326" t="str">
        <f>IF(一覧!W33="","",一覧!W33)</f>
        <v>★★</v>
      </c>
      <c r="Z14" s="326" t="str">
        <f>IF(一覧!X33="","",一覧!X33)</f>
        <v>ノビしろ</v>
      </c>
      <c r="AA14" s="326" t="str">
        <f>IF(一覧!Y33="","",一覧!Y33)</f>
        <v>年休</v>
      </c>
      <c r="AB14" s="326" t="str">
        <f>IF(一覧!Z33="","",一覧!Z33)</f>
        <v>ＲＤ</v>
      </c>
      <c r="AC14" s="326" t="str">
        <f>IF(一覧!AA33="","",一覧!AA33)</f>
        <v>NsubTD</v>
      </c>
      <c r="AD14" s="326" t="str">
        <f>IF(一覧!AB33="","",一覧!AB33)</f>
        <v>技術会議</v>
      </c>
      <c r="AE14" s="326" t="str">
        <f>IF(一覧!AC33="","",一覧!AC33)</f>
        <v>　　　━</v>
      </c>
      <c r="AF14" s="326" t="str">
        <f>IF(一覧!AD33="","",一覧!AD33)</f>
        <v>━　　　</v>
      </c>
      <c r="AG14" s="326" t="str">
        <f>IF(一覧!AE33="","",一覧!AE33)</f>
        <v>★★</v>
      </c>
      <c r="AH14" s="326" t="str">
        <f>IF(一覧!AF33="","",一覧!AF33)</f>
        <v>★</v>
      </c>
      <c r="AI14" s="326" t="str">
        <f>IF(一覧!AG33="","",一覧!AG33)</f>
        <v/>
      </c>
      <c r="AJ14" s="329" t="str">
        <f>IF(一覧!AH33="","",一覧!AH33)</f>
        <v>森本</v>
      </c>
    </row>
    <row r="15" spans="1:36" ht="15" thickBot="1">
      <c r="A15" s="330" t="str">
        <f>一覧!AI33</f>
        <v>houdou</v>
      </c>
      <c r="B15" s="331" t="str">
        <f>一覧!AJ33</f>
        <v>a</v>
      </c>
      <c r="C15" s="332"/>
      <c r="D15" s="333"/>
      <c r="E15" s="331" t="str">
        <f>IF(一覧!C34="","",一覧!C34)</f>
        <v>局会</v>
      </c>
      <c r="F15" s="331" t="str">
        <f>IF(一覧!D34="","",一覧!D34)</f>
        <v>TVU内覧</v>
      </c>
      <c r="G15" s="331" t="str">
        <f>IF(一覧!E34="","",一覧!E34)</f>
        <v/>
      </c>
      <c r="H15" s="331" t="str">
        <f>IF(一覧!F34="","",一覧!F34)</f>
        <v/>
      </c>
      <c r="I15" s="331" t="str">
        <f>IF(一覧!G34="","",一覧!G34)</f>
        <v>災害</v>
      </c>
      <c r="J15" s="331" t="str">
        <f>IF(一覧!H34="","",一覧!H34)</f>
        <v>※</v>
      </c>
      <c r="K15" s="331" t="str">
        <f>IF(一覧!I34="","",一覧!I34)</f>
        <v>※</v>
      </c>
      <c r="L15" s="331" t="str">
        <f>IF(一覧!J34="","",一覧!J34)</f>
        <v>NsubTD</v>
      </c>
      <c r="M15" s="331" t="str">
        <f>IF(一覧!K34="","",一覧!K34)</f>
        <v>ＴＤ</v>
      </c>
      <c r="N15" s="331" t="str">
        <f>IF(一覧!L34="","",一覧!L34)</f>
        <v/>
      </c>
      <c r="O15" s="331" t="str">
        <f>IF(一覧!M34="","",一覧!M34)</f>
        <v/>
      </c>
      <c r="P15" s="331" t="str">
        <f>IF(一覧!N34="","",一覧!N34)</f>
        <v>訓練準備</v>
      </c>
      <c r="Q15" s="331" t="str">
        <f>IF(一覧!O34="","",一覧!O34)</f>
        <v>ﾍﾘ訓練</v>
      </c>
      <c r="R15" s="331" t="str">
        <f>IF(一覧!P34="","",一覧!P34)</f>
        <v>ﾍﾘ訓練</v>
      </c>
      <c r="S15" s="331" t="str">
        <f>IF(一覧!Q34="","",一覧!Q34)</f>
        <v/>
      </c>
      <c r="T15" s="331" t="str">
        <f>IF(一覧!R34="","",一覧!R34)</f>
        <v/>
      </c>
      <c r="U15" s="331" t="str">
        <f>IF(一覧!S34="","",一覧!S34)</f>
        <v/>
      </c>
      <c r="V15" s="331" t="str">
        <f>IF(一覧!T34="","",一覧!T34)</f>
        <v>ＴＤ</v>
      </c>
      <c r="W15" s="331" t="str">
        <f>IF(一覧!U34="","",一覧!U34)</f>
        <v/>
      </c>
      <c r="X15" s="331" t="str">
        <f>IF(一覧!V34="","",一覧!V34)</f>
        <v/>
      </c>
      <c r="Y15" s="331" t="str">
        <f>IF(一覧!W34="","",一覧!W34)</f>
        <v/>
      </c>
      <c r="Z15" s="331" t="str">
        <f>IF(一覧!X34="","",一覧!X34)</f>
        <v>ＴＤ</v>
      </c>
      <c r="AA15" s="331" t="str">
        <f>IF(一覧!Y34="","",一覧!Y34)</f>
        <v>※</v>
      </c>
      <c r="AB15" s="331" t="str">
        <f>IF(一覧!Z34="","",一覧!Z34)</f>
        <v>VEG会議</v>
      </c>
      <c r="AC15" s="331" t="str">
        <f>IF(一覧!AA34="","",一覧!AA34)</f>
        <v/>
      </c>
      <c r="AD15" s="331" t="str">
        <f>IF(一覧!AB34="","",一覧!AB34)</f>
        <v>NT会議</v>
      </c>
      <c r="AE15" s="331" t="str">
        <f>IF(一覧!AC34="","",一覧!AC34)</f>
        <v/>
      </c>
      <c r="AF15" s="331" t="str">
        <f>IF(一覧!AD34="","",一覧!AD34)</f>
        <v/>
      </c>
      <c r="AG15" s="331" t="str">
        <f>IF(一覧!AE34="","",一覧!AE34)</f>
        <v/>
      </c>
      <c r="AH15" s="331" t="str">
        <f>IF(一覧!AF34="","",一覧!AF34)</f>
        <v/>
      </c>
      <c r="AI15" s="331" t="str">
        <f>IF(一覧!AG34="","",一覧!AG34)</f>
        <v/>
      </c>
      <c r="AJ15" s="334" t="str">
        <f>IF(一覧!AH34="","",一覧!AH34)</f>
        <v/>
      </c>
    </row>
    <row r="16" spans="1:36" ht="14.5">
      <c r="A16" s="325" t="str">
        <f>一覧!AI41</f>
        <v>shoumei</v>
      </c>
      <c r="B16" s="326" t="str">
        <f>一覧!AJ41</f>
        <v>a</v>
      </c>
      <c r="C16" s="327"/>
      <c r="D16" s="328" t="str">
        <f>一覧!B41</f>
        <v>河戸　将克</v>
      </c>
      <c r="E16" s="326" t="str">
        <f>IF(一覧!C41="","",一覧!C41)</f>
        <v>ミヤネ屋</v>
      </c>
      <c r="F16" s="326" t="str">
        <f>IF(一覧!D41="","",一覧!D41)</f>
        <v>年休</v>
      </c>
      <c r="G16" s="326" t="str">
        <f>IF(一覧!E41="","",一覧!E41)</f>
        <v>うさかめ</v>
      </c>
      <c r="H16" s="326" t="str">
        <f>IF(一覧!F41="","",一覧!F41)</f>
        <v>ミヤネ屋</v>
      </c>
      <c r="I16" s="326" t="str">
        <f>IF(一覧!G41="","",一覧!G41)</f>
        <v>じゅっと</v>
      </c>
      <c r="J16" s="326" t="str">
        <f>IF(一覧!H41="","",一覧!H41)</f>
        <v>★</v>
      </c>
      <c r="K16" s="326" t="str">
        <f>IF(一覧!I41="","",一覧!I41)</f>
        <v>★★</v>
      </c>
      <c r="L16" s="326" t="str">
        <f>IF(一覧!J41="","",一覧!J41)</f>
        <v>ミヤネ屋</v>
      </c>
      <c r="M16" s="326" t="str">
        <f>IF(一覧!K41="","",一覧!K41)</f>
        <v>ミヤネ屋</v>
      </c>
      <c r="N16" s="326" t="str">
        <f>IF(一覧!L41="","",一覧!L41)</f>
        <v/>
      </c>
      <c r="O16" s="326" t="str">
        <f>IF(一覧!M41="","",一覧!M41)</f>
        <v>年休</v>
      </c>
      <c r="P16" s="326" t="str">
        <f>IF(一覧!N41="","",一覧!N41)</f>
        <v>ミヤネ屋</v>
      </c>
      <c r="Q16" s="326" t="str">
        <f>IF(一覧!O41="","",一覧!O41)</f>
        <v>クギズケ</v>
      </c>
      <c r="R16" s="326" t="str">
        <f>IF(一覧!P41="","",一覧!P41)</f>
        <v>★★</v>
      </c>
      <c r="S16" s="326" t="str">
        <f>IF(一覧!Q41="","",一覧!Q41)</f>
        <v>土ダメ</v>
      </c>
      <c r="T16" s="326" t="str">
        <f>IF(一覧!R41="","",一覧!R41)</f>
        <v>電波</v>
      </c>
      <c r="U16" s="326" t="str">
        <f>IF(一覧!S41="","",一覧!S41)</f>
        <v>読響</v>
      </c>
      <c r="V16" s="326" t="str">
        <f>IF(一覧!T41="","",一覧!T41)</f>
        <v>★</v>
      </c>
      <c r="W16" s="326" t="str">
        <f>IF(一覧!U41="","",一覧!U41)</f>
        <v>ミヤネ屋</v>
      </c>
      <c r="X16" s="326" t="str">
        <f>IF(一覧!V41="","",一覧!V41)</f>
        <v>★</v>
      </c>
      <c r="Y16" s="326" t="str">
        <f>IF(一覧!W41="","",一覧!W41)</f>
        <v>★★</v>
      </c>
      <c r="Z16" s="326" t="str">
        <f>IF(一覧!X41="","",一覧!X41)</f>
        <v>じゅっと</v>
      </c>
      <c r="AA16" s="326" t="str">
        <f>IF(一覧!Y41="","",一覧!Y41)</f>
        <v>ミヤネ屋</v>
      </c>
      <c r="AB16" s="326" t="str">
        <f>IF(一覧!Z41="","",一覧!Z41)</f>
        <v>ミヤネ屋</v>
      </c>
      <c r="AC16" s="326" t="str">
        <f>IF(一覧!AA41="","",一覧!AA41)</f>
        <v>ミヤネ屋</v>
      </c>
      <c r="AD16" s="326" t="str">
        <f>IF(一覧!AB41="","",一覧!AB41)</f>
        <v/>
      </c>
      <c r="AE16" s="326" t="str">
        <f>IF(一覧!AC41="","",一覧!AC41)</f>
        <v>★</v>
      </c>
      <c r="AF16" s="326" t="str">
        <f>IF(一覧!AD41="","",一覧!AD41)</f>
        <v>★★</v>
      </c>
      <c r="AG16" s="326" t="str">
        <f>IF(一覧!AE41="","",一覧!AE41)</f>
        <v>土ダメ</v>
      </c>
      <c r="AH16" s="326" t="str">
        <f>IF(一覧!AF41="","",一覧!AF41)</f>
        <v>ミヤネ屋</v>
      </c>
      <c r="AI16" s="326" t="str">
        <f>IF(一覧!AG41="","",一覧!AG41)</f>
        <v/>
      </c>
      <c r="AJ16" s="329" t="str">
        <f>IF(一覧!AH41="","",一覧!AH41)</f>
        <v>河戸</v>
      </c>
    </row>
    <row r="17" spans="1:36" ht="15" thickBot="1">
      <c r="A17" s="330" t="str">
        <f>一覧!AI41</f>
        <v>shoumei</v>
      </c>
      <c r="B17" s="331" t="str">
        <f>一覧!AJ41</f>
        <v>a</v>
      </c>
      <c r="C17" s="332"/>
      <c r="D17" s="333"/>
      <c r="E17" s="331" t="str">
        <f>IF(一覧!C42="","",一覧!C42)</f>
        <v>ＬＤ</v>
      </c>
      <c r="F17" s="331" t="str">
        <f>IF(一覧!D42="","",一覧!D42)</f>
        <v/>
      </c>
      <c r="G17" s="331" t="str">
        <f>IF(一覧!E42="","",一覧!E42)</f>
        <v>ＬＤ</v>
      </c>
      <c r="H17" s="331" t="str">
        <f>IF(一覧!F42="","",一覧!F42)</f>
        <v>ＬＤ</v>
      </c>
      <c r="I17" s="331" t="str">
        <f>IF(一覧!G42="","",一覧!G42)</f>
        <v>ＬＤ</v>
      </c>
      <c r="J17" s="331" t="str">
        <f>IF(一覧!H42="","",一覧!H42)</f>
        <v/>
      </c>
      <c r="K17" s="331" t="str">
        <f>IF(一覧!I42="","",一覧!I42)</f>
        <v/>
      </c>
      <c r="L17" s="331" t="str">
        <f>IF(一覧!J42="","",一覧!J42)</f>
        <v>ＬＤ</v>
      </c>
      <c r="M17" s="331" t="str">
        <f>IF(一覧!K42="","",一覧!K42)</f>
        <v>ＬＤ</v>
      </c>
      <c r="N17" s="331" t="str">
        <f>IF(一覧!L42="","",一覧!L42)</f>
        <v>照明G</v>
      </c>
      <c r="O17" s="331" t="str">
        <f>IF(一覧!M42="","",一覧!M42)</f>
        <v/>
      </c>
      <c r="P17" s="331" t="str">
        <f>IF(一覧!N42="","",一覧!N42)</f>
        <v>ＬＤ</v>
      </c>
      <c r="Q17" s="331" t="str">
        <f>IF(一覧!O42="","",一覧!O42)</f>
        <v>ＴＤ.LD</v>
      </c>
      <c r="R17" s="331" t="str">
        <f>IF(一覧!P42="","",一覧!P42)</f>
        <v/>
      </c>
      <c r="S17" s="331" t="str">
        <f>IF(一覧!Q42="","",一覧!Q42)</f>
        <v>ＴＤ.LD</v>
      </c>
      <c r="T17" s="331" t="str">
        <f>IF(一覧!R42="","",一覧!R42)</f>
        <v/>
      </c>
      <c r="U17" s="331" t="str">
        <f>IF(一覧!S42="","",一覧!S42)</f>
        <v>ＬＤ</v>
      </c>
      <c r="V17" s="331" t="str">
        <f>IF(一覧!T42="","",一覧!T42)</f>
        <v/>
      </c>
      <c r="W17" s="331" t="str">
        <f>IF(一覧!U42="","",一覧!U42)</f>
        <v>ＬＤ</v>
      </c>
      <c r="X17" s="331" t="str">
        <f>IF(一覧!V42="","",一覧!V42)</f>
        <v/>
      </c>
      <c r="Y17" s="331" t="str">
        <f>IF(一覧!W42="","",一覧!W42)</f>
        <v/>
      </c>
      <c r="Z17" s="331" t="str">
        <f>IF(一覧!X42="","",一覧!X42)</f>
        <v>ＬＤ</v>
      </c>
      <c r="AA17" s="331" t="str">
        <f>IF(一覧!Y42="","",一覧!Y42)</f>
        <v>ＬＤ</v>
      </c>
      <c r="AB17" s="331" t="str">
        <f>IF(一覧!Z42="","",一覧!Z42)</f>
        <v>ＬＤ</v>
      </c>
      <c r="AC17" s="331" t="str">
        <f>IF(一覧!AA42="","",一覧!AA42)</f>
        <v>ＬＤ</v>
      </c>
      <c r="AD17" s="331" t="str">
        <f>IF(一覧!AB42="","",一覧!AB42)</f>
        <v>技術会議</v>
      </c>
      <c r="AE17" s="331" t="str">
        <f>IF(一覧!AC42="","",一覧!AC42)</f>
        <v/>
      </c>
      <c r="AF17" s="331" t="str">
        <f>IF(一覧!AD42="","",一覧!AD42)</f>
        <v/>
      </c>
      <c r="AG17" s="331" t="str">
        <f>IF(一覧!AE42="","",一覧!AE42)</f>
        <v>ＴＤ.LD</v>
      </c>
      <c r="AH17" s="331" t="str">
        <f>IF(一覧!AF42="","",一覧!AF42)</f>
        <v>ＬＤ</v>
      </c>
      <c r="AI17" s="331" t="str">
        <f>IF(一覧!AG42="","",一覧!AG42)</f>
        <v/>
      </c>
      <c r="AJ17" s="334" t="str">
        <f>IF(一覧!AH42="","",一覧!AH42)</f>
        <v/>
      </c>
    </row>
    <row r="18" spans="1:36" ht="14.5">
      <c r="A18" s="325" t="str">
        <f>一覧!AI43</f>
        <v>onsei</v>
      </c>
      <c r="B18" s="326" t="str">
        <f>一覧!AJ43</f>
        <v>a</v>
      </c>
      <c r="C18" s="327"/>
      <c r="D18" s="328" t="str">
        <f>一覧!B43</f>
        <v>沖田　一剛</v>
      </c>
      <c r="E18" s="326" t="str">
        <f>IF(一覧!C43="","",一覧!C43)</f>
        <v/>
      </c>
      <c r="F18" s="326" t="str">
        <f>IF(一覧!D43="","",一覧!D43)</f>
        <v>じゅっと</v>
      </c>
      <c r="G18" s="326" t="str">
        <f>IF(一覧!E43="","",一覧!E43)</f>
        <v/>
      </c>
      <c r="H18" s="326" t="str">
        <f>IF(一覧!F43="","",一覧!F43)</f>
        <v>ミヤネ屋</v>
      </c>
      <c r="I18" s="326" t="str">
        <f>IF(一覧!G43="","",一覧!G43)</f>
        <v>代休</v>
      </c>
      <c r="J18" s="326" t="str">
        <f>IF(一覧!H43="","",一覧!H43)</f>
        <v>★</v>
      </c>
      <c r="K18" s="326" t="str">
        <f>IF(一覧!I43="","",一覧!I43)</f>
        <v>★★</v>
      </c>
      <c r="L18" s="326" t="str">
        <f>IF(一覧!J43="","",一覧!J43)</f>
        <v>打合せ</v>
      </c>
      <c r="M18" s="326" t="str">
        <f>IF(一覧!K43="","",一覧!K43)</f>
        <v>　　　━</v>
      </c>
      <c r="N18" s="326" t="str">
        <f>IF(一覧!L43="","",一覧!L43)</f>
        <v>━　　　</v>
      </c>
      <c r="O18" s="326" t="str">
        <f>IF(一覧!M43="","",一覧!M43)</f>
        <v>年休</v>
      </c>
      <c r="P18" s="326" t="str">
        <f>IF(一覧!N43="","",一覧!N43)</f>
        <v>年休</v>
      </c>
      <c r="Q18" s="326" t="str">
        <f>IF(一覧!O43="","",一覧!O43)</f>
        <v>★</v>
      </c>
      <c r="R18" s="326" t="str">
        <f>IF(一覧!P43="","",一覧!P43)</f>
        <v>★★</v>
      </c>
      <c r="S18" s="326" t="str">
        <f>IF(一覧!Q43="","",一覧!Q43)</f>
        <v/>
      </c>
      <c r="T18" s="326" t="str">
        <f>IF(一覧!R43="","",一覧!R43)</f>
        <v>準備</v>
      </c>
      <c r="U18" s="326" t="str">
        <f>IF(一覧!S43="","",一覧!S43)</f>
        <v>読響</v>
      </c>
      <c r="V18" s="326" t="str">
        <f>IF(一覧!T43="","",一覧!T43)</f>
        <v>吉田粗品</v>
      </c>
      <c r="W18" s="326" t="str">
        <f>IF(一覧!U43="","",一覧!U43)</f>
        <v>代休</v>
      </c>
      <c r="X18" s="326" t="str">
        <f>IF(一覧!V43="","",一覧!V43)</f>
        <v>★★</v>
      </c>
      <c r="Y18" s="326" t="str">
        <f>IF(一覧!W43="","",一覧!W43)</f>
        <v>準備</v>
      </c>
      <c r="Z18" s="326" t="str">
        <f>IF(一覧!X43="","",一覧!X43)</f>
        <v>音道楽</v>
      </c>
      <c r="AA18" s="326" t="str">
        <f>IF(一覧!Y43="","",一覧!Y43)</f>
        <v>★</v>
      </c>
      <c r="AB18" s="326" t="str">
        <f>IF(一覧!Z43="","",一覧!Z43)</f>
        <v>音G/制作</v>
      </c>
      <c r="AC18" s="326" t="str">
        <f>IF(一覧!AA43="","",一覧!AA43)</f>
        <v>機材整備</v>
      </c>
      <c r="AD18" s="326" t="str">
        <f>IF(一覧!AB43="","",一覧!AB43)</f>
        <v>じゅっと</v>
      </c>
      <c r="AE18" s="326" t="str">
        <f>IF(一覧!AC43="","",一覧!AC43)</f>
        <v>★</v>
      </c>
      <c r="AF18" s="326" t="str">
        <f>IF(一覧!AD43="","",一覧!AD43)</f>
        <v>★★</v>
      </c>
      <c r="AG18" s="326" t="str">
        <f>IF(一覧!AE43="","",一覧!AE43)</f>
        <v>ミヤネ屋</v>
      </c>
      <c r="AH18" s="326" t="str">
        <f>IF(一覧!AF43="","",一覧!AF43)</f>
        <v>　　　━</v>
      </c>
      <c r="AI18" s="326" t="str">
        <f>IF(一覧!AG43="","",一覧!AG43)</f>
        <v/>
      </c>
      <c r="AJ18" s="329" t="str">
        <f>IF(一覧!AH43="","",一覧!AH43)</f>
        <v>沖田</v>
      </c>
    </row>
    <row r="19" spans="1:36" ht="15" thickBot="1">
      <c r="A19" s="330" t="str">
        <f>一覧!AI43</f>
        <v>onsei</v>
      </c>
      <c r="B19" s="331" t="str">
        <f>一覧!AJ43</f>
        <v>a</v>
      </c>
      <c r="C19" s="332"/>
      <c r="D19" s="333"/>
      <c r="E19" s="331" t="str">
        <f>IF(一覧!C44="","",一覧!C44)</f>
        <v>局会</v>
      </c>
      <c r="F19" s="331" t="str">
        <f>IF(一覧!D44="","",一覧!D44)</f>
        <v>ＴＤ</v>
      </c>
      <c r="G19" s="331" t="str">
        <f>IF(一覧!E44="","",一覧!E44)</f>
        <v/>
      </c>
      <c r="H19" s="331" t="str">
        <f>IF(一覧!F44="","",一覧!F44)</f>
        <v>ＭＩＸ</v>
      </c>
      <c r="I19" s="331" t="str">
        <f>IF(一覧!G44="","",一覧!G44)</f>
        <v>5/7分</v>
      </c>
      <c r="J19" s="331" t="str">
        <f>IF(一覧!H44="","",一覧!H44)</f>
        <v/>
      </c>
      <c r="K19" s="331" t="str">
        <f>IF(一覧!I44="","",一覧!I44)</f>
        <v/>
      </c>
      <c r="L19" s="331" t="str">
        <f>IF(一覧!J44="","",一覧!J44)</f>
        <v/>
      </c>
      <c r="M19" s="331" t="str">
        <f>IF(一覧!K44="","",一覧!K44)</f>
        <v/>
      </c>
      <c r="N19" s="331" t="str">
        <f>IF(一覧!L44="","",一覧!L44)</f>
        <v/>
      </c>
      <c r="O19" s="331" t="str">
        <f>IF(一覧!M44="","",一覧!M44)</f>
        <v>※</v>
      </c>
      <c r="P19" s="331" t="str">
        <f>IF(一覧!N44="","",一覧!N44)</f>
        <v>※</v>
      </c>
      <c r="Q19" s="331" t="str">
        <f>IF(一覧!O44="","",一覧!O44)</f>
        <v/>
      </c>
      <c r="R19" s="331" t="str">
        <f>IF(一覧!P44="","",一覧!P44)</f>
        <v/>
      </c>
      <c r="S19" s="331" t="str">
        <f>IF(一覧!Q44="","",一覧!Q44)</f>
        <v/>
      </c>
      <c r="T19" s="331" t="str">
        <f>IF(一覧!R44="","",一覧!R44)</f>
        <v/>
      </c>
      <c r="U19" s="331" t="str">
        <f>IF(一覧!S44="","",一覧!S44)</f>
        <v>音中AA</v>
      </c>
      <c r="V19" s="331" t="str">
        <f>IF(一覧!T44="","",一覧!T44)</f>
        <v>ＡＡ</v>
      </c>
      <c r="W19" s="331" t="str">
        <f>IF(一覧!U44="","",一覧!U44)</f>
        <v>5/18分</v>
      </c>
      <c r="X19" s="331" t="str">
        <f>IF(一覧!V44="","",一覧!V44)</f>
        <v/>
      </c>
      <c r="Y19" s="331" t="str">
        <f>IF(一覧!W44="","",一覧!W44)</f>
        <v/>
      </c>
      <c r="Z19" s="331" t="str">
        <f>IF(一覧!X44="","",一覧!X44)</f>
        <v>ＴＤ</v>
      </c>
      <c r="AA19" s="331" t="str">
        <f>IF(一覧!Y44="","",一覧!Y44)</f>
        <v/>
      </c>
      <c r="AB19" s="331" t="str">
        <f>IF(一覧!Z44="","",一覧!Z44)</f>
        <v>MA更新会</v>
      </c>
      <c r="AC19" s="331" t="str">
        <f>IF(一覧!AA44="","",一覧!AA44)</f>
        <v/>
      </c>
      <c r="AD19" s="331" t="str">
        <f>IF(一覧!AB44="","",一覧!AB44)</f>
        <v>TD/技会</v>
      </c>
      <c r="AE19" s="331" t="str">
        <f>IF(一覧!AC44="","",一覧!AC44)</f>
        <v/>
      </c>
      <c r="AF19" s="331" t="str">
        <f>IF(一覧!AD44="","",一覧!AD44)</f>
        <v/>
      </c>
      <c r="AG19" s="331" t="str">
        <f>IF(一覧!AE44="","",一覧!AE44)</f>
        <v>ＭＩＸ</v>
      </c>
      <c r="AH19" s="331" t="str">
        <f>IF(一覧!AF44="","",一覧!AF44)</f>
        <v/>
      </c>
      <c r="AI19" s="331" t="str">
        <f>IF(一覧!AG44="","",一覧!AG44)</f>
        <v/>
      </c>
      <c r="AJ19" s="334" t="str">
        <f>IF(一覧!AH44="","",一覧!AH44)</f>
        <v/>
      </c>
    </row>
    <row r="20" spans="1:36" ht="14.5">
      <c r="A20" s="325" t="str">
        <f>一覧!AI93</f>
        <v>onsei</v>
      </c>
      <c r="B20" s="326" t="str">
        <f>一覧!AJ93</f>
        <v>b</v>
      </c>
      <c r="C20" s="327"/>
      <c r="D20" s="328" t="str">
        <f>一覧!B93</f>
        <v>谷口　英雄</v>
      </c>
      <c r="E20" s="326" t="str">
        <f>IF(一覧!C93="","",一覧!C93)</f>
        <v>マスター</v>
      </c>
      <c r="F20" s="326" t="str">
        <f>IF(一覧!D93="","",一覧!D93)</f>
        <v>マスター</v>
      </c>
      <c r="G20" s="326" t="str">
        <f>IF(一覧!E93="","",一覧!E93)</f>
        <v>マスター</v>
      </c>
      <c r="H20" s="326" t="str">
        <f>IF(一覧!F93="","",一覧!F93)</f>
        <v>マスター</v>
      </c>
      <c r="I20" s="326" t="str">
        <f>IF(一覧!G93="","",一覧!G93)</f>
        <v>代休</v>
      </c>
      <c r="J20" s="326" t="str">
        <f>IF(一覧!H93="","",一覧!H93)</f>
        <v>NsubTD</v>
      </c>
      <c r="K20" s="326" t="str">
        <f>IF(一覧!I93="","",一覧!I93)</f>
        <v>★★</v>
      </c>
      <c r="L20" s="326" t="str">
        <f>IF(一覧!J93="","",一覧!J93)</f>
        <v>マスター</v>
      </c>
      <c r="M20" s="326" t="str">
        <f>IF(一覧!K93="","",一覧!K93)</f>
        <v>★</v>
      </c>
      <c r="N20" s="326" t="str">
        <f>IF(一覧!L93="","",一覧!L93)</f>
        <v>ｔｅｎ！</v>
      </c>
      <c r="O20" s="326" t="str">
        <f>IF(一覧!M93="","",一覧!M93)</f>
        <v>マスター</v>
      </c>
      <c r="P20" s="326" t="str">
        <f>IF(一覧!N93="","",一覧!N93)</f>
        <v>マスター</v>
      </c>
      <c r="Q20" s="326" t="str">
        <f>IF(一覧!O93="","",一覧!O93)</f>
        <v>マスター</v>
      </c>
      <c r="R20" s="326" t="str">
        <f>IF(一覧!P93="","",一覧!P93)</f>
        <v>★★</v>
      </c>
      <c r="S20" s="326" t="str">
        <f>IF(一覧!Q93="","",一覧!Q93)</f>
        <v>★</v>
      </c>
      <c r="T20" s="326" t="str">
        <f>IF(一覧!R93="","",一覧!R93)</f>
        <v>ミヤネ屋</v>
      </c>
      <c r="U20" s="326" t="str">
        <f>IF(一覧!S93="","",一覧!S93)</f>
        <v>マスター</v>
      </c>
      <c r="V20" s="326" t="str">
        <f>IF(一覧!T93="","",一覧!T93)</f>
        <v>ｔｅｎ！</v>
      </c>
      <c r="W20" s="326" t="str">
        <f>IF(一覧!U93="","",一覧!U93)</f>
        <v>年休</v>
      </c>
      <c r="X20" s="326" t="str">
        <f>IF(一覧!V93="","",一覧!V93)</f>
        <v>★</v>
      </c>
      <c r="Y20" s="326" t="str">
        <f>IF(一覧!W93="","",一覧!W93)</f>
        <v>★★</v>
      </c>
      <c r="Z20" s="326" t="str">
        <f>IF(一覧!X93="","",一覧!X93)</f>
        <v>マスター</v>
      </c>
      <c r="AA20" s="326" t="str">
        <f>IF(一覧!Y93="","",一覧!Y93)</f>
        <v>マスター</v>
      </c>
      <c r="AB20" s="326" t="str">
        <f>IF(一覧!Z93="","",一覧!Z93)</f>
        <v>音声G会</v>
      </c>
      <c r="AC20" s="326" t="str">
        <f>IF(一覧!AA93="","",一覧!AA93)</f>
        <v>機材整備</v>
      </c>
      <c r="AD20" s="326" t="str">
        <f>IF(一覧!AB93="","",一覧!AB93)</f>
        <v>委員会</v>
      </c>
      <c r="AE20" s="326" t="str">
        <f>IF(一覧!AC93="","",一覧!AC93)</f>
        <v>★</v>
      </c>
      <c r="AF20" s="326" t="str">
        <f>IF(一覧!AD93="","",一覧!AD93)</f>
        <v>★★</v>
      </c>
      <c r="AG20" s="326" t="str">
        <f>IF(一覧!AE93="","",一覧!AE93)</f>
        <v>ミヤネ屋</v>
      </c>
      <c r="AH20" s="326" t="str">
        <f>IF(一覧!AF93="","",一覧!AF93)</f>
        <v>じゅっと</v>
      </c>
      <c r="AI20" s="326" t="str">
        <f>IF(一覧!AG93="","",一覧!AG93)</f>
        <v/>
      </c>
      <c r="AJ20" s="329" t="str">
        <f>IF(一覧!AH93="","",一覧!AH93)</f>
        <v>谷口</v>
      </c>
    </row>
    <row r="21" spans="1:36" ht="15" thickBot="1">
      <c r="A21" s="330" t="str">
        <f>一覧!AI93</f>
        <v>onsei</v>
      </c>
      <c r="B21" s="331" t="str">
        <f>一覧!AJ93</f>
        <v>b</v>
      </c>
      <c r="C21" s="332"/>
      <c r="D21" s="333"/>
      <c r="E21" s="331" t="str">
        <f>IF(一覧!C94="","",一覧!C94)</f>
        <v>局会</v>
      </c>
      <c r="F21" s="331" t="str">
        <f>IF(一覧!D94="","",一覧!D94)</f>
        <v/>
      </c>
      <c r="G21" s="331" t="str">
        <f>IF(一覧!E94="","",一覧!E94)</f>
        <v>泊り</v>
      </c>
      <c r="H21" s="331" t="str">
        <f>IF(一覧!F94="","",一覧!F94)</f>
        <v>あけ</v>
      </c>
      <c r="I21" s="331" t="str">
        <f>IF(一覧!G94="","",一覧!G94)</f>
        <v>5/31分</v>
      </c>
      <c r="J21" s="331" t="str">
        <f>IF(一覧!H94="","",一覧!H94)</f>
        <v/>
      </c>
      <c r="K21" s="331" t="str">
        <f>IF(一覧!I94="","",一覧!I94)</f>
        <v/>
      </c>
      <c r="L21" s="331" t="str">
        <f>IF(一覧!J94="","",一覧!J94)</f>
        <v/>
      </c>
      <c r="M21" s="331" t="str">
        <f>IF(一覧!K94="","",一覧!K94)</f>
        <v/>
      </c>
      <c r="N21" s="331" t="str">
        <f>IF(一覧!L94="","",一覧!L94)</f>
        <v>ＭＩＸ’</v>
      </c>
      <c r="O21" s="331" t="str">
        <f>IF(一覧!M94="","",一覧!M94)</f>
        <v/>
      </c>
      <c r="P21" s="331" t="str">
        <f>IF(一覧!N94="","",一覧!N94)</f>
        <v>泊り</v>
      </c>
      <c r="Q21" s="331" t="str">
        <f>IF(一覧!O94="","",一覧!O94)</f>
        <v>あけ</v>
      </c>
      <c r="R21" s="331" t="str">
        <f>IF(一覧!P94="","",一覧!P94)</f>
        <v/>
      </c>
      <c r="S21" s="331" t="str">
        <f>IF(一覧!Q94="","",一覧!Q94)</f>
        <v/>
      </c>
      <c r="T21" s="331" t="str">
        <f>IF(一覧!R94="","",一覧!R94)</f>
        <v>ＴＤ’</v>
      </c>
      <c r="U21" s="331" t="str">
        <f>IF(一覧!S94="","",一覧!S94)</f>
        <v/>
      </c>
      <c r="V21" s="331" t="str">
        <f>IF(一覧!T94="","",一覧!T94)</f>
        <v>ＴＤ’</v>
      </c>
      <c r="W21" s="331" t="str">
        <f>IF(一覧!U94="","",一覧!U94)</f>
        <v>※</v>
      </c>
      <c r="X21" s="331" t="str">
        <f>IF(一覧!V94="","",一覧!V94)</f>
        <v>※</v>
      </c>
      <c r="Y21" s="331" t="str">
        <f>IF(一覧!W94="","",一覧!W94)</f>
        <v>※</v>
      </c>
      <c r="Z21" s="331" t="str">
        <f>IF(一覧!X94="","",一覧!X94)</f>
        <v>泊り</v>
      </c>
      <c r="AA21" s="331" t="str">
        <f>IF(一覧!Y94="","",一覧!Y94)</f>
        <v>あけ/G会</v>
      </c>
      <c r="AB21" s="331" t="str">
        <f>IF(一覧!Z94="","",一覧!Z94)</f>
        <v>MA更新会</v>
      </c>
      <c r="AC21" s="331" t="str">
        <f>IF(一覧!AA94="","",一覧!AA94)</f>
        <v/>
      </c>
      <c r="AD21" s="331" t="str">
        <f>IF(一覧!AB94="","",一覧!AB94)</f>
        <v>ＭＩＸ’</v>
      </c>
      <c r="AE21" s="331" t="str">
        <f>IF(一覧!AC94="","",一覧!AC94)</f>
        <v/>
      </c>
      <c r="AF21" s="331" t="str">
        <f>IF(一覧!AD94="","",一覧!AD94)</f>
        <v/>
      </c>
      <c r="AG21" s="331" t="str">
        <f>IF(一覧!AE94="","",一覧!AE94)</f>
        <v>ＭＩＸ’</v>
      </c>
      <c r="AH21" s="331" t="str">
        <f>IF(一覧!AF94="","",一覧!AF94)</f>
        <v>ＴＤ’</v>
      </c>
      <c r="AI21" s="331" t="str">
        <f>IF(一覧!AG94="","",一覧!AG94)</f>
        <v/>
      </c>
      <c r="AJ21" s="334" t="str">
        <f>IF(一覧!AH94="","",一覧!AH94)</f>
        <v/>
      </c>
    </row>
    <row r="22" spans="1:36" ht="14.5">
      <c r="A22" s="325" t="str">
        <f>一覧!AI45</f>
        <v>camera</v>
      </c>
      <c r="B22" s="326" t="str">
        <f>一覧!AJ45</f>
        <v>b</v>
      </c>
      <c r="C22" s="327"/>
      <c r="D22" s="328" t="str">
        <f>一覧!B45</f>
        <v>藤井　義行</v>
      </c>
      <c r="E22" s="326" t="str">
        <f>IF(一覧!C45="","",一覧!C45)</f>
        <v>木ドラ</v>
      </c>
      <c r="F22" s="326" t="str">
        <f>IF(一覧!D45="","",一覧!D45)</f>
        <v>代休</v>
      </c>
      <c r="G22" s="326" t="str">
        <f>IF(一覧!E45="","",一覧!E45)</f>
        <v>代休</v>
      </c>
      <c r="H22" s="326" t="str">
        <f>IF(一覧!F45="","",一覧!F45)</f>
        <v>ミヤネ屋</v>
      </c>
      <c r="I22" s="326" t="str">
        <f>IF(一覧!G45="","",一覧!G45)</f>
        <v>じゅっと</v>
      </c>
      <c r="J22" s="326" t="str">
        <f>IF(一覧!H45="","",一覧!H45)</f>
        <v>ジグザグ</v>
      </c>
      <c r="K22" s="326" t="str">
        <f>IF(一覧!I45="","",一覧!I45)</f>
        <v>★★</v>
      </c>
      <c r="L22" s="326" t="str">
        <f>IF(一覧!J45="","",一覧!J45)</f>
        <v>★</v>
      </c>
      <c r="M22" s="326" t="str">
        <f>IF(一覧!K45="","",一覧!K45)</f>
        <v>ほんわか</v>
      </c>
      <c r="N22" s="326" t="str">
        <f>IF(一覧!L45="","",一覧!L45)</f>
        <v>ミヤネ屋</v>
      </c>
      <c r="O22" s="326" t="str">
        <f>IF(一覧!M45="","",一覧!M45)</f>
        <v/>
      </c>
      <c r="P22" s="326" t="str">
        <f>IF(一覧!N45="","",一覧!N45)</f>
        <v/>
      </c>
      <c r="Q22" s="326" t="str">
        <f>IF(一覧!O45="","",一覧!O45)</f>
        <v>ジグザグ</v>
      </c>
      <c r="R22" s="326" t="str">
        <f>IF(一覧!P45="","",一覧!P45)</f>
        <v>★★</v>
      </c>
      <c r="S22" s="326" t="str">
        <f>IF(一覧!Q45="","",一覧!Q45)</f>
        <v>★</v>
      </c>
      <c r="T22" s="326" t="str">
        <f>IF(一覧!R45="","",一覧!R45)</f>
        <v>ミヤネ屋</v>
      </c>
      <c r="U22" s="326" t="str">
        <f>IF(一覧!S45="","",一覧!S45)</f>
        <v>読響</v>
      </c>
      <c r="V22" s="326" t="str">
        <f>IF(一覧!T45="","",一覧!T45)</f>
        <v>　　　━</v>
      </c>
      <c r="W22" s="326" t="str">
        <f>IF(一覧!U45="","",一覧!U45)</f>
        <v>━　　　</v>
      </c>
      <c r="X22" s="326" t="str">
        <f>IF(一覧!V45="","",一覧!V45)</f>
        <v>★★</v>
      </c>
      <c r="Y22" s="326" t="str">
        <f>IF(一覧!W45="","",一覧!W45)</f>
        <v>NsubTD</v>
      </c>
      <c r="Z22" s="326" t="str">
        <f>IF(一覧!X45="","",一覧!X45)</f>
        <v>じゅっと</v>
      </c>
      <c r="AA22" s="326" t="str">
        <f>IF(一覧!Y45="","",一覧!Y45)</f>
        <v>ほんわか</v>
      </c>
      <c r="AB22" s="326" t="str">
        <f>IF(一覧!Z45="","",一覧!Z45)</f>
        <v>★</v>
      </c>
      <c r="AC22" s="326" t="str">
        <f>IF(一覧!AA45="","",一覧!AA45)</f>
        <v/>
      </c>
      <c r="AD22" s="326" t="str">
        <f>IF(一覧!AB45="","",一覧!AB45)</f>
        <v>ミヤネ屋</v>
      </c>
      <c r="AE22" s="326" t="str">
        <f>IF(一覧!AC45="","",一覧!AC45)</f>
        <v>★</v>
      </c>
      <c r="AF22" s="326" t="str">
        <f>IF(一覧!AD45="","",一覧!AD45)</f>
        <v>★★</v>
      </c>
      <c r="AG22" s="326" t="str">
        <f>IF(一覧!AE45="","",一覧!AE45)</f>
        <v>土ダメ</v>
      </c>
      <c r="AH22" s="326" t="str">
        <f>IF(一覧!AF45="","",一覧!AF45)</f>
        <v/>
      </c>
      <c r="AI22" s="326" t="str">
        <f>IF(一覧!AG45="","",一覧!AG45)</f>
        <v/>
      </c>
      <c r="AJ22" s="329" t="str">
        <f>IF(一覧!AH45="","",一覧!AH45)</f>
        <v>藤井</v>
      </c>
    </row>
    <row r="23" spans="1:36" ht="15" thickBot="1">
      <c r="A23" s="330" t="str">
        <f>一覧!AI45</f>
        <v>camera</v>
      </c>
      <c r="B23" s="331" t="str">
        <f>一覧!AJ45</f>
        <v>b</v>
      </c>
      <c r="C23" s="332"/>
      <c r="D23" s="333"/>
      <c r="E23" s="331" t="str">
        <f>IF(一覧!C46="","",一覧!C46)</f>
        <v/>
      </c>
      <c r="F23" s="331" t="str">
        <f>IF(一覧!D46="","",一覧!D46)</f>
        <v>5/30分</v>
      </c>
      <c r="G23" s="331" t="str">
        <f>IF(一覧!E46="","",一覧!E46)</f>
        <v>5/31分</v>
      </c>
      <c r="H23" s="331" t="str">
        <f>IF(一覧!F46="","",一覧!F46)</f>
        <v>ＴＤ</v>
      </c>
      <c r="I23" s="331" t="str">
        <f>IF(一覧!G46="","",一覧!G46)</f>
        <v>ＴＤ</v>
      </c>
      <c r="J23" s="331" t="str">
        <f>IF(一覧!H46="","",一覧!H46)</f>
        <v>ＴＤ</v>
      </c>
      <c r="K23" s="331" t="str">
        <f>IF(一覧!I46="","",一覧!I46)</f>
        <v/>
      </c>
      <c r="L23" s="331" t="str">
        <f>IF(一覧!J46="","",一覧!J46)</f>
        <v/>
      </c>
      <c r="M23" s="331" t="str">
        <f>IF(一覧!K46="","",一覧!K46)</f>
        <v/>
      </c>
      <c r="N23" s="331" t="str">
        <f>IF(一覧!L46="","",一覧!L46)</f>
        <v>ＴＤ</v>
      </c>
      <c r="O23" s="331" t="str">
        <f>IF(一覧!M46="","",一覧!M46)</f>
        <v/>
      </c>
      <c r="P23" s="331" t="str">
        <f>IF(一覧!N46="","",一覧!N46)</f>
        <v/>
      </c>
      <c r="Q23" s="331" t="str">
        <f>IF(一覧!O46="","",一覧!O46)</f>
        <v>ＴＤ</v>
      </c>
      <c r="R23" s="331" t="str">
        <f>IF(一覧!P46="","",一覧!P46)</f>
        <v/>
      </c>
      <c r="S23" s="331" t="str">
        <f>IF(一覧!Q46="","",一覧!Q46)</f>
        <v/>
      </c>
      <c r="T23" s="331" t="str">
        <f>IF(一覧!R46="","",一覧!R46)</f>
        <v>ＳＷ</v>
      </c>
      <c r="U23" s="331" t="str">
        <f>IF(一覧!S46="","",一覧!S46)</f>
        <v>ＣＡＭ</v>
      </c>
      <c r="V23" s="331" t="str">
        <f>IF(一覧!T46="","",一覧!T46)</f>
        <v/>
      </c>
      <c r="W23" s="331" t="str">
        <f>IF(一覧!U46="","",一覧!U46)</f>
        <v>ｶﾒﾗG会</v>
      </c>
      <c r="X23" s="331" t="str">
        <f>IF(一覧!V46="","",一覧!V46)</f>
        <v/>
      </c>
      <c r="Y23" s="331" t="str">
        <f>IF(一覧!W46="","",一覧!W46)</f>
        <v/>
      </c>
      <c r="Z23" s="331" t="str">
        <f>IF(一覧!X46="","",一覧!X46)</f>
        <v>ＴＤ</v>
      </c>
      <c r="AA23" s="331" t="str">
        <f>IF(一覧!Y46="","",一覧!Y46)</f>
        <v>ＳＷ</v>
      </c>
      <c r="AB23" s="331" t="str">
        <f>IF(一覧!Z46="","",一覧!Z46)</f>
        <v/>
      </c>
      <c r="AC23" s="331" t="str">
        <f>IF(一覧!AA46="","",一覧!AA46)</f>
        <v/>
      </c>
      <c r="AD23" s="331" t="str">
        <f>IF(一覧!AB46="","",一覧!AB46)</f>
        <v>ＴＤ</v>
      </c>
      <c r="AE23" s="331" t="str">
        <f>IF(一覧!AC46="","",一覧!AC46)</f>
        <v/>
      </c>
      <c r="AF23" s="331" t="str">
        <f>IF(一覧!AD46="","",一覧!AD46)</f>
        <v/>
      </c>
      <c r="AG23" s="331" t="str">
        <f>IF(一覧!AE46="","",一覧!AE46)</f>
        <v>ＳＷ</v>
      </c>
      <c r="AH23" s="331" t="str">
        <f>IF(一覧!AF46="","",一覧!AF46)</f>
        <v/>
      </c>
      <c r="AI23" s="331" t="str">
        <f>IF(一覧!AG46="","",一覧!AG46)</f>
        <v/>
      </c>
      <c r="AJ23" s="334" t="str">
        <f>IF(一覧!AH46="","",一覧!AH46)</f>
        <v/>
      </c>
    </row>
    <row r="24" spans="1:36" ht="14.5">
      <c r="A24" s="325" t="str">
        <f>一覧!AI47</f>
        <v>VE</v>
      </c>
      <c r="B24" s="326" t="str">
        <f>一覧!AJ47</f>
        <v>b</v>
      </c>
      <c r="C24" s="327"/>
      <c r="D24" s="328" t="str">
        <f>一覧!B47</f>
        <v>菊地　健</v>
      </c>
      <c r="E24" s="326" t="str">
        <f>IF(一覧!C47="","",一覧!C47)</f>
        <v>ミヤネ屋</v>
      </c>
      <c r="F24" s="326" t="str">
        <f>IF(一覧!D47="","",一覧!D47)</f>
        <v/>
      </c>
      <c r="G24" s="326" t="str">
        <f>IF(一覧!E47="","",一覧!E47)</f>
        <v>うさかめ</v>
      </c>
      <c r="H24" s="326" t="str">
        <f>IF(一覧!F47="","",一覧!F47)</f>
        <v>機材整備</v>
      </c>
      <c r="I24" s="326" t="str">
        <f>IF(一覧!G47="","",一覧!G47)</f>
        <v>吉田粗品</v>
      </c>
      <c r="J24" s="326" t="str">
        <f>IF(一覧!H47="","",一覧!H47)</f>
        <v>★</v>
      </c>
      <c r="K24" s="326" t="str">
        <f>IF(一覧!I47="","",一覧!I47)</f>
        <v>★★</v>
      </c>
      <c r="L24" s="326" t="str">
        <f>IF(一覧!J47="","",一覧!J47)</f>
        <v>吉田粗品</v>
      </c>
      <c r="M24" s="326" t="str">
        <f>IF(一覧!K47="","",一覧!K47)</f>
        <v>中継車WG</v>
      </c>
      <c r="N24" s="326" t="str">
        <f>IF(一覧!L47="","",一覧!L47)</f>
        <v>声</v>
      </c>
      <c r="O24" s="326" t="str">
        <f>IF(一覧!M47="","",一覧!M47)</f>
        <v>ミヤネ屋</v>
      </c>
      <c r="P24" s="326" t="str">
        <f>IF(一覧!N47="","",一覧!N47)</f>
        <v>ミヤネ屋</v>
      </c>
      <c r="Q24" s="326" t="str">
        <f>IF(一覧!O47="","",一覧!O47)</f>
        <v>ジグザグ</v>
      </c>
      <c r="R24" s="326" t="str">
        <f>IF(一覧!P47="","",一覧!P47)</f>
        <v>★★</v>
      </c>
      <c r="S24" s="326" t="str">
        <f>IF(一覧!Q47="","",一覧!Q47)</f>
        <v>★</v>
      </c>
      <c r="T24" s="326" t="str">
        <f>IF(一覧!R47="","",一覧!R47)</f>
        <v>ミヤネ屋</v>
      </c>
      <c r="U24" s="326" t="str">
        <f>IF(一覧!S47="","",一覧!S47)</f>
        <v>ｔｅｎ！</v>
      </c>
      <c r="V24" s="326" t="str">
        <f>IF(一覧!T47="","",一覧!T47)</f>
        <v>吉田粗品</v>
      </c>
      <c r="W24" s="326" t="str">
        <f>IF(一覧!U47="","",一覧!U47)</f>
        <v>機材整備</v>
      </c>
      <c r="X24" s="326" t="str">
        <f>IF(一覧!V47="","",一覧!V47)</f>
        <v>★</v>
      </c>
      <c r="Y24" s="326" t="str">
        <f>IF(一覧!W47="","",一覧!W47)</f>
        <v>★★</v>
      </c>
      <c r="Z24" s="326" t="str">
        <f>IF(一覧!X47="","",一覧!X47)</f>
        <v>ノビしろ</v>
      </c>
      <c r="AA24" s="326" t="str">
        <f>IF(一覧!Y47="","",一覧!Y47)</f>
        <v>ミヤネ屋</v>
      </c>
      <c r="AB24" s="326" t="str">
        <f>IF(一覧!Z47="","",一覧!Z47)</f>
        <v>VEG会議</v>
      </c>
      <c r="AC24" s="326" t="str">
        <f>IF(一覧!AA47="","",一覧!AA47)</f>
        <v>　　　━</v>
      </c>
      <c r="AD24" s="326" t="str">
        <f>IF(一覧!AB47="","",一覧!AB47)</f>
        <v>━　　　</v>
      </c>
      <c r="AE24" s="326" t="str">
        <f>IF(一覧!AC47="","",一覧!AC47)</f>
        <v>★</v>
      </c>
      <c r="AF24" s="326" t="str">
        <f>IF(一覧!AD47="","",一覧!AD47)</f>
        <v>★★</v>
      </c>
      <c r="AG24" s="326" t="str">
        <f>IF(一覧!AE47="","",一覧!AE47)</f>
        <v>ミヤネ屋</v>
      </c>
      <c r="AH24" s="326" t="str">
        <f>IF(一覧!AF47="","",一覧!AF47)</f>
        <v>X準備</v>
      </c>
      <c r="AI24" s="326" t="str">
        <f>IF(一覧!AG47="","",一覧!AG47)</f>
        <v/>
      </c>
      <c r="AJ24" s="329" t="str">
        <f>IF(一覧!AH47="","",一覧!AH47)</f>
        <v>菊地</v>
      </c>
    </row>
    <row r="25" spans="1:36" ht="15" thickBot="1">
      <c r="A25" s="330" t="str">
        <f>一覧!AI47</f>
        <v>VE</v>
      </c>
      <c r="B25" s="331" t="str">
        <f>一覧!AJ47</f>
        <v>b</v>
      </c>
      <c r="C25" s="332"/>
      <c r="D25" s="333"/>
      <c r="E25" s="331" t="str">
        <f>IF(一覧!C48="","",一覧!C48)</f>
        <v>ＴＤ</v>
      </c>
      <c r="F25" s="331" t="str">
        <f>IF(一覧!D48="","",一覧!D48)</f>
        <v/>
      </c>
      <c r="G25" s="331" t="str">
        <f>IF(一覧!E48="","",一覧!E48)</f>
        <v>ＶＥ</v>
      </c>
      <c r="H25" s="331" t="str">
        <f>IF(一覧!F48="","",一覧!F48)</f>
        <v/>
      </c>
      <c r="I25" s="331" t="str">
        <f>IF(一覧!G48="","",一覧!G48)</f>
        <v>ＶＥ</v>
      </c>
      <c r="J25" s="331" t="str">
        <f>IF(一覧!H48="","",一覧!H48)</f>
        <v/>
      </c>
      <c r="K25" s="331" t="str">
        <f>IF(一覧!I48="","",一覧!I48)</f>
        <v/>
      </c>
      <c r="L25" s="331" t="str">
        <f>IF(一覧!J48="","",一覧!J48)</f>
        <v>打合せ</v>
      </c>
      <c r="M25" s="331" t="str">
        <f>IF(一覧!K48="","",一覧!K48)</f>
        <v/>
      </c>
      <c r="N25" s="331" t="str">
        <f>IF(一覧!L48="","",一覧!L48)</f>
        <v>ＶＥ</v>
      </c>
      <c r="O25" s="331" t="str">
        <f>IF(一覧!M48="","",一覧!M48)</f>
        <v>ＴＤ</v>
      </c>
      <c r="P25" s="331" t="str">
        <f>IF(一覧!N48="","",一覧!N48)</f>
        <v>ＶＥ</v>
      </c>
      <c r="Q25" s="331" t="str">
        <f>IF(一覧!O48="","",一覧!O48)</f>
        <v>ＶＥ</v>
      </c>
      <c r="R25" s="331" t="str">
        <f>IF(一覧!P48="","",一覧!P48)</f>
        <v/>
      </c>
      <c r="S25" s="331" t="str">
        <f>IF(一覧!Q48="","",一覧!Q48)</f>
        <v/>
      </c>
      <c r="T25" s="331" t="str">
        <f>IF(一覧!R48="","",一覧!R48)</f>
        <v>ＴＤ</v>
      </c>
      <c r="U25" s="331" t="str">
        <f>IF(一覧!S48="","",一覧!S48)</f>
        <v>ＴＤ</v>
      </c>
      <c r="V25" s="331" t="str">
        <f>IF(一覧!T48="","",一覧!T48)</f>
        <v>ＶＥ</v>
      </c>
      <c r="W25" s="331" t="str">
        <f>IF(一覧!U48="","",一覧!U48)</f>
        <v/>
      </c>
      <c r="X25" s="331" t="str">
        <f>IF(一覧!V48="","",一覧!V48)</f>
        <v/>
      </c>
      <c r="Y25" s="331" t="str">
        <f>IF(一覧!W48="","",一覧!W48)</f>
        <v/>
      </c>
      <c r="Z25" s="331" t="str">
        <f>IF(一覧!X48="","",一覧!X48)</f>
        <v>ＶＥ</v>
      </c>
      <c r="AA25" s="331" t="str">
        <f>IF(一覧!Y48="","",一覧!Y48)</f>
        <v>ＶＥ</v>
      </c>
      <c r="AB25" s="331" t="str">
        <f>IF(一覧!Z48="","",一覧!Z48)</f>
        <v/>
      </c>
      <c r="AC25" s="331" t="str">
        <f>IF(一覧!AA48="","",一覧!AA48)</f>
        <v/>
      </c>
      <c r="AD25" s="331" t="str">
        <f>IF(一覧!AB48="","",一覧!AB48)</f>
        <v/>
      </c>
      <c r="AE25" s="331" t="str">
        <f>IF(一覧!AC48="","",一覧!AC48)</f>
        <v/>
      </c>
      <c r="AF25" s="331" t="str">
        <f>IF(一覧!AD48="","",一覧!AD48)</f>
        <v/>
      </c>
      <c r="AG25" s="331" t="str">
        <f>IF(一覧!AE48="","",一覧!AE48)</f>
        <v>ＶＥ</v>
      </c>
      <c r="AH25" s="331" t="str">
        <f>IF(一覧!AF48="","",一覧!AF48)</f>
        <v/>
      </c>
      <c r="AI25" s="331" t="str">
        <f>IF(一覧!AG48="","",一覧!AG48)</f>
        <v/>
      </c>
      <c r="AJ25" s="334" t="str">
        <f>IF(一覧!AH48="","",一覧!AH48)</f>
        <v/>
      </c>
    </row>
    <row r="26" spans="1:36" ht="14.5">
      <c r="A26" s="325" t="str">
        <f>一覧!AI49</f>
        <v>houdou</v>
      </c>
      <c r="B26" s="326" t="str">
        <f>一覧!AJ49</f>
        <v>b</v>
      </c>
      <c r="C26" s="327"/>
      <c r="D26" s="328" t="str">
        <f>一覧!B49</f>
        <v>浅地　裕夫</v>
      </c>
      <c r="E26" s="326" t="str">
        <f>IF(一覧!C49="","",一覧!C49)</f>
        <v>ten下見</v>
      </c>
      <c r="F26" s="326" t="str">
        <f>IF(一覧!D49="","",一覧!D49)</f>
        <v>NsubTD</v>
      </c>
      <c r="G26" s="326" t="str">
        <f>IF(一覧!E49="","",一覧!E49)</f>
        <v>ＲＤ</v>
      </c>
      <c r="H26" s="326" t="str">
        <f>IF(一覧!F49="","",一覧!F49)</f>
        <v>ten中継</v>
      </c>
      <c r="I26" s="326" t="str">
        <f>IF(一覧!G49="","",一覧!G49)</f>
        <v>　　　━</v>
      </c>
      <c r="J26" s="326" t="str">
        <f>IF(一覧!H49="","",一覧!H49)</f>
        <v>━　　　</v>
      </c>
      <c r="K26" s="326" t="str">
        <f>IF(一覧!I49="","",一覧!I49)</f>
        <v>★★</v>
      </c>
      <c r="L26" s="326" t="str">
        <f>IF(一覧!J49="","",一覧!J49)</f>
        <v>★</v>
      </c>
      <c r="M26" s="326" t="str">
        <f>IF(一覧!K49="","",一覧!K49)</f>
        <v>ＲＤ</v>
      </c>
      <c r="N26" s="326" t="str">
        <f>IF(一覧!L49="","",一覧!L49)</f>
        <v>NsubTD</v>
      </c>
      <c r="O26" s="326" t="str">
        <f>IF(一覧!M49="","",一覧!M49)</f>
        <v>ＲＤ</v>
      </c>
      <c r="P26" s="326" t="str">
        <f>IF(一覧!N49="","",一覧!N49)</f>
        <v>じゅっと</v>
      </c>
      <c r="Q26" s="326" t="str">
        <f>IF(一覧!O49="","",一覧!O49)</f>
        <v>★</v>
      </c>
      <c r="R26" s="326" t="str">
        <f>IF(一覧!P49="","",一覧!P49)</f>
        <v>★★</v>
      </c>
      <c r="S26" s="326" t="str">
        <f>IF(一覧!Q49="","",一覧!Q49)</f>
        <v>ミヤネ屋</v>
      </c>
      <c r="T26" s="326" t="str">
        <f>IF(一覧!R49="","",一覧!R49)</f>
        <v>ｔｅｎ！</v>
      </c>
      <c r="U26" s="326" t="str">
        <f>IF(一覧!S49="","",一覧!S49)</f>
        <v>ﾊﾟｰﾙｶｯﾌﾟ</v>
      </c>
      <c r="V26" s="326" t="str">
        <f>IF(一覧!T49="","",一覧!T49)</f>
        <v>ﾊﾟｰﾙｶｯﾌﾟ</v>
      </c>
      <c r="W26" s="326" t="str">
        <f>IF(一覧!U49="","",一覧!U49)</f>
        <v>回線G</v>
      </c>
      <c r="X26" s="326" t="str">
        <f>IF(一覧!V49="","",一覧!V49)</f>
        <v>★★</v>
      </c>
      <c r="Y26" s="326" t="str">
        <f>IF(一覧!W49="","",一覧!W49)</f>
        <v>高松宮杯</v>
      </c>
      <c r="Z26" s="326" t="str">
        <f>IF(一覧!X49="","",一覧!X49)</f>
        <v>ミヤネ屋</v>
      </c>
      <c r="AA26" s="326" t="str">
        <f>IF(一覧!Y49="","",一覧!Y49)</f>
        <v>ミヤネ屋</v>
      </c>
      <c r="AB26" s="326" t="str">
        <f>IF(一覧!Z49="","",一覧!Z49)</f>
        <v>ｔｅｎ！</v>
      </c>
      <c r="AC26" s="326" t="str">
        <f>IF(一覧!AA49="","",一覧!AA49)</f>
        <v>★</v>
      </c>
      <c r="AD26" s="326" t="str">
        <f>IF(一覧!AB49="","",一覧!AB49)</f>
        <v>　　　━</v>
      </c>
      <c r="AE26" s="326" t="str">
        <f>IF(一覧!AC49="","",一覧!AC49)</f>
        <v>━　　　</v>
      </c>
      <c r="AF26" s="326" t="str">
        <f>IF(一覧!AD49="","",一覧!AD49)</f>
        <v>★★</v>
      </c>
      <c r="AG26" s="326" t="str">
        <f>IF(一覧!AE49="","",一覧!AE49)</f>
        <v>★</v>
      </c>
      <c r="AH26" s="326" t="str">
        <f>IF(一覧!AF49="","",一覧!AF49)</f>
        <v>ＲＤ</v>
      </c>
      <c r="AI26" s="326" t="str">
        <f>IF(一覧!AG49="","",一覧!AG49)</f>
        <v/>
      </c>
      <c r="AJ26" s="329" t="str">
        <f>IF(一覧!AH49="","",一覧!AH49)</f>
        <v>浅地</v>
      </c>
    </row>
    <row r="27" spans="1:36" ht="15" thickBot="1">
      <c r="A27" s="330" t="str">
        <f>一覧!AI49</f>
        <v>houdou</v>
      </c>
      <c r="B27" s="331" t="str">
        <f>一覧!AJ49</f>
        <v>b</v>
      </c>
      <c r="C27" s="332"/>
      <c r="D27" s="333"/>
      <c r="E27" s="331" t="str">
        <f>IF(一覧!C50="","",一覧!C50)</f>
        <v>局会</v>
      </c>
      <c r="F27" s="331" t="str">
        <f>IF(一覧!D50="","",一覧!D50)</f>
        <v/>
      </c>
      <c r="G27" s="331" t="str">
        <f>IF(一覧!E50="","",一覧!E50)</f>
        <v/>
      </c>
      <c r="H27" s="331" t="str">
        <f>IF(一覧!F50="","",一覧!F50)</f>
        <v>ＴＤ</v>
      </c>
      <c r="I27" s="331" t="str">
        <f>IF(一覧!G50="","",一覧!G50)</f>
        <v/>
      </c>
      <c r="J27" s="331" t="str">
        <f>IF(一覧!H50="","",一覧!H50)</f>
        <v/>
      </c>
      <c r="K27" s="331" t="str">
        <f>IF(一覧!I50="","",一覧!I50)</f>
        <v/>
      </c>
      <c r="L27" s="331" t="str">
        <f>IF(一覧!J50="","",一覧!J50)</f>
        <v/>
      </c>
      <c r="M27" s="331" t="str">
        <f>IF(一覧!K50="","",一覧!K50)</f>
        <v/>
      </c>
      <c r="N27" s="331" t="str">
        <f>IF(一覧!L50="","",一覧!L50)</f>
        <v/>
      </c>
      <c r="O27" s="331" t="str">
        <f>IF(一覧!M50="","",一覧!M50)</f>
        <v/>
      </c>
      <c r="P27" s="331" t="str">
        <f>IF(一覧!N50="","",一覧!N50)</f>
        <v>ＴＤ</v>
      </c>
      <c r="Q27" s="331" t="str">
        <f>IF(一覧!O50="","",一覧!O50)</f>
        <v/>
      </c>
      <c r="R27" s="331" t="str">
        <f>IF(一覧!P50="","",一覧!P50)</f>
        <v/>
      </c>
      <c r="S27" s="331" t="str">
        <f>IF(一覧!Q50="","",一覧!Q50)</f>
        <v>ＴＤ</v>
      </c>
      <c r="T27" s="331" t="str">
        <f>IF(一覧!R50="","",一覧!R50)</f>
        <v>ＴＤ</v>
      </c>
      <c r="U27" s="331" t="str">
        <f>IF(一覧!S50="","",一覧!S50)</f>
        <v>岸和田</v>
      </c>
      <c r="V27" s="331" t="str">
        <f>IF(一覧!T50="","",一覧!T50)</f>
        <v>岸和田</v>
      </c>
      <c r="W27" s="331" t="str">
        <f>IF(一覧!U50="","",一覧!U50)</f>
        <v/>
      </c>
      <c r="X27" s="331" t="str">
        <f>IF(一覧!V50="","",一覧!V50)</f>
        <v/>
      </c>
      <c r="Y27" s="331" t="str">
        <f>IF(一覧!W50="","",一覧!W50)</f>
        <v>岸和田</v>
      </c>
      <c r="Z27" s="331" t="str">
        <f>IF(一覧!X50="","",一覧!X50)</f>
        <v>ＴＤ</v>
      </c>
      <c r="AA27" s="331" t="str">
        <f>IF(一覧!Y50="","",一覧!Y50)</f>
        <v>ＴＤ</v>
      </c>
      <c r="AB27" s="331" t="str">
        <f>IF(一覧!Z50="","",一覧!Z50)</f>
        <v>NsubTD</v>
      </c>
      <c r="AC27" s="331" t="str">
        <f>IF(一覧!AA50="","",一覧!AA50)</f>
        <v/>
      </c>
      <c r="AD27" s="331" t="str">
        <f>IF(一覧!AB50="","",一覧!AB50)</f>
        <v/>
      </c>
      <c r="AE27" s="331" t="str">
        <f>IF(一覧!AC50="","",一覧!AC50)</f>
        <v/>
      </c>
      <c r="AF27" s="331" t="str">
        <f>IF(一覧!AD50="","",一覧!AD50)</f>
        <v/>
      </c>
      <c r="AG27" s="331" t="str">
        <f>IF(一覧!AE50="","",一覧!AE50)</f>
        <v/>
      </c>
      <c r="AH27" s="331" t="str">
        <f>IF(一覧!AF50="","",一覧!AF50)</f>
        <v/>
      </c>
      <c r="AI27" s="331" t="str">
        <f>IF(一覧!AG50="","",一覧!AG50)</f>
        <v/>
      </c>
      <c r="AJ27" s="334" t="str">
        <f>IF(一覧!AH50="","",一覧!AH50)</f>
        <v/>
      </c>
    </row>
    <row r="28" spans="1:36" ht="14.5">
      <c r="A28" s="325" t="str">
        <f>一覧!AI51</f>
        <v>houdou</v>
      </c>
      <c r="B28" s="326" t="str">
        <f>一覧!AJ51</f>
        <v>b</v>
      </c>
      <c r="C28" s="327"/>
      <c r="D28" s="328" t="str">
        <f>一覧!B51</f>
        <v>高田　裕都</v>
      </c>
      <c r="E28" s="326" t="str">
        <f>IF(一覧!C51="","",一覧!C51)</f>
        <v>ＲＤ</v>
      </c>
      <c r="F28" s="326" t="str">
        <f>IF(一覧!D51="","",一覧!D51)</f>
        <v>ＲＤ</v>
      </c>
      <c r="G28" s="326" t="str">
        <f>IF(一覧!E51="","",一覧!E51)</f>
        <v>じゅっと</v>
      </c>
      <c r="H28" s="326" t="str">
        <f>IF(一覧!F51="","",一覧!F51)</f>
        <v>代休</v>
      </c>
      <c r="I28" s="326" t="str">
        <f>IF(一覧!G51="","",一覧!G51)</f>
        <v>代休</v>
      </c>
      <c r="J28" s="326" t="str">
        <f>IF(一覧!H51="","",一覧!H51)</f>
        <v>★</v>
      </c>
      <c r="K28" s="326" t="str">
        <f>IF(一覧!I51="","",一覧!I51)</f>
        <v>★★</v>
      </c>
      <c r="L28" s="326" t="str">
        <f>IF(一覧!J51="","",一覧!J51)</f>
        <v>ＲＤ</v>
      </c>
      <c r="M28" s="326" t="str">
        <f>IF(一覧!K51="","",一覧!K51)</f>
        <v>NsubTD</v>
      </c>
      <c r="N28" s="326" t="str">
        <f>IF(一覧!L51="","",一覧!L51)</f>
        <v>　　　━</v>
      </c>
      <c r="O28" s="326" t="str">
        <f>IF(一覧!M51="","",一覧!M51)</f>
        <v>━　　　</v>
      </c>
      <c r="P28" s="326" t="str">
        <f>IF(一覧!N51="","",一覧!N51)</f>
        <v>訓練準備</v>
      </c>
      <c r="Q28" s="326" t="str">
        <f>IF(一覧!O51="","",一覧!O51)</f>
        <v/>
      </c>
      <c r="R28" s="326" t="str">
        <f>IF(一覧!P51="","",一覧!P51)</f>
        <v>NsubTD</v>
      </c>
      <c r="S28" s="326" t="str">
        <f>IF(一覧!Q51="","",一覧!Q51)</f>
        <v>じゅっと</v>
      </c>
      <c r="T28" s="326" t="str">
        <f>IF(一覧!R51="","",一覧!R51)</f>
        <v>NsubTD</v>
      </c>
      <c r="U28" s="326" t="str">
        <f>IF(一覧!S51="","",一覧!S51)</f>
        <v>★★</v>
      </c>
      <c r="V28" s="326" t="str">
        <f>IF(一覧!T51="","",一覧!T51)</f>
        <v>★</v>
      </c>
      <c r="W28" s="326" t="str">
        <f>IF(一覧!U51="","",一覧!U51)</f>
        <v>回線G</v>
      </c>
      <c r="X28" s="326" t="str">
        <f>IF(一覧!V51="","",一覧!V51)</f>
        <v>NsubTD</v>
      </c>
      <c r="Y28" s="326" t="str">
        <f>IF(一覧!W51="","",一覧!W51)</f>
        <v>　　　━</v>
      </c>
      <c r="Z28" s="326" t="str">
        <f>IF(一覧!X51="","",一覧!X51)</f>
        <v>━　　　</v>
      </c>
      <c r="AA28" s="326" t="str">
        <f>IF(一覧!Y51="","",一覧!Y51)</f>
        <v>★★</v>
      </c>
      <c r="AB28" s="326" t="str">
        <f>IF(一覧!Z51="","",一覧!Z51)</f>
        <v>★</v>
      </c>
      <c r="AC28" s="326" t="str">
        <f>IF(一覧!AA51="","",一覧!AA51)</f>
        <v>年休</v>
      </c>
      <c r="AD28" s="326" t="str">
        <f>IF(一覧!AB51="","",一覧!AB51)</f>
        <v>ＲＤ</v>
      </c>
      <c r="AE28" s="326" t="str">
        <f>IF(一覧!AC51="","",一覧!AC51)</f>
        <v>NsubTD</v>
      </c>
      <c r="AF28" s="326" t="str">
        <f>IF(一覧!AD51="","",一覧!AD51)</f>
        <v>★★</v>
      </c>
      <c r="AG28" s="326" t="str">
        <f>IF(一覧!AE51="","",一覧!AE51)</f>
        <v>ten下見</v>
      </c>
      <c r="AH28" s="326" t="str">
        <f>IF(一覧!AF51="","",一覧!AF51)</f>
        <v>★</v>
      </c>
      <c r="AI28" s="326" t="str">
        <f>IF(一覧!AG51="","",一覧!AG51)</f>
        <v/>
      </c>
      <c r="AJ28" s="329" t="str">
        <f>IF(一覧!AH51="","",一覧!AH51)</f>
        <v>高田</v>
      </c>
    </row>
    <row r="29" spans="1:36" ht="15" thickBot="1">
      <c r="A29" s="330" t="str">
        <f>一覧!AI51</f>
        <v>houdou</v>
      </c>
      <c r="B29" s="331" t="str">
        <f>一覧!AJ51</f>
        <v>b</v>
      </c>
      <c r="C29" s="332"/>
      <c r="D29" s="333"/>
      <c r="E29" s="331" t="str">
        <f>IF(一覧!C52="","",一覧!C52)</f>
        <v>局会</v>
      </c>
      <c r="F29" s="331" t="str">
        <f>IF(一覧!D52="","",一覧!D52)</f>
        <v/>
      </c>
      <c r="G29" s="331" t="str">
        <f>IF(一覧!E52="","",一覧!E52)</f>
        <v>ＴＤ</v>
      </c>
      <c r="H29" s="331" t="str">
        <f>IF(一覧!F52="","",一覧!F52)</f>
        <v>5/19分</v>
      </c>
      <c r="I29" s="331" t="str">
        <f>IF(一覧!G52="","",一覧!G52)</f>
        <v>5/23分</v>
      </c>
      <c r="J29" s="331" t="str">
        <f>IF(一覧!H52="","",一覧!H52)</f>
        <v/>
      </c>
      <c r="K29" s="331" t="str">
        <f>IF(一覧!I52="","",一覧!I52)</f>
        <v/>
      </c>
      <c r="L29" s="331" t="str">
        <f>IF(一覧!J52="","",一覧!J52)</f>
        <v/>
      </c>
      <c r="M29" s="331" t="str">
        <f>IF(一覧!K52="","",一覧!K52)</f>
        <v/>
      </c>
      <c r="N29" s="331" t="str">
        <f>IF(一覧!L52="","",一覧!L52)</f>
        <v/>
      </c>
      <c r="O29" s="331" t="str">
        <f>IF(一覧!M52="","",一覧!M52)</f>
        <v/>
      </c>
      <c r="P29" s="331" t="str">
        <f>IF(一覧!N52="","",一覧!N52)</f>
        <v/>
      </c>
      <c r="Q29" s="331" t="str">
        <f>IF(一覧!O52="","",一覧!O52)</f>
        <v>ﾍﾘ訓練</v>
      </c>
      <c r="R29" s="331" t="str">
        <f>IF(一覧!P52="","",一覧!P52)</f>
        <v>ﾍﾘ訓練</v>
      </c>
      <c r="S29" s="331" t="str">
        <f>IF(一覧!Q52="","",一覧!Q52)</f>
        <v>ＴＤ</v>
      </c>
      <c r="T29" s="331" t="str">
        <f>IF(一覧!R52="","",一覧!R52)</f>
        <v/>
      </c>
      <c r="U29" s="331" t="str">
        <f>IF(一覧!S52="","",一覧!S52)</f>
        <v>※</v>
      </c>
      <c r="V29" s="331" t="str">
        <f>IF(一覧!T52="","",一覧!T52)</f>
        <v>※</v>
      </c>
      <c r="W29" s="331" t="str">
        <f>IF(一覧!U52="","",一覧!U52)</f>
        <v/>
      </c>
      <c r="X29" s="331" t="str">
        <f>IF(一覧!V52="","",一覧!V52)</f>
        <v/>
      </c>
      <c r="Y29" s="331" t="str">
        <f>IF(一覧!W52="","",一覧!W52)</f>
        <v/>
      </c>
      <c r="Z29" s="331" t="str">
        <f>IF(一覧!X52="","",一覧!X52)</f>
        <v/>
      </c>
      <c r="AA29" s="331" t="str">
        <f>IF(一覧!Y52="","",一覧!Y52)</f>
        <v/>
      </c>
      <c r="AB29" s="331" t="str">
        <f>IF(一覧!Z52="","",一覧!Z52)</f>
        <v/>
      </c>
      <c r="AC29" s="331" t="str">
        <f>IF(一覧!AA52="","",一覧!AA52)</f>
        <v>※</v>
      </c>
      <c r="AD29" s="331" t="str">
        <f>IF(一覧!AB52="","",一覧!AB52)</f>
        <v/>
      </c>
      <c r="AE29" s="331" t="str">
        <f>IF(一覧!AC52="","",一覧!AC52)</f>
        <v/>
      </c>
      <c r="AF29" s="331" t="str">
        <f>IF(一覧!AD52="","",一覧!AD52)</f>
        <v/>
      </c>
      <c r="AG29" s="331" t="str">
        <f>IF(一覧!AE52="","",一覧!AE52)</f>
        <v/>
      </c>
      <c r="AH29" s="331" t="str">
        <f>IF(一覧!AF52="","",一覧!AF52)</f>
        <v>※</v>
      </c>
      <c r="AI29" s="331" t="str">
        <f>IF(一覧!AG52="","",一覧!AG52)</f>
        <v/>
      </c>
      <c r="AJ29" s="334" t="str">
        <f>IF(一覧!AH52="","",一覧!AH52)</f>
        <v/>
      </c>
    </row>
    <row r="30" spans="1:36" ht="14.5">
      <c r="A30" s="325" t="str">
        <f>一覧!AI53</f>
        <v>shoumei</v>
      </c>
      <c r="B30" s="326" t="str">
        <f>一覧!AJ53</f>
        <v>b</v>
      </c>
      <c r="C30" s="327"/>
      <c r="D30" s="328" t="str">
        <f>一覧!B53</f>
        <v>窪田　和弘</v>
      </c>
      <c r="E30" s="326" t="str">
        <f>IF(一覧!C53="","",一覧!C53)</f>
        <v>木ドラ</v>
      </c>
      <c r="F30" s="326" t="str">
        <f>IF(一覧!D53="","",一覧!D53)</f>
        <v>代休</v>
      </c>
      <c r="G30" s="326" t="str">
        <f>IF(一覧!E53="","",一覧!E53)</f>
        <v>代休</v>
      </c>
      <c r="H30" s="326" t="str">
        <f>IF(一覧!F53="","",一覧!F53)</f>
        <v/>
      </c>
      <c r="I30" s="326" t="str">
        <f>IF(一覧!G53="","",一覧!G53)</f>
        <v>吉田粗品</v>
      </c>
      <c r="J30" s="326" t="str">
        <f>IF(一覧!H53="","",一覧!H53)</f>
        <v>ジグザグ</v>
      </c>
      <c r="K30" s="326" t="str">
        <f>IF(一覧!I53="","",一覧!I53)</f>
        <v>★★</v>
      </c>
      <c r="L30" s="326" t="str">
        <f>IF(一覧!J53="","",一覧!J53)</f>
        <v>★</v>
      </c>
      <c r="M30" s="326" t="str">
        <f>IF(一覧!K53="","",一覧!K53)</f>
        <v>年休</v>
      </c>
      <c r="N30" s="326" t="str">
        <f>IF(一覧!L53="","",一覧!L53)</f>
        <v>声</v>
      </c>
      <c r="O30" s="326" t="str">
        <f>IF(一覧!M53="","",一覧!M53)</f>
        <v>ミヤネ屋</v>
      </c>
      <c r="P30" s="326" t="str">
        <f>IF(一覧!N53="","",一覧!N53)</f>
        <v>じゅっと</v>
      </c>
      <c r="Q30" s="326" t="str">
        <f>IF(一覧!O53="","",一覧!O53)</f>
        <v>ジグザグ</v>
      </c>
      <c r="R30" s="326" t="str">
        <f>IF(一覧!P53="","",一覧!P53)</f>
        <v>★★</v>
      </c>
      <c r="S30" s="326" t="str">
        <f>IF(一覧!Q53="","",一覧!Q53)</f>
        <v>ミヤネ屋</v>
      </c>
      <c r="T30" s="326" t="str">
        <f>IF(一覧!R53="","",一覧!R53)</f>
        <v>ミヤネ屋</v>
      </c>
      <c r="U30" s="326" t="str">
        <f>IF(一覧!S53="","",一覧!S53)</f>
        <v>ミヤネ屋</v>
      </c>
      <c r="V30" s="326" t="str">
        <f>IF(一覧!T53="","",一覧!T53)</f>
        <v>吉田粗品</v>
      </c>
      <c r="W30" s="326" t="str">
        <f>IF(一覧!U53="","",一覧!U53)</f>
        <v>★</v>
      </c>
      <c r="X30" s="326" t="str">
        <f>IF(一覧!V53="","",一覧!V53)</f>
        <v>ジグザグ</v>
      </c>
      <c r="Y30" s="326" t="str">
        <f>IF(一覧!W53="","",一覧!W53)</f>
        <v>★★</v>
      </c>
      <c r="Z30" s="326" t="str">
        <f>IF(一覧!X53="","",一覧!X53)</f>
        <v>ノビしろ</v>
      </c>
      <c r="AA30" s="326" t="str">
        <f>IF(一覧!Y53="","",一覧!Y53)</f>
        <v>★</v>
      </c>
      <c r="AB30" s="326" t="str">
        <f>IF(一覧!Z53="","",一覧!Z53)</f>
        <v>年休</v>
      </c>
      <c r="AC30" s="326" t="str">
        <f>IF(一覧!AA53="","",一覧!AA53)</f>
        <v>年休</v>
      </c>
      <c r="AD30" s="326" t="str">
        <f>IF(一覧!AB53="","",一覧!AB53)</f>
        <v>じゅっと</v>
      </c>
      <c r="AE30" s="326" t="str">
        <f>IF(一覧!AC53="","",一覧!AC53)</f>
        <v>★</v>
      </c>
      <c r="AF30" s="326" t="str">
        <f>IF(一覧!AD53="","",一覧!AD53)</f>
        <v>★★</v>
      </c>
      <c r="AG30" s="326" t="str">
        <f>IF(一覧!AE53="","",一覧!AE53)</f>
        <v>年休</v>
      </c>
      <c r="AH30" s="326" t="str">
        <f>IF(一覧!AF53="","",一覧!AF53)</f>
        <v>年休</v>
      </c>
      <c r="AI30" s="326" t="str">
        <f>IF(一覧!AG53="","",一覧!AG53)</f>
        <v/>
      </c>
      <c r="AJ30" s="329" t="str">
        <f>IF(一覧!AH53="","",一覧!AH53)</f>
        <v>窪田</v>
      </c>
    </row>
    <row r="31" spans="1:36" ht="15" thickBot="1">
      <c r="A31" s="330" t="str">
        <f>一覧!AI53</f>
        <v>shoumei</v>
      </c>
      <c r="B31" s="331" t="str">
        <f>一覧!AJ53</f>
        <v>b</v>
      </c>
      <c r="C31" s="332"/>
      <c r="D31" s="333"/>
      <c r="E31" s="331" t="str">
        <f>IF(一覧!C54="","",一覧!C54)</f>
        <v>ＬＤ</v>
      </c>
      <c r="F31" s="331" t="str">
        <f>IF(一覧!D54="","",一覧!D54)</f>
        <v>5/30分</v>
      </c>
      <c r="G31" s="331" t="str">
        <f>IF(一覧!E54="","",一覧!E54)</f>
        <v>5/31分</v>
      </c>
      <c r="H31" s="331" t="str">
        <f>IF(一覧!F54="","",一覧!F54)</f>
        <v/>
      </c>
      <c r="I31" s="331" t="str">
        <f>IF(一覧!G54="","",一覧!G54)</f>
        <v>ＬＤ</v>
      </c>
      <c r="J31" s="331" t="str">
        <f>IF(一覧!H54="","",一覧!H54)</f>
        <v>ＬＤ</v>
      </c>
      <c r="K31" s="331" t="str">
        <f>IF(一覧!I54="","",一覧!I54)</f>
        <v/>
      </c>
      <c r="L31" s="331" t="str">
        <f>IF(一覧!J54="","",一覧!J54)</f>
        <v/>
      </c>
      <c r="M31" s="331" t="str">
        <f>IF(一覧!K54="","",一覧!K54)</f>
        <v/>
      </c>
      <c r="N31" s="331" t="str">
        <f>IF(一覧!L54="","",一覧!L54)</f>
        <v>ＴＤ.LD</v>
      </c>
      <c r="O31" s="331" t="str">
        <f>IF(一覧!M54="","",一覧!M54)</f>
        <v>ＬＤ</v>
      </c>
      <c r="P31" s="331" t="str">
        <f>IF(一覧!N54="","",一覧!N54)</f>
        <v>ＬＤ</v>
      </c>
      <c r="Q31" s="331" t="str">
        <f>IF(一覧!O54="","",一覧!O54)</f>
        <v>ＬＤ</v>
      </c>
      <c r="R31" s="331" t="str">
        <f>IF(一覧!P54="","",一覧!P54)</f>
        <v/>
      </c>
      <c r="S31" s="331" t="str">
        <f>IF(一覧!Q54="","",一覧!Q54)</f>
        <v>ＬＤ</v>
      </c>
      <c r="T31" s="331" t="str">
        <f>IF(一覧!R54="","",一覧!R54)</f>
        <v>ＬＤ</v>
      </c>
      <c r="U31" s="331" t="str">
        <f>IF(一覧!S54="","",一覧!S54)</f>
        <v>ＬＤ</v>
      </c>
      <c r="V31" s="331" t="str">
        <f>IF(一覧!T54="","",一覧!T54)</f>
        <v>ＬＤ</v>
      </c>
      <c r="W31" s="331" t="str">
        <f>IF(一覧!U54="","",一覧!U54)</f>
        <v/>
      </c>
      <c r="X31" s="331" t="str">
        <f>IF(一覧!V54="","",一覧!V54)</f>
        <v>ＬＤ</v>
      </c>
      <c r="Y31" s="331" t="str">
        <f>IF(一覧!W54="","",一覧!W54)</f>
        <v/>
      </c>
      <c r="Z31" s="331" t="str">
        <f>IF(一覧!X54="","",一覧!X54)</f>
        <v>ＬＤ</v>
      </c>
      <c r="AA31" s="331" t="str">
        <f>IF(一覧!Y54="","",一覧!Y54)</f>
        <v/>
      </c>
      <c r="AB31" s="331" t="str">
        <f>IF(一覧!Z54="","",一覧!Z54)</f>
        <v/>
      </c>
      <c r="AC31" s="331" t="str">
        <f>IF(一覧!AA54="","",一覧!AA54)</f>
        <v/>
      </c>
      <c r="AD31" s="331" t="str">
        <f>IF(一覧!AB54="","",一覧!AB54)</f>
        <v>ＬＤ</v>
      </c>
      <c r="AE31" s="331" t="str">
        <f>IF(一覧!AC54="","",一覧!AC54)</f>
        <v/>
      </c>
      <c r="AF31" s="331" t="str">
        <f>IF(一覧!AD54="","",一覧!AD54)</f>
        <v/>
      </c>
      <c r="AG31" s="331" t="str">
        <f>IF(一覧!AE54="","",一覧!AE54)</f>
        <v/>
      </c>
      <c r="AH31" s="331" t="str">
        <f>IF(一覧!AF54="","",一覧!AF54)</f>
        <v/>
      </c>
      <c r="AI31" s="331" t="str">
        <f>IF(一覧!AG54="","",一覧!AG54)</f>
        <v/>
      </c>
      <c r="AJ31" s="334" t="str">
        <f>IF(一覧!AH54="","",一覧!AH54)</f>
        <v/>
      </c>
    </row>
    <row r="32" spans="1:36" ht="14.5">
      <c r="A32" s="325" t="str">
        <f>一覧!AI55</f>
        <v>houdou</v>
      </c>
      <c r="B32" s="326" t="str">
        <f>一覧!AJ55</f>
        <v>b</v>
      </c>
      <c r="C32" s="327"/>
      <c r="D32" s="328" t="str">
        <f>一覧!B55</f>
        <v>山岡　宗馬</v>
      </c>
      <c r="E32" s="326" t="str">
        <f>IF(一覧!C55="","",一覧!C55)</f>
        <v>ｔｅｎ！</v>
      </c>
      <c r="F32" s="326" t="str">
        <f>IF(一覧!D55="","",一覧!D55)</f>
        <v>ｔｅｎ！</v>
      </c>
      <c r="G32" s="326" t="str">
        <f>IF(一覧!E55="","",一覧!E55)</f>
        <v>NsubTD</v>
      </c>
      <c r="H32" s="326" t="str">
        <f>IF(一覧!F55="","",一覧!F55)</f>
        <v>ｔｅｎ！</v>
      </c>
      <c r="I32" s="326" t="str">
        <f>IF(一覧!G55="","",一覧!G55)</f>
        <v>ｔｅｎ！</v>
      </c>
      <c r="J32" s="326" t="str">
        <f>IF(一覧!H55="","",一覧!H55)</f>
        <v>代休</v>
      </c>
      <c r="K32" s="326" t="str">
        <f>IF(一覧!I55="","",一覧!I55)</f>
        <v>★★</v>
      </c>
      <c r="L32" s="326" t="str">
        <f>IF(一覧!J55="","",一覧!J55)</f>
        <v>★</v>
      </c>
      <c r="M32" s="326" t="str">
        <f>IF(一覧!K55="","",一覧!K55)</f>
        <v>年休</v>
      </c>
      <c r="N32" s="326" t="str">
        <f>IF(一覧!L55="","",一覧!L55)</f>
        <v>マスター</v>
      </c>
      <c r="O32" s="326" t="str">
        <f>IF(一覧!M55="","",一覧!M55)</f>
        <v>マスター</v>
      </c>
      <c r="P32" s="326" t="str">
        <f>IF(一覧!N55="","",一覧!N55)</f>
        <v>NsubTD</v>
      </c>
      <c r="Q32" s="326" t="str">
        <f>IF(一覧!O55="","",一覧!O55)</f>
        <v>NsubTD</v>
      </c>
      <c r="R32" s="326" t="str">
        <f>IF(一覧!P55="","",一覧!P55)</f>
        <v>★★</v>
      </c>
      <c r="S32" s="326" t="str">
        <f>IF(一覧!Q55="","",一覧!Q55)</f>
        <v>NsubTD</v>
      </c>
      <c r="T32" s="326" t="str">
        <f>IF(一覧!R55="","",一覧!R55)</f>
        <v>★</v>
      </c>
      <c r="U32" s="326" t="str">
        <f>IF(一覧!S55="","",一覧!S55)</f>
        <v>ﾊﾟｰﾙｶｯﾌﾟ</v>
      </c>
      <c r="V32" s="326" t="str">
        <f>IF(一覧!T55="","",一覧!T55)</f>
        <v>ﾊﾟｰﾙｶｯﾌﾟ</v>
      </c>
      <c r="W32" s="326" t="str">
        <f>IF(一覧!U55="","",一覧!U55)</f>
        <v>回線Ｇ</v>
      </c>
      <c r="X32" s="326" t="str">
        <f>IF(一覧!V55="","",一覧!V55)</f>
        <v>　　　━</v>
      </c>
      <c r="Y32" s="326" t="str">
        <f>IF(一覧!W55="","",一覧!W55)</f>
        <v>━　　　</v>
      </c>
      <c r="Z32" s="326" t="str">
        <f>IF(一覧!X55="","",一覧!X55)</f>
        <v>★★</v>
      </c>
      <c r="AA32" s="326" t="str">
        <f>IF(一覧!Y55="","",一覧!Y55)</f>
        <v>代休</v>
      </c>
      <c r="AB32" s="326" t="str">
        <f>IF(一覧!Z55="","",一覧!Z55)</f>
        <v>年休</v>
      </c>
      <c r="AC32" s="326" t="str">
        <f>IF(一覧!AA55="","",一覧!AA55)</f>
        <v>★</v>
      </c>
      <c r="AD32" s="326" t="str">
        <f>IF(一覧!AB55="","",一覧!AB55)</f>
        <v>マスター</v>
      </c>
      <c r="AE32" s="326" t="str">
        <f>IF(一覧!AC55="","",一覧!AC55)</f>
        <v>マスター</v>
      </c>
      <c r="AF32" s="326" t="str">
        <f>IF(一覧!AD55="","",一覧!AD55)</f>
        <v>★★</v>
      </c>
      <c r="AG32" s="326" t="str">
        <f>IF(一覧!AE55="","",一覧!AE55)</f>
        <v>ｔｅｎ！</v>
      </c>
      <c r="AH32" s="326" t="str">
        <f>IF(一覧!AF55="","",一覧!AF55)</f>
        <v>★</v>
      </c>
      <c r="AI32" s="326" t="str">
        <f>IF(一覧!AG55="","",一覧!AG55)</f>
        <v/>
      </c>
      <c r="AJ32" s="329" t="str">
        <f>IF(一覧!AH55="","",一覧!AH55)</f>
        <v>山岡</v>
      </c>
    </row>
    <row r="33" spans="1:36" ht="15" thickBot="1">
      <c r="A33" s="330" t="str">
        <f>一覧!AI55</f>
        <v>houdou</v>
      </c>
      <c r="B33" s="331" t="str">
        <f>一覧!AJ55</f>
        <v>b</v>
      </c>
      <c r="C33" s="332"/>
      <c r="D33" s="333"/>
      <c r="E33" s="331" t="str">
        <f>IF(一覧!C56="","",一覧!C56)</f>
        <v>ＴＤ</v>
      </c>
      <c r="F33" s="331" t="str">
        <f>IF(一覧!D56="","",一覧!D56)</f>
        <v>ＴＤ</v>
      </c>
      <c r="G33" s="331" t="str">
        <f>IF(一覧!E56="","",一覧!E56)</f>
        <v/>
      </c>
      <c r="H33" s="331" t="str">
        <f>IF(一覧!F56="","",一覧!F56)</f>
        <v>ＴＤ</v>
      </c>
      <c r="I33" s="331" t="str">
        <f>IF(一覧!G56="","",一覧!G56)</f>
        <v>ＴＤ</v>
      </c>
      <c r="J33" s="331" t="str">
        <f>IF(一覧!H56="","",一覧!H56)</f>
        <v>5/30分</v>
      </c>
      <c r="K33" s="331" t="str">
        <f>IF(一覧!I56="","",一覧!I56)</f>
        <v>※</v>
      </c>
      <c r="L33" s="331" t="str">
        <f>IF(一覧!J56="","",一覧!J56)</f>
        <v>※</v>
      </c>
      <c r="M33" s="331" t="str">
        <f>IF(一覧!K56="","",一覧!K56)</f>
        <v>※</v>
      </c>
      <c r="N33" s="331" t="str">
        <f>IF(一覧!L56="","",一覧!L56)</f>
        <v>泊り</v>
      </c>
      <c r="O33" s="331" t="str">
        <f>IF(一覧!M56="","",一覧!M56)</f>
        <v>あけ</v>
      </c>
      <c r="P33" s="331" t="str">
        <f>IF(一覧!N56="","",一覧!N56)</f>
        <v/>
      </c>
      <c r="Q33" s="331" t="str">
        <f>IF(一覧!O56="","",一覧!O56)</f>
        <v/>
      </c>
      <c r="R33" s="331" t="str">
        <f>IF(一覧!P56="","",一覧!P56)</f>
        <v/>
      </c>
      <c r="S33" s="331" t="str">
        <f>IF(一覧!Q56="","",一覧!Q56)</f>
        <v/>
      </c>
      <c r="T33" s="331" t="str">
        <f>IF(一覧!R56="","",一覧!R56)</f>
        <v/>
      </c>
      <c r="U33" s="331" t="str">
        <f>IF(一覧!S56="","",一覧!S56)</f>
        <v>岸和田</v>
      </c>
      <c r="V33" s="331" t="str">
        <f>IF(一覧!T56="","",一覧!T56)</f>
        <v>岸和田</v>
      </c>
      <c r="W33" s="331" t="str">
        <f>IF(一覧!U56="","",一覧!U56)</f>
        <v/>
      </c>
      <c r="X33" s="331" t="str">
        <f>IF(一覧!V56="","",一覧!V56)</f>
        <v>※</v>
      </c>
      <c r="Y33" s="331" t="str">
        <f>IF(一覧!W56="","",一覧!W56)</f>
        <v>※</v>
      </c>
      <c r="Z33" s="331" t="str">
        <f>IF(一覧!X56="","",一覧!X56)</f>
        <v>※</v>
      </c>
      <c r="AA33" s="331" t="str">
        <f>IF(一覧!Y56="","",一覧!Y56)</f>
        <v>※5/31分</v>
      </c>
      <c r="AB33" s="331" t="str">
        <f>IF(一覧!Z56="","",一覧!Z56)</f>
        <v>※</v>
      </c>
      <c r="AC33" s="331" t="str">
        <f>IF(一覧!AA56="","",一覧!AA56)</f>
        <v>※</v>
      </c>
      <c r="AD33" s="331" t="str">
        <f>IF(一覧!AB56="","",一覧!AB56)</f>
        <v>泊り</v>
      </c>
      <c r="AE33" s="331" t="str">
        <f>IF(一覧!AC56="","",一覧!AC56)</f>
        <v>あけ</v>
      </c>
      <c r="AF33" s="331" t="str">
        <f>IF(一覧!AD56="","",一覧!AD56)</f>
        <v/>
      </c>
      <c r="AG33" s="331" t="str">
        <f>IF(一覧!AE56="","",一覧!AE56)</f>
        <v>NsubTD</v>
      </c>
      <c r="AH33" s="331" t="str">
        <f>IF(一覧!AF56="","",一覧!AF56)</f>
        <v/>
      </c>
      <c r="AI33" s="331" t="str">
        <f>IF(一覧!AG56="","",一覧!AG56)</f>
        <v/>
      </c>
      <c r="AJ33" s="334" t="str">
        <f>IF(一覧!AH56="","",一覧!AH56)</f>
        <v/>
      </c>
    </row>
    <row r="34" spans="1:36" ht="14.5">
      <c r="A34" s="325" t="str">
        <f>一覧!AI57</f>
        <v>houdou</v>
      </c>
      <c r="B34" s="326" t="str">
        <f>一覧!AJ57</f>
        <v>b</v>
      </c>
      <c r="C34" s="327"/>
      <c r="D34" s="328" t="str">
        <f>一覧!B57</f>
        <v>加藤　裕視</v>
      </c>
      <c r="E34" s="326" t="str">
        <f>IF(一覧!C57="","",一覧!C57)</f>
        <v>NsubTD</v>
      </c>
      <c r="F34" s="326" t="str">
        <f>IF(一覧!D57="","",一覧!D57)</f>
        <v>TVU内覧</v>
      </c>
      <c r="G34" s="326" t="str">
        <f>IF(一覧!E57="","",一覧!E57)</f>
        <v>ミヤネ屋</v>
      </c>
      <c r="H34" s="326" t="str">
        <f>IF(一覧!F57="","",一覧!F57)</f>
        <v>　　　━</v>
      </c>
      <c r="I34" s="326" t="str">
        <f>IF(一覧!G57="","",一覧!G57)</f>
        <v>━　　　</v>
      </c>
      <c r="J34" s="326" t="str">
        <f>IF(一覧!H57="","",一覧!H57)</f>
        <v>★</v>
      </c>
      <c r="K34" s="326" t="str">
        <f>IF(一覧!I57="","",一覧!I57)</f>
        <v>★★</v>
      </c>
      <c r="L34" s="326" t="str">
        <f>IF(一覧!J57="","",一覧!J57)</f>
        <v>ten下見</v>
      </c>
      <c r="M34" s="326" t="str">
        <f>IF(一覧!K57="","",一覧!K57)</f>
        <v>ミヤネ屋</v>
      </c>
      <c r="N34" s="326" t="str">
        <f>IF(一覧!L57="","",一覧!L57)</f>
        <v>ＲＤ</v>
      </c>
      <c r="O34" s="326" t="str">
        <f>IF(一覧!M57="","",一覧!M57)</f>
        <v>ten中継</v>
      </c>
      <c r="P34" s="326" t="str">
        <f>IF(一覧!N57="","",一覧!N57)</f>
        <v>ｔｅｎ！</v>
      </c>
      <c r="Q34" s="326" t="str">
        <f>IF(一覧!O57="","",一覧!O57)</f>
        <v>★</v>
      </c>
      <c r="R34" s="326" t="str">
        <f>IF(一覧!P57="","",一覧!P57)</f>
        <v>★★</v>
      </c>
      <c r="S34" s="326" t="str">
        <f>IF(一覧!Q57="","",一覧!Q57)</f>
        <v>ｔｅｎ！</v>
      </c>
      <c r="T34" s="326" t="str">
        <f>IF(一覧!R57="","",一覧!R57)</f>
        <v>　　　━</v>
      </c>
      <c r="U34" s="326" t="str">
        <f>IF(一覧!S57="","",一覧!S57)</f>
        <v>━　　　</v>
      </c>
      <c r="V34" s="326" t="str">
        <f>IF(一覧!T57="","",一覧!T57)</f>
        <v>NsubTD</v>
      </c>
      <c r="W34" s="326" t="str">
        <f>IF(一覧!U57="","",一覧!U57)</f>
        <v>回線Ｇ</v>
      </c>
      <c r="X34" s="326" t="str">
        <f>IF(一覧!V57="","",一覧!V57)</f>
        <v>★</v>
      </c>
      <c r="Y34" s="326" t="str">
        <f>IF(一覧!W57="","",一覧!W57)</f>
        <v>★★</v>
      </c>
      <c r="Z34" s="326" t="str">
        <f>IF(一覧!X57="","",一覧!X57)</f>
        <v>ｔｅｎ！</v>
      </c>
      <c r="AA34" s="326" t="str">
        <f>IF(一覧!Y57="","",一覧!Y57)</f>
        <v>NsubTD</v>
      </c>
      <c r="AB34" s="326" t="str">
        <f>IF(一覧!Z57="","",一覧!Z57)</f>
        <v>　　　━</v>
      </c>
      <c r="AC34" s="326" t="str">
        <f>IF(一覧!AA57="","",一覧!AA57)</f>
        <v>━　　　</v>
      </c>
      <c r="AD34" s="326" t="str">
        <f>IF(一覧!AB57="","",一覧!AB57)</f>
        <v>委員会</v>
      </c>
      <c r="AE34" s="326" t="str">
        <f>IF(一覧!AC57="","",一覧!AC57)</f>
        <v>★★</v>
      </c>
      <c r="AF34" s="326" t="str">
        <f>IF(一覧!AD57="","",一覧!AD57)</f>
        <v>NsubTD</v>
      </c>
      <c r="AG34" s="326" t="str">
        <f>IF(一覧!AE57="","",一覧!AE57)</f>
        <v>じゅっと</v>
      </c>
      <c r="AH34" s="326" t="str">
        <f>IF(一覧!AF57="","",一覧!AF57)</f>
        <v>★</v>
      </c>
      <c r="AI34" s="326" t="str">
        <f>IF(一覧!AG57="","",一覧!AG57)</f>
        <v/>
      </c>
      <c r="AJ34" s="329" t="str">
        <f>IF(一覧!AH57="","",一覧!AH57)</f>
        <v>加藤</v>
      </c>
    </row>
    <row r="35" spans="1:36" ht="15" thickBot="1">
      <c r="A35" s="330" t="str">
        <f>一覧!AI57</f>
        <v>houdou</v>
      </c>
      <c r="B35" s="331" t="str">
        <f>一覧!AJ57</f>
        <v>b</v>
      </c>
      <c r="C35" s="332"/>
      <c r="D35" s="333"/>
      <c r="E35" s="331" t="str">
        <f>IF(一覧!C58="","",一覧!C58)</f>
        <v>局会</v>
      </c>
      <c r="F35" s="331" t="str">
        <f>IF(一覧!D58="","",一覧!D58)</f>
        <v/>
      </c>
      <c r="G35" s="331" t="str">
        <f>IF(一覧!E58="","",一覧!E58)</f>
        <v>ＴＤ</v>
      </c>
      <c r="H35" s="331" t="str">
        <f>IF(一覧!F58="","",一覧!F58)</f>
        <v/>
      </c>
      <c r="I35" s="331" t="str">
        <f>IF(一覧!G58="","",一覧!G58)</f>
        <v/>
      </c>
      <c r="J35" s="331" t="str">
        <f>IF(一覧!H58="","",一覧!H58)</f>
        <v>※</v>
      </c>
      <c r="K35" s="331" t="str">
        <f>IF(一覧!I58="","",一覧!I58)</f>
        <v/>
      </c>
      <c r="L35" s="331" t="str">
        <f>IF(一覧!J58="","",一覧!J58)</f>
        <v/>
      </c>
      <c r="M35" s="331" t="str">
        <f>IF(一覧!K58="","",一覧!K58)</f>
        <v>ＳＷ</v>
      </c>
      <c r="N35" s="331" t="str">
        <f>IF(一覧!L58="","",一覧!L58)</f>
        <v/>
      </c>
      <c r="O35" s="331" t="str">
        <f>IF(一覧!M58="","",一覧!M58)</f>
        <v>ＴＤ</v>
      </c>
      <c r="P35" s="331" t="str">
        <f>IF(一覧!N58="","",一覧!N58)</f>
        <v>ＴＤ</v>
      </c>
      <c r="Q35" s="331" t="str">
        <f>IF(一覧!O58="","",一覧!O58)</f>
        <v/>
      </c>
      <c r="R35" s="331" t="str">
        <f>IF(一覧!P58="","",一覧!P58)</f>
        <v/>
      </c>
      <c r="S35" s="331" t="str">
        <f>IF(一覧!Q58="","",一覧!Q58)</f>
        <v>ＴＤ</v>
      </c>
      <c r="T35" s="331" t="str">
        <f>IF(一覧!R58="","",一覧!R58)</f>
        <v/>
      </c>
      <c r="U35" s="331" t="str">
        <f>IF(一覧!S58="","",一覧!S58)</f>
        <v/>
      </c>
      <c r="V35" s="331" t="str">
        <f>IF(一覧!T58="","",一覧!T58)</f>
        <v/>
      </c>
      <c r="W35" s="331" t="str">
        <f>IF(一覧!U58="","",一覧!U58)</f>
        <v/>
      </c>
      <c r="X35" s="331" t="str">
        <f>IF(一覧!V58="","",一覧!V58)</f>
        <v/>
      </c>
      <c r="Y35" s="331" t="str">
        <f>IF(一覧!W58="","",一覧!W58)</f>
        <v>※</v>
      </c>
      <c r="Z35" s="331" t="str">
        <f>IF(一覧!X58="","",一覧!X58)</f>
        <v>NsubTD</v>
      </c>
      <c r="AA35" s="331" t="str">
        <f>IF(一覧!Y58="","",一覧!Y58)</f>
        <v/>
      </c>
      <c r="AB35" s="331" t="str">
        <f>IF(一覧!Z58="","",一覧!Z58)</f>
        <v/>
      </c>
      <c r="AC35" s="331" t="str">
        <f>IF(一覧!AA58="","",一覧!AA58)</f>
        <v/>
      </c>
      <c r="AD35" s="331" t="str">
        <f>IF(一覧!AB58="","",一覧!AB58)</f>
        <v>ＣＡＭ</v>
      </c>
      <c r="AE35" s="331" t="str">
        <f>IF(一覧!AC58="","",一覧!AC58)</f>
        <v>※</v>
      </c>
      <c r="AF35" s="331" t="str">
        <f>IF(一覧!AD58="","",一覧!AD58)</f>
        <v/>
      </c>
      <c r="AG35" s="331" t="str">
        <f>IF(一覧!AE58="","",一覧!AE58)</f>
        <v>ＴＤ</v>
      </c>
      <c r="AH35" s="331" t="str">
        <f>IF(一覧!AF58="","",一覧!AF58)</f>
        <v/>
      </c>
      <c r="AI35" s="331" t="str">
        <f>IF(一覧!AG58="","",一覧!AG58)</f>
        <v/>
      </c>
      <c r="AJ35" s="334" t="str">
        <f>IF(一覧!AH58="","",一覧!AH58)</f>
        <v/>
      </c>
    </row>
    <row r="36" spans="1:36" ht="14.5">
      <c r="A36" s="325" t="str">
        <f>一覧!AI59</f>
        <v>camera</v>
      </c>
      <c r="B36" s="326" t="str">
        <f>一覧!AJ59</f>
        <v>b</v>
      </c>
      <c r="C36" s="327"/>
      <c r="D36" s="328" t="str">
        <f>一覧!B59</f>
        <v>野口　忠繁</v>
      </c>
      <c r="E36" s="326" t="str">
        <f>IF(一覧!C59="","",一覧!C59)</f>
        <v>木ドラ</v>
      </c>
      <c r="F36" s="326" t="str">
        <f>IF(一覧!D59="","",一覧!D59)</f>
        <v>代休</v>
      </c>
      <c r="G36" s="326" t="str">
        <f>IF(一覧!E59="","",一覧!E59)</f>
        <v>代休</v>
      </c>
      <c r="H36" s="326" t="str">
        <f>IF(一覧!F59="","",一覧!F59)</f>
        <v/>
      </c>
      <c r="I36" s="326" t="str">
        <f>IF(一覧!G59="","",一覧!G59)</f>
        <v>じゅっと</v>
      </c>
      <c r="J36" s="326" t="str">
        <f>IF(一覧!H59="","",一覧!H59)</f>
        <v>★</v>
      </c>
      <c r="K36" s="326" t="str">
        <f>IF(一覧!I59="","",一覧!I59)</f>
        <v>★★</v>
      </c>
      <c r="L36" s="326" t="str">
        <f>IF(一覧!J59="","",一覧!J59)</f>
        <v>ミヤネ屋</v>
      </c>
      <c r="M36" s="326" t="str">
        <f>IF(一覧!K59="","",一覧!K59)</f>
        <v>ほんわか</v>
      </c>
      <c r="N36" s="326" t="str">
        <f>IF(一覧!L59="","",一覧!L59)</f>
        <v>声</v>
      </c>
      <c r="O36" s="326" t="str">
        <f>IF(一覧!M59="","",一覧!M59)</f>
        <v>じゅっと</v>
      </c>
      <c r="P36" s="326" t="str">
        <f>IF(一覧!N59="","",一覧!N59)</f>
        <v>委員会</v>
      </c>
      <c r="Q36" s="326" t="str">
        <f>IF(一覧!O59="","",一覧!O59)</f>
        <v>読響</v>
      </c>
      <c r="R36" s="326" t="str">
        <f>IF(一覧!P59="","",一覧!P59)</f>
        <v>★★</v>
      </c>
      <c r="S36" s="326" t="str">
        <f>IF(一覧!Q59="","",一覧!Q59)</f>
        <v>土ダメ</v>
      </c>
      <c r="T36" s="326" t="str">
        <f>IF(一覧!R59="","",一覧!R59)</f>
        <v>準備</v>
      </c>
      <c r="U36" s="326" t="str">
        <f>IF(一覧!S59="","",一覧!S59)</f>
        <v>読響</v>
      </c>
      <c r="V36" s="326" t="str">
        <f>IF(一覧!T59="","",一覧!T59)</f>
        <v>★</v>
      </c>
      <c r="W36" s="326" t="str">
        <f>IF(一覧!U59="","",一覧!U59)</f>
        <v>じゅっと</v>
      </c>
      <c r="X36" s="326" t="str">
        <f>IF(一覧!V59="","",一覧!V59)</f>
        <v>ジグザグ</v>
      </c>
      <c r="Y36" s="326" t="str">
        <f>IF(一覧!W59="","",一覧!W59)</f>
        <v>音道楽</v>
      </c>
      <c r="Z36" s="326" t="str">
        <f>IF(一覧!X59="","",一覧!X59)</f>
        <v>音道楽</v>
      </c>
      <c r="AA36" s="326" t="str">
        <f>IF(一覧!Y59="","",一覧!Y59)</f>
        <v>★★</v>
      </c>
      <c r="AB36" s="326" t="str">
        <f>IF(一覧!Z59="","",一覧!Z59)</f>
        <v>★</v>
      </c>
      <c r="AC36" s="326" t="str">
        <f>IF(一覧!AA59="","",一覧!AA59)</f>
        <v>人事配信</v>
      </c>
      <c r="AD36" s="326" t="str">
        <f>IF(一覧!AB59="","",一覧!AB59)</f>
        <v>委員会</v>
      </c>
      <c r="AE36" s="326" t="str">
        <f>IF(一覧!AC59="","",一覧!AC59)</f>
        <v>★</v>
      </c>
      <c r="AF36" s="326" t="str">
        <f>IF(一覧!AD59="","",一覧!AD59)</f>
        <v>★★</v>
      </c>
      <c r="AG36" s="326" t="str">
        <f>IF(一覧!AE59="","",一覧!AE59)</f>
        <v>X準備</v>
      </c>
      <c r="AH36" s="326" t="str">
        <f>IF(一覧!AF59="","",一覧!AF59)</f>
        <v>年休</v>
      </c>
      <c r="AI36" s="326" t="str">
        <f>IF(一覧!AG59="","",一覧!AG59)</f>
        <v/>
      </c>
      <c r="AJ36" s="329" t="str">
        <f>IF(一覧!AH59="","",一覧!AH59)</f>
        <v>野口</v>
      </c>
    </row>
    <row r="37" spans="1:36" ht="15" thickBot="1">
      <c r="A37" s="330" t="str">
        <f>一覧!AI59</f>
        <v>camera</v>
      </c>
      <c r="B37" s="331" t="str">
        <f>一覧!AJ59</f>
        <v>b</v>
      </c>
      <c r="C37" s="332"/>
      <c r="D37" s="333"/>
      <c r="E37" s="331" t="str">
        <f>IF(一覧!C60="","",一覧!C60)</f>
        <v/>
      </c>
      <c r="F37" s="331" t="str">
        <f>IF(一覧!D60="","",一覧!D60)</f>
        <v>5/30分</v>
      </c>
      <c r="G37" s="331" t="str">
        <f>IF(一覧!E60="","",一覧!E60)</f>
        <v>5/31分</v>
      </c>
      <c r="H37" s="331" t="str">
        <f>IF(一覧!F60="","",一覧!F60)</f>
        <v/>
      </c>
      <c r="I37" s="331" t="str">
        <f>IF(一覧!G60="","",一覧!G60)</f>
        <v>ＴＤ’</v>
      </c>
      <c r="J37" s="331" t="str">
        <f>IF(一覧!H60="","",一覧!H60)</f>
        <v/>
      </c>
      <c r="K37" s="331" t="str">
        <f>IF(一覧!I60="","",一覧!I60)</f>
        <v/>
      </c>
      <c r="L37" s="331" t="str">
        <f>IF(一覧!J60="","",一覧!J60)</f>
        <v>ＴＤ</v>
      </c>
      <c r="M37" s="331" t="str">
        <f>IF(一覧!K60="","",一覧!K60)</f>
        <v>ＣＡＭ</v>
      </c>
      <c r="N37" s="331" t="str">
        <f>IF(一覧!L60="","",一覧!L60)</f>
        <v>ＣＡＭ</v>
      </c>
      <c r="O37" s="331" t="str">
        <f>IF(一覧!M60="","",一覧!M60)</f>
        <v>ＴＤ’</v>
      </c>
      <c r="P37" s="331" t="str">
        <f>IF(一覧!N60="","",一覧!N60)</f>
        <v>ＴＤ.SW</v>
      </c>
      <c r="Q37" s="331" t="str">
        <f>IF(一覧!O60="","",一覧!O60)</f>
        <v>下見</v>
      </c>
      <c r="R37" s="331" t="str">
        <f>IF(一覧!P60="","",一覧!P60)</f>
        <v/>
      </c>
      <c r="S37" s="331" t="str">
        <f>IF(一覧!Q60="","",一覧!Q60)</f>
        <v>ＳＷ</v>
      </c>
      <c r="T37" s="331" t="str">
        <f>IF(一覧!R60="","",一覧!R60)</f>
        <v/>
      </c>
      <c r="U37" s="331" t="str">
        <f>IF(一覧!S60="","",一覧!S60)</f>
        <v>ＳＷ</v>
      </c>
      <c r="V37" s="331" t="str">
        <f>IF(一覧!T60="","",一覧!T60)</f>
        <v/>
      </c>
      <c r="W37" s="331" t="str">
        <f>IF(一覧!U60="","",一覧!U60)</f>
        <v>ＴＤ</v>
      </c>
      <c r="X37" s="331" t="str">
        <f>IF(一覧!V60="","",一覧!V60)</f>
        <v>ＳＷ</v>
      </c>
      <c r="Y37" s="331" t="str">
        <f>IF(一覧!W60="","",一覧!W60)</f>
        <v>ＳＷ</v>
      </c>
      <c r="Z37" s="331" t="str">
        <f>IF(一覧!X60="","",一覧!X60)</f>
        <v>ＳＷ</v>
      </c>
      <c r="AA37" s="331" t="str">
        <f>IF(一覧!Y60="","",一覧!Y60)</f>
        <v/>
      </c>
      <c r="AB37" s="331" t="str">
        <f>IF(一覧!Z60="","",一覧!Z60)</f>
        <v/>
      </c>
      <c r="AC37" s="331" t="str">
        <f>IF(一覧!AA60="","",一覧!AA60)</f>
        <v/>
      </c>
      <c r="AD37" s="331" t="str">
        <f>IF(一覧!AB60="","",一覧!AB60)</f>
        <v>ＴＤ.SW</v>
      </c>
      <c r="AE37" s="331" t="str">
        <f>IF(一覧!AC60="","",一覧!AC60)</f>
        <v/>
      </c>
      <c r="AF37" s="331" t="str">
        <f>IF(一覧!AD60="","",一覧!AD60)</f>
        <v/>
      </c>
      <c r="AG37" s="331" t="str">
        <f>IF(一覧!AE60="","",一覧!AE60)</f>
        <v/>
      </c>
      <c r="AH37" s="331" t="str">
        <f>IF(一覧!AF60="","",一覧!AF60)</f>
        <v>※</v>
      </c>
      <c r="AI37" s="331" t="str">
        <f>IF(一覧!AG60="","",一覧!AG60)</f>
        <v/>
      </c>
      <c r="AJ37" s="334" t="str">
        <f>IF(一覧!AH60="","",一覧!AH60)</f>
        <v/>
      </c>
    </row>
    <row r="38" spans="1:36" ht="14.5">
      <c r="A38" s="325" t="str">
        <f>一覧!AI63</f>
        <v>houdou</v>
      </c>
      <c r="B38" s="326" t="str">
        <f>一覧!AJ63</f>
        <v>b</v>
      </c>
      <c r="C38" s="327"/>
      <c r="D38" s="328" t="str">
        <f>一覧!B63</f>
        <v>正木　良</v>
      </c>
      <c r="E38" s="326" t="str">
        <f>IF(一覧!C63="","",一覧!C63)</f>
        <v>　　　━</v>
      </c>
      <c r="F38" s="326" t="str">
        <f>IF(一覧!D63="","",一覧!D63)</f>
        <v>━　　　</v>
      </c>
      <c r="G38" s="326" t="str">
        <f>IF(一覧!E63="","",一覧!E63)</f>
        <v>ｔｅｎ！</v>
      </c>
      <c r="H38" s="326" t="str">
        <f>IF(一覧!F63="","",一覧!F63)</f>
        <v>NsubTD</v>
      </c>
      <c r="I38" s="326" t="str">
        <f>IF(一覧!G63="","",一覧!G63)</f>
        <v>代休</v>
      </c>
      <c r="J38" s="326" t="str">
        <f>IF(一覧!H63="","",一覧!H63)</f>
        <v>　　　━</v>
      </c>
      <c r="K38" s="326" t="str">
        <f>IF(一覧!I63="","",一覧!I63)</f>
        <v>━　　　</v>
      </c>
      <c r="L38" s="326" t="str">
        <f>IF(一覧!J63="","",一覧!J63)</f>
        <v>★★</v>
      </c>
      <c r="M38" s="326" t="str">
        <f>IF(一覧!K63="","",一覧!K63)</f>
        <v>近総通</v>
      </c>
      <c r="N38" s="326" t="str">
        <f>IF(一覧!L63="","",一覧!L63)</f>
        <v>ｔｅｎ！</v>
      </c>
      <c r="O38" s="326" t="str">
        <f>IF(一覧!M63="","",一覧!M63)</f>
        <v>ｔｅｎ！</v>
      </c>
      <c r="P38" s="326" t="str">
        <f>IF(一覧!N63="","",一覧!N63)</f>
        <v>★</v>
      </c>
      <c r="Q38" s="326" t="str">
        <f>IF(一覧!O63="","",一覧!O63)</f>
        <v>読響</v>
      </c>
      <c r="R38" s="326" t="str">
        <f>IF(一覧!P63="","",一覧!P63)</f>
        <v>　　　━</v>
      </c>
      <c r="S38" s="326" t="str">
        <f>IF(一覧!Q63="","",一覧!Q63)</f>
        <v>━　　　</v>
      </c>
      <c r="T38" s="326" t="str">
        <f>IF(一覧!R63="","",一覧!R63)</f>
        <v>★★</v>
      </c>
      <c r="U38" s="326" t="str">
        <f>IF(一覧!S63="","",一覧!S63)</f>
        <v>読響</v>
      </c>
      <c r="V38" s="326" t="str">
        <f>IF(一覧!T63="","",一覧!T63)</f>
        <v>★</v>
      </c>
      <c r="W38" s="326" t="str">
        <f>IF(一覧!U63="","",一覧!U63)</f>
        <v>NsubTD</v>
      </c>
      <c r="X38" s="326" t="str">
        <f>IF(一覧!V63="","",一覧!V63)</f>
        <v>★</v>
      </c>
      <c r="Y38" s="326" t="str">
        <f>IF(一覧!W63="","",一覧!W63)</f>
        <v>★★</v>
      </c>
      <c r="Z38" s="326" t="str">
        <f>IF(一覧!X63="","",一覧!X63)</f>
        <v>ten下見</v>
      </c>
      <c r="AA38" s="326" t="str">
        <f>IF(一覧!Y63="","",一覧!Y63)</f>
        <v>ＲＤ</v>
      </c>
      <c r="AB38" s="326" t="str">
        <f>IF(一覧!Z63="","",一覧!Z63)</f>
        <v>年休</v>
      </c>
      <c r="AC38" s="326" t="str">
        <f>IF(一覧!AA63="","",一覧!AA63)</f>
        <v>ten中継</v>
      </c>
      <c r="AD38" s="326" t="str">
        <f>IF(一覧!AB63="","",一覧!AB63)</f>
        <v>ｔｅｎ！</v>
      </c>
      <c r="AE38" s="326" t="str">
        <f>IF(一覧!AC63="","",一覧!AC63)</f>
        <v>★</v>
      </c>
      <c r="AF38" s="326" t="str">
        <f>IF(一覧!AD63="","",一覧!AD63)</f>
        <v>★★</v>
      </c>
      <c r="AG38" s="326" t="str">
        <f>IF(一覧!AE63="","",一覧!AE63)</f>
        <v>ＲＤ</v>
      </c>
      <c r="AH38" s="326" t="str">
        <f>IF(一覧!AF63="","",一覧!AF63)</f>
        <v>ｔｅｎ！</v>
      </c>
      <c r="AI38" s="326" t="str">
        <f>IF(一覧!AG63="","",一覧!AG63)</f>
        <v/>
      </c>
      <c r="AJ38" s="329" t="str">
        <f>IF(一覧!AH63="","",一覧!AH63)</f>
        <v>正木</v>
      </c>
    </row>
    <row r="39" spans="1:36" ht="15" thickBot="1">
      <c r="A39" s="330" t="str">
        <f>一覧!AI63</f>
        <v>houdou</v>
      </c>
      <c r="B39" s="331" t="str">
        <f>一覧!AJ63</f>
        <v>b</v>
      </c>
      <c r="C39" s="332"/>
      <c r="D39" s="333"/>
      <c r="E39" s="331" t="str">
        <f>IF(一覧!C64="","",一覧!C64)</f>
        <v/>
      </c>
      <c r="F39" s="331" t="str">
        <f>IF(一覧!D64="","",一覧!D64)</f>
        <v>TVU内覧</v>
      </c>
      <c r="G39" s="331" t="str">
        <f>IF(一覧!E64="","",一覧!E64)</f>
        <v>ＴＤ</v>
      </c>
      <c r="H39" s="331" t="str">
        <f>IF(一覧!F64="","",一覧!F64)</f>
        <v/>
      </c>
      <c r="I39" s="331" t="str">
        <f>IF(一覧!G64="","",一覧!G64)</f>
        <v>5/31分</v>
      </c>
      <c r="J39" s="331" t="str">
        <f>IF(一覧!H64="","",一覧!H64)</f>
        <v/>
      </c>
      <c r="K39" s="331" t="str">
        <f>IF(一覧!I64="","",一覧!I64)</f>
        <v/>
      </c>
      <c r="L39" s="331" t="str">
        <f>IF(一覧!J64="","",一覧!J64)</f>
        <v/>
      </c>
      <c r="M39" s="331" t="str">
        <f>IF(一覧!K64="","",一覧!K64)</f>
        <v>現地視察</v>
      </c>
      <c r="N39" s="331" t="str">
        <f>IF(一覧!L64="","",一覧!L64)</f>
        <v>ＴＤ</v>
      </c>
      <c r="O39" s="331" t="str">
        <f>IF(一覧!M64="","",一覧!M64)</f>
        <v>ＴＤ</v>
      </c>
      <c r="P39" s="331" t="str">
        <f>IF(一覧!N64="","",一覧!N64)</f>
        <v/>
      </c>
      <c r="Q39" s="331" t="str">
        <f>IF(一覧!O64="","",一覧!O64)</f>
        <v>ﾘﾊｰｻﾙ</v>
      </c>
      <c r="R39" s="331" t="str">
        <f>IF(一覧!P64="","",一覧!P64)</f>
        <v/>
      </c>
      <c r="S39" s="331" t="str">
        <f>IF(一覧!Q64="","",一覧!Q64)</f>
        <v/>
      </c>
      <c r="T39" s="331" t="str">
        <f>IF(一覧!R64="","",一覧!R64)</f>
        <v/>
      </c>
      <c r="U39" s="331" t="str">
        <f>IF(一覧!S64="","",一覧!S64)</f>
        <v>ＴＤ</v>
      </c>
      <c r="V39" s="331" t="str">
        <f>IF(一覧!T64="","",一覧!T64)</f>
        <v/>
      </c>
      <c r="W39" s="331" t="str">
        <f>IF(一覧!U64="","",一覧!U64)</f>
        <v>回線Ｇ</v>
      </c>
      <c r="X39" s="331" t="str">
        <f>IF(一覧!V64="","",一覧!V64)</f>
        <v/>
      </c>
      <c r="Y39" s="331" t="str">
        <f>IF(一覧!W64="","",一覧!W64)</f>
        <v/>
      </c>
      <c r="Z39" s="331" t="str">
        <f>IF(一覧!X64="","",一覧!X64)</f>
        <v/>
      </c>
      <c r="AA39" s="331" t="str">
        <f>IF(一覧!Y64="","",一覧!Y64)</f>
        <v/>
      </c>
      <c r="AB39" s="331" t="str">
        <f>IF(一覧!Z64="","",一覧!Z64)</f>
        <v>※</v>
      </c>
      <c r="AC39" s="331" t="str">
        <f>IF(一覧!AA64="","",一覧!AA64)</f>
        <v>ＴＤ</v>
      </c>
      <c r="AD39" s="331" t="str">
        <f>IF(一覧!AB64="","",一覧!AB64)</f>
        <v>ＴＤ</v>
      </c>
      <c r="AE39" s="331" t="str">
        <f>IF(一覧!AC64="","",一覧!AC64)</f>
        <v/>
      </c>
      <c r="AF39" s="331" t="str">
        <f>IF(一覧!AD64="","",一覧!AD64)</f>
        <v/>
      </c>
      <c r="AG39" s="331" t="str">
        <f>IF(一覧!AE64="","",一覧!AE64)</f>
        <v/>
      </c>
      <c r="AH39" s="331" t="str">
        <f>IF(一覧!AF64="","",一覧!AF64)</f>
        <v>NsubTD</v>
      </c>
      <c r="AI39" s="331" t="str">
        <f>IF(一覧!AG64="","",一覧!AG64)</f>
        <v/>
      </c>
      <c r="AJ39" s="334" t="str">
        <f>IF(一覧!AH64="","",一覧!AH64)</f>
        <v/>
      </c>
    </row>
    <row r="40" spans="1:36" ht="14.5">
      <c r="A40" s="325" t="str">
        <f>一覧!AI65</f>
        <v>camera</v>
      </c>
      <c r="B40" s="326" t="str">
        <f>一覧!AJ65</f>
        <v>b</v>
      </c>
      <c r="C40" s="327"/>
      <c r="D40" s="328" t="str">
        <f>一覧!B65</f>
        <v>大矢　晃平</v>
      </c>
      <c r="E40" s="326" t="str">
        <f>IF(一覧!C65="","",一覧!C65)</f>
        <v>NTV応援</v>
      </c>
      <c r="F40" s="326" t="str">
        <f>IF(一覧!D65="","",一覧!D65)</f>
        <v>代休</v>
      </c>
      <c r="G40" s="326" t="str">
        <f>IF(一覧!E65="","",一覧!E65)</f>
        <v>うさかめ</v>
      </c>
      <c r="H40" s="326" t="str">
        <f>IF(一覧!F65="","",一覧!F65)</f>
        <v>ｔｅｎ！</v>
      </c>
      <c r="I40" s="326" t="str">
        <f>IF(一覧!G65="","",一覧!G65)</f>
        <v>吉田粗品</v>
      </c>
      <c r="J40" s="326" t="str">
        <f>IF(一覧!H65="","",一覧!H65)</f>
        <v>★</v>
      </c>
      <c r="K40" s="326" t="str">
        <f>IF(一覧!I65="","",一覧!I65)</f>
        <v>★★</v>
      </c>
      <c r="L40" s="326" t="str">
        <f>IF(一覧!J65="","",一覧!J65)</f>
        <v/>
      </c>
      <c r="M40" s="326" t="str">
        <f>IF(一覧!K65="","",一覧!K65)</f>
        <v>代休</v>
      </c>
      <c r="N40" s="326" t="str">
        <f>IF(一覧!L65="","",一覧!L65)</f>
        <v>音道楽</v>
      </c>
      <c r="O40" s="326" t="str">
        <f>IF(一覧!M65="","",一覧!M65)</f>
        <v>音道楽</v>
      </c>
      <c r="P40" s="326" t="str">
        <f>IF(一覧!N65="","",一覧!N65)</f>
        <v/>
      </c>
      <c r="Q40" s="326" t="str">
        <f>IF(一覧!O65="","",一覧!O65)</f>
        <v>★</v>
      </c>
      <c r="R40" s="326" t="str">
        <f>IF(一覧!P65="","",一覧!P65)</f>
        <v>★★</v>
      </c>
      <c r="S40" s="326" t="str">
        <f>IF(一覧!Q65="","",一覧!Q65)</f>
        <v>ten中継</v>
      </c>
      <c r="T40" s="326" t="str">
        <f>IF(一覧!R65="","",一覧!R65)</f>
        <v/>
      </c>
      <c r="U40" s="326" t="str">
        <f>IF(一覧!S65="","",一覧!S65)</f>
        <v>読響</v>
      </c>
      <c r="V40" s="326" t="str">
        <f>IF(一覧!T65="","",一覧!T65)</f>
        <v>ten中継</v>
      </c>
      <c r="W40" s="326" t="str">
        <f>IF(一覧!U65="","",一覧!U65)</f>
        <v>ｶﾒﾗG会</v>
      </c>
      <c r="X40" s="326" t="str">
        <f>IF(一覧!V65="","",一覧!V65)</f>
        <v>★★</v>
      </c>
      <c r="Y40" s="326" t="str">
        <f>IF(一覧!W65="","",一覧!W65)</f>
        <v>音道楽</v>
      </c>
      <c r="Z40" s="326" t="str">
        <f>IF(一覧!X65="","",一覧!X65)</f>
        <v>音道楽</v>
      </c>
      <c r="AA40" s="326" t="str">
        <f>IF(一覧!Y65="","",一覧!Y65)</f>
        <v>★</v>
      </c>
      <c r="AB40" s="326" t="str">
        <f>IF(一覧!Z65="","",一覧!Z65)</f>
        <v/>
      </c>
      <c r="AC40" s="326" t="str">
        <f>IF(一覧!AA65="","",一覧!AA65)</f>
        <v>人事配信</v>
      </c>
      <c r="AD40" s="326" t="str">
        <f>IF(一覧!AB65="","",一覧!AB65)</f>
        <v>委員会</v>
      </c>
      <c r="AE40" s="326" t="str">
        <f>IF(一覧!AC65="","",一覧!AC65)</f>
        <v>MUSICDAY</v>
      </c>
      <c r="AF40" s="326" t="str">
        <f>IF(一覧!AD65="","",一覧!AD65)</f>
        <v>★★</v>
      </c>
      <c r="AG40" s="326" t="str">
        <f>IF(一覧!AE65="","",一覧!AE65)</f>
        <v>★</v>
      </c>
      <c r="AH40" s="326" t="str">
        <f>IF(一覧!AF65="","",一覧!AF65)</f>
        <v>MUSICDAY</v>
      </c>
      <c r="AI40" s="326" t="str">
        <f>IF(一覧!AG65="","",一覧!AG65)</f>
        <v/>
      </c>
      <c r="AJ40" s="329" t="str">
        <f>IF(一覧!AH65="","",一覧!AH65)</f>
        <v>大矢</v>
      </c>
    </row>
    <row r="41" spans="1:36" ht="15" thickBot="1">
      <c r="A41" s="330" t="str">
        <f>一覧!AI65</f>
        <v>camera</v>
      </c>
      <c r="B41" s="331" t="str">
        <f>一覧!AJ65</f>
        <v>b</v>
      </c>
      <c r="C41" s="332"/>
      <c r="D41" s="333"/>
      <c r="E41" s="331" t="str">
        <f>IF(一覧!C66="","",一覧!C66)</f>
        <v>サッカー</v>
      </c>
      <c r="F41" s="331" t="str">
        <f>IF(一覧!D66="","",一覧!D66)</f>
        <v>5/3分</v>
      </c>
      <c r="G41" s="331" t="str">
        <f>IF(一覧!E66="","",一覧!E66)</f>
        <v>ＴＤ.SW</v>
      </c>
      <c r="H41" s="331" t="str">
        <f>IF(一覧!F66="","",一覧!F66)</f>
        <v>ＳＷ’</v>
      </c>
      <c r="I41" s="331" t="str">
        <f>IF(一覧!G66="","",一覧!G66)</f>
        <v>ＣＡＭ</v>
      </c>
      <c r="J41" s="331" t="str">
        <f>IF(一覧!H66="","",一覧!H66)</f>
        <v/>
      </c>
      <c r="K41" s="331" t="str">
        <f>IF(一覧!I66="","",一覧!I66)</f>
        <v/>
      </c>
      <c r="L41" s="331" t="str">
        <f>IF(一覧!J66="","",一覧!J66)</f>
        <v/>
      </c>
      <c r="M41" s="331" t="str">
        <f>IF(一覧!K66="","",一覧!K66)</f>
        <v>5/31分</v>
      </c>
      <c r="N41" s="331" t="str">
        <f>IF(一覧!L66="","",一覧!L66)</f>
        <v>準備</v>
      </c>
      <c r="O41" s="331" t="str">
        <f>IF(一覧!M66="","",一覧!M66)</f>
        <v>ＴＤ.SW</v>
      </c>
      <c r="P41" s="331" t="str">
        <f>IF(一覧!N66="","",一覧!N66)</f>
        <v/>
      </c>
      <c r="Q41" s="331" t="str">
        <f>IF(一覧!O66="","",一覧!O66)</f>
        <v>※</v>
      </c>
      <c r="R41" s="331" t="str">
        <f>IF(一覧!P66="","",一覧!P66)</f>
        <v/>
      </c>
      <c r="S41" s="331" t="str">
        <f>IF(一覧!Q66="","",一覧!Q66)</f>
        <v>下見</v>
      </c>
      <c r="T41" s="331" t="str">
        <f>IF(一覧!R66="","",一覧!R66)</f>
        <v/>
      </c>
      <c r="U41" s="331" t="str">
        <f>IF(一覧!S66="","",一覧!S66)</f>
        <v>ＣＡＭ</v>
      </c>
      <c r="V41" s="331" t="str">
        <f>IF(一覧!T66="","",一覧!T66)</f>
        <v>ＴＤ</v>
      </c>
      <c r="W41" s="331" t="str">
        <f>IF(一覧!U66="","",一覧!U66)</f>
        <v/>
      </c>
      <c r="X41" s="331" t="str">
        <f>IF(一覧!V66="","",一覧!V66)</f>
        <v/>
      </c>
      <c r="Y41" s="331" t="str">
        <f>IF(一覧!W66="","",一覧!W66)</f>
        <v>ＣＡＭ</v>
      </c>
      <c r="Z41" s="331" t="str">
        <f>IF(一覧!X66="","",一覧!X66)</f>
        <v>ＣＡＭ</v>
      </c>
      <c r="AA41" s="331" t="str">
        <f>IF(一覧!Y66="","",一覧!Y66)</f>
        <v/>
      </c>
      <c r="AB41" s="331" t="str">
        <f>IF(一覧!Z66="","",一覧!Z66)</f>
        <v/>
      </c>
      <c r="AC41" s="331" t="str">
        <f>IF(一覧!AA66="","",一覧!AA66)</f>
        <v/>
      </c>
      <c r="AD41" s="331" t="str">
        <f>IF(一覧!AB66="","",一覧!AB66)</f>
        <v>ＣＡＭ</v>
      </c>
      <c r="AE41" s="331" t="str">
        <f>IF(一覧!AC66="","",一覧!AC66)</f>
        <v>打合せ</v>
      </c>
      <c r="AF41" s="331" t="str">
        <f>IF(一覧!AD66="","",一覧!AD66)</f>
        <v/>
      </c>
      <c r="AG41" s="331" t="str">
        <f>IF(一覧!AE66="","",一覧!AE66)</f>
        <v/>
      </c>
      <c r="AH41" s="331" t="str">
        <f>IF(一覧!AF66="","",一覧!AF66)</f>
        <v/>
      </c>
      <c r="AI41" s="331" t="str">
        <f>IF(一覧!AG66="","",一覧!AG66)</f>
        <v/>
      </c>
      <c r="AJ41" s="334" t="str">
        <f>IF(一覧!AH66="","",一覧!AH66)</f>
        <v/>
      </c>
    </row>
    <row r="42" spans="1:36" ht="14.5">
      <c r="A42" s="325" t="str">
        <f>一覧!AI67</f>
        <v>onsei</v>
      </c>
      <c r="B42" s="326" t="str">
        <f>一覧!AJ67</f>
        <v>b</v>
      </c>
      <c r="C42" s="327"/>
      <c r="D42" s="328" t="str">
        <f>一覧!B67</f>
        <v>池永　裕一</v>
      </c>
      <c r="E42" s="326" t="str">
        <f>IF(一覧!C67="","",一覧!C67)</f>
        <v/>
      </c>
      <c r="F42" s="326" t="str">
        <f>IF(一覧!D67="","",一覧!D67)</f>
        <v>PT研修</v>
      </c>
      <c r="G42" s="326" t="str">
        <f>IF(一覧!E67="","",一覧!E67)</f>
        <v>機材整備</v>
      </c>
      <c r="H42" s="326" t="str">
        <f>IF(一覧!F67="","",一覧!F67)</f>
        <v>ｔｅｎ！</v>
      </c>
      <c r="I42" s="326" t="str">
        <f>IF(一覧!G67="","",一覧!G67)</f>
        <v>ミヤネ屋</v>
      </c>
      <c r="J42" s="326" t="str">
        <f>IF(一覧!H67="","",一覧!H67)</f>
        <v>★</v>
      </c>
      <c r="K42" s="326" t="str">
        <f>IF(一覧!I67="","",一覧!I67)</f>
        <v>★★</v>
      </c>
      <c r="L42" s="326" t="str">
        <f>IF(一覧!J67="","",一覧!J67)</f>
        <v>年休</v>
      </c>
      <c r="M42" s="326" t="str">
        <f>IF(一覧!K67="","",一覧!K67)</f>
        <v>ほんわか</v>
      </c>
      <c r="N42" s="326" t="str">
        <f>IF(一覧!L67="","",一覧!L67)</f>
        <v>機材整備</v>
      </c>
      <c r="O42" s="326" t="str">
        <f>IF(一覧!M67="","",一覧!M67)</f>
        <v>音道楽</v>
      </c>
      <c r="P42" s="326" t="str">
        <f>IF(一覧!N67="","",一覧!N67)</f>
        <v>委員会</v>
      </c>
      <c r="Q42" s="326" t="str">
        <f>IF(一覧!O67="","",一覧!O67)</f>
        <v>読響</v>
      </c>
      <c r="R42" s="326" t="str">
        <f>IF(一覧!P67="","",一覧!P67)</f>
        <v>★★</v>
      </c>
      <c r="S42" s="326" t="str">
        <f>IF(一覧!Q67="","",一覧!Q67)</f>
        <v>ミヤネ屋</v>
      </c>
      <c r="T42" s="326" t="str">
        <f>IF(一覧!R67="","",一覧!R67)</f>
        <v>準備</v>
      </c>
      <c r="U42" s="326" t="str">
        <f>IF(一覧!S67="","",一覧!S67)</f>
        <v>読響</v>
      </c>
      <c r="V42" s="326" t="str">
        <f>IF(一覧!T67="","",一覧!T67)</f>
        <v>★</v>
      </c>
      <c r="W42" s="326" t="str">
        <f>IF(一覧!U67="","",一覧!U67)</f>
        <v>音道楽</v>
      </c>
      <c r="X42" s="326" t="str">
        <f>IF(一覧!V67="","",一覧!V67)</f>
        <v>★★</v>
      </c>
      <c r="Y42" s="326" t="str">
        <f>IF(一覧!W67="","",一覧!W67)</f>
        <v>準備</v>
      </c>
      <c r="Z42" s="326" t="str">
        <f>IF(一覧!X67="","",一覧!X67)</f>
        <v>音道楽</v>
      </c>
      <c r="AA42" s="326" t="str">
        <f>IF(一覧!Y67="","",一覧!Y67)</f>
        <v>ほんわか</v>
      </c>
      <c r="AB42" s="326" t="str">
        <f>IF(一覧!Z67="","",一覧!Z67)</f>
        <v>音声G会</v>
      </c>
      <c r="AC42" s="326" t="str">
        <f>IF(一覧!AA67="","",一覧!AA67)</f>
        <v>X準備</v>
      </c>
      <c r="AD42" s="326" t="str">
        <f>IF(一覧!AB67="","",一覧!AB67)</f>
        <v>★</v>
      </c>
      <c r="AE42" s="326" t="str">
        <f>IF(一覧!AC67="","",一覧!AC67)</f>
        <v>★</v>
      </c>
      <c r="AF42" s="326" t="str">
        <f>IF(一覧!AD67="","",一覧!AD67)</f>
        <v>★★</v>
      </c>
      <c r="AG42" s="326" t="str">
        <f>IF(一覧!AE67="","",一覧!AE67)</f>
        <v>X準備</v>
      </c>
      <c r="AH42" s="326" t="str">
        <f>IF(一覧!AF67="","",一覧!AF67)</f>
        <v>X準備</v>
      </c>
      <c r="AI42" s="326" t="str">
        <f>IF(一覧!AG67="","",一覧!AG67)</f>
        <v/>
      </c>
      <c r="AJ42" s="329" t="str">
        <f>IF(一覧!AH67="","",一覧!AH67)</f>
        <v>池永</v>
      </c>
    </row>
    <row r="43" spans="1:36" ht="15" thickBot="1">
      <c r="A43" s="330" t="str">
        <f>一覧!AI67</f>
        <v>onsei</v>
      </c>
      <c r="B43" s="331" t="str">
        <f>一覧!AJ67</f>
        <v>b</v>
      </c>
      <c r="C43" s="332"/>
      <c r="D43" s="333"/>
      <c r="E43" s="331" t="str">
        <f>IF(一覧!C68="","",一覧!C68)</f>
        <v>局会</v>
      </c>
      <c r="F43" s="331" t="str">
        <f>IF(一覧!D68="","",一覧!D68)</f>
        <v/>
      </c>
      <c r="G43" s="331" t="str">
        <f>IF(一覧!E68="","",一覧!E68)</f>
        <v/>
      </c>
      <c r="H43" s="331" t="str">
        <f>IF(一覧!F68="","",一覧!F68)</f>
        <v>ＭＩＸ</v>
      </c>
      <c r="I43" s="331" t="str">
        <f>IF(一覧!G68="","",一覧!G68)</f>
        <v>ＭＩＸ</v>
      </c>
      <c r="J43" s="331" t="str">
        <f>IF(一覧!H68="","",一覧!H68)</f>
        <v/>
      </c>
      <c r="K43" s="331" t="str">
        <f>IF(一覧!I68="","",一覧!I68)</f>
        <v/>
      </c>
      <c r="L43" s="331" t="str">
        <f>IF(一覧!J68="","",一覧!J68)</f>
        <v/>
      </c>
      <c r="M43" s="331" t="str">
        <f>IF(一覧!K68="","",一覧!K68)</f>
        <v>ＴＤ</v>
      </c>
      <c r="N43" s="331" t="str">
        <f>IF(一覧!L68="","",一覧!L68)</f>
        <v/>
      </c>
      <c r="O43" s="331" t="str">
        <f>IF(一覧!M68="","",一覧!M68)</f>
        <v>収録</v>
      </c>
      <c r="P43" s="331" t="str">
        <f>IF(一覧!N68="","",一覧!N68)</f>
        <v>ＭＩＸ</v>
      </c>
      <c r="Q43" s="331" t="str">
        <f>IF(一覧!O68="","",一覧!O68)</f>
        <v>下見</v>
      </c>
      <c r="R43" s="331" t="str">
        <f>IF(一覧!P68="","",一覧!P68)</f>
        <v/>
      </c>
      <c r="S43" s="331" t="str">
        <f>IF(一覧!Q68="","",一覧!Q68)</f>
        <v>ＭＩＸ</v>
      </c>
      <c r="T43" s="331" t="str">
        <f>IF(一覧!R68="","",一覧!R68)</f>
        <v/>
      </c>
      <c r="U43" s="331" t="str">
        <f>IF(一覧!S68="","",一覧!S68)</f>
        <v>ＭＩＸ</v>
      </c>
      <c r="V43" s="331" t="str">
        <f>IF(一覧!T68="","",一覧!T68)</f>
        <v/>
      </c>
      <c r="W43" s="331" t="str">
        <f>IF(一覧!U68="","",一覧!U68)</f>
        <v>準備</v>
      </c>
      <c r="X43" s="331" t="str">
        <f>IF(一覧!V68="","",一覧!V68)</f>
        <v/>
      </c>
      <c r="Y43" s="331" t="str">
        <f>IF(一覧!W68="","",一覧!W68)</f>
        <v/>
      </c>
      <c r="Z43" s="331" t="str">
        <f>IF(一覧!X68="","",一覧!X68)</f>
        <v>ＭＩＸ2</v>
      </c>
      <c r="AA43" s="331" t="str">
        <f>IF(一覧!Y68="","",一覧!Y68)</f>
        <v>ＴＤ.MIX</v>
      </c>
      <c r="AB43" s="331" t="str">
        <f>IF(一覧!Z68="","",一覧!Z68)</f>
        <v>MA更新会</v>
      </c>
      <c r="AC43" s="331" t="str">
        <f>IF(一覧!AA68="","",一覧!AA68)</f>
        <v/>
      </c>
      <c r="AD43" s="331" t="str">
        <f>IF(一覧!AB68="","",一覧!AB68)</f>
        <v/>
      </c>
      <c r="AE43" s="331" t="str">
        <f>IF(一覧!AC68="","",一覧!AC68)</f>
        <v/>
      </c>
      <c r="AF43" s="331" t="str">
        <f>IF(一覧!AD68="","",一覧!AD68)</f>
        <v/>
      </c>
      <c r="AG43" s="331" t="str">
        <f>IF(一覧!AE68="","",一覧!AE68)</f>
        <v/>
      </c>
      <c r="AH43" s="331" t="str">
        <f>IF(一覧!AF68="","",一覧!AF68)</f>
        <v/>
      </c>
      <c r="AI43" s="331" t="str">
        <f>IF(一覧!AG68="","",一覧!AG68)</f>
        <v/>
      </c>
      <c r="AJ43" s="334" t="str">
        <f>IF(一覧!AH68="","",一覧!AH68)</f>
        <v/>
      </c>
    </row>
    <row r="44" spans="1:36" ht="14.5">
      <c r="A44" s="325" t="str">
        <f>一覧!AI69</f>
        <v>VE</v>
      </c>
      <c r="B44" s="326" t="str">
        <f>一覧!AJ69</f>
        <v>b</v>
      </c>
      <c r="C44" s="327"/>
      <c r="D44" s="328" t="str">
        <f>一覧!B69</f>
        <v>古門　優弥</v>
      </c>
      <c r="E44" s="326" t="str">
        <f>IF(一覧!C69="","",一覧!C69)</f>
        <v>木ドラ</v>
      </c>
      <c r="F44" s="326" t="str">
        <f>IF(一覧!D69="","",一覧!D69)</f>
        <v>代休</v>
      </c>
      <c r="G44" s="326" t="str">
        <f>IF(一覧!E69="","",一覧!E69)</f>
        <v>代休</v>
      </c>
      <c r="H44" s="326" t="str">
        <f>IF(一覧!F69="","",一覧!F69)</f>
        <v>ｔｅｎ！</v>
      </c>
      <c r="I44" s="326" t="str">
        <f>IF(一覧!G69="","",一覧!G69)</f>
        <v>ミヤネ屋</v>
      </c>
      <c r="J44" s="326" t="str">
        <f>IF(一覧!H69="","",一覧!H69)</f>
        <v>★</v>
      </c>
      <c r="K44" s="326" t="str">
        <f>IF(一覧!I69="","",一覧!I69)</f>
        <v>★★</v>
      </c>
      <c r="L44" s="326" t="str">
        <f>IF(一覧!J69="","",一覧!J69)</f>
        <v>年休</v>
      </c>
      <c r="M44" s="326" t="str">
        <f>IF(一覧!K69="","",一覧!K69)</f>
        <v>Interop</v>
      </c>
      <c r="N44" s="326" t="str">
        <f>IF(一覧!L69="","",一覧!L69)</f>
        <v>Interop</v>
      </c>
      <c r="O44" s="326" t="str">
        <f>IF(一覧!M69="","",一覧!M69)</f>
        <v>Interop</v>
      </c>
      <c r="P44" s="326" t="str">
        <f>IF(一覧!N69="","",一覧!N69)</f>
        <v>X準備</v>
      </c>
      <c r="Q44" s="326" t="str">
        <f>IF(一覧!O69="","",一覧!O69)</f>
        <v>★</v>
      </c>
      <c r="R44" s="326" t="str">
        <f>IF(一覧!P69="","",一覧!P69)</f>
        <v>★★</v>
      </c>
      <c r="S44" s="326" t="str">
        <f>IF(一覧!Q69="","",一覧!Q69)</f>
        <v>土ダメ</v>
      </c>
      <c r="T44" s="326" t="str">
        <f>IF(一覧!R69="","",一覧!R69)</f>
        <v>X準備</v>
      </c>
      <c r="U44" s="326" t="str">
        <f>IF(一覧!S69="","",一覧!S69)</f>
        <v>じゅっと</v>
      </c>
      <c r="V44" s="326" t="str">
        <f>IF(一覧!T69="","",一覧!T69)</f>
        <v>X準備</v>
      </c>
      <c r="W44" s="326" t="str">
        <f>IF(一覧!U69="","",一覧!U69)</f>
        <v>音道楽</v>
      </c>
      <c r="X44" s="326" t="str">
        <f>IF(一覧!V69="","",一覧!V69)</f>
        <v>★★</v>
      </c>
      <c r="Y44" s="326" t="str">
        <f>IF(一覧!W69="","",一覧!W69)</f>
        <v>音道楽</v>
      </c>
      <c r="Z44" s="326" t="str">
        <f>IF(一覧!X69="","",一覧!X69)</f>
        <v>音道楽</v>
      </c>
      <c r="AA44" s="326" t="str">
        <f>IF(一覧!Y69="","",一覧!Y69)</f>
        <v>★</v>
      </c>
      <c r="AB44" s="326" t="str">
        <f>IF(一覧!Z69="","",一覧!Z69)</f>
        <v>VEG会議</v>
      </c>
      <c r="AC44" s="326" t="str">
        <f>IF(一覧!AA69="","",一覧!AA69)</f>
        <v>X準備</v>
      </c>
      <c r="AD44" s="326" t="str">
        <f>IF(一覧!AB69="","",一覧!AB69)</f>
        <v>委員会</v>
      </c>
      <c r="AE44" s="326" t="str">
        <f>IF(一覧!AC69="","",一覧!AC69)</f>
        <v>★</v>
      </c>
      <c r="AF44" s="326" t="str">
        <f>IF(一覧!AD69="","",一覧!AD69)</f>
        <v>★★</v>
      </c>
      <c r="AG44" s="326" t="str">
        <f>IF(一覧!AE69="","",一覧!AE69)</f>
        <v>X準備</v>
      </c>
      <c r="AH44" s="326" t="str">
        <f>IF(一覧!AF69="","",一覧!AF69)</f>
        <v>X準備</v>
      </c>
      <c r="AI44" s="326" t="str">
        <f>IF(一覧!AG69="","",一覧!AG69)</f>
        <v/>
      </c>
      <c r="AJ44" s="329" t="str">
        <f>IF(一覧!AH69="","",一覧!AH69)</f>
        <v>古門</v>
      </c>
    </row>
    <row r="45" spans="1:36" ht="15" thickBot="1">
      <c r="A45" s="330" t="str">
        <f>一覧!AI69</f>
        <v>VE</v>
      </c>
      <c r="B45" s="331" t="str">
        <f>一覧!AJ69</f>
        <v>b</v>
      </c>
      <c r="C45" s="332"/>
      <c r="D45" s="333"/>
      <c r="E45" s="331" t="str">
        <f>IF(一覧!C70="","",一覧!C70)</f>
        <v>ＶＥ</v>
      </c>
      <c r="F45" s="331" t="str">
        <f>IF(一覧!D70="","",一覧!D70)</f>
        <v>5/30分</v>
      </c>
      <c r="G45" s="331" t="str">
        <f>IF(一覧!E70="","",一覧!E70)</f>
        <v>5/31分</v>
      </c>
      <c r="H45" s="331" t="str">
        <f>IF(一覧!F70="","",一覧!F70)</f>
        <v>ＶＥ</v>
      </c>
      <c r="I45" s="331" t="str">
        <f>IF(一覧!G70="","",一覧!G70)</f>
        <v>ＶＥ</v>
      </c>
      <c r="J45" s="331" t="str">
        <f>IF(一覧!H70="","",一覧!H70)</f>
        <v/>
      </c>
      <c r="K45" s="331" t="str">
        <f>IF(一覧!I70="","",一覧!I70)</f>
        <v/>
      </c>
      <c r="L45" s="331" t="str">
        <f>IF(一覧!J70="","",一覧!J70)</f>
        <v>※</v>
      </c>
      <c r="M45" s="331" t="str">
        <f>IF(一覧!K70="","",一覧!K70)</f>
        <v>準備</v>
      </c>
      <c r="N45" s="331" t="str">
        <f>IF(一覧!L70="","",一覧!L70)</f>
        <v/>
      </c>
      <c r="O45" s="331" t="str">
        <f>IF(一覧!M70="","",一覧!M70)</f>
        <v/>
      </c>
      <c r="P45" s="331" t="str">
        <f>IF(一覧!N70="","",一覧!N70)</f>
        <v/>
      </c>
      <c r="Q45" s="331" t="str">
        <f>IF(一覧!O70="","",一覧!O70)</f>
        <v/>
      </c>
      <c r="R45" s="331" t="str">
        <f>IF(一覧!P70="","",一覧!P70)</f>
        <v/>
      </c>
      <c r="S45" s="331" t="str">
        <f>IF(一覧!Q70="","",一覧!Q70)</f>
        <v>ＶＥ</v>
      </c>
      <c r="T45" s="331" t="str">
        <f>IF(一覧!R70="","",一覧!R70)</f>
        <v/>
      </c>
      <c r="U45" s="331" t="str">
        <f>IF(一覧!S70="","",一覧!S70)</f>
        <v>ＶＥ</v>
      </c>
      <c r="V45" s="331" t="str">
        <f>IF(一覧!T70="","",一覧!T70)</f>
        <v/>
      </c>
      <c r="W45" s="331" t="str">
        <f>IF(一覧!U70="","",一覧!U70)</f>
        <v>準備</v>
      </c>
      <c r="X45" s="331" t="str">
        <f>IF(一覧!V70="","",一覧!V70)</f>
        <v/>
      </c>
      <c r="Y45" s="331" t="str">
        <f>IF(一覧!W70="","",一覧!W70)</f>
        <v>準備</v>
      </c>
      <c r="Z45" s="331" t="str">
        <f>IF(一覧!X70="","",一覧!X70)</f>
        <v>ＶＥ</v>
      </c>
      <c r="AA45" s="331" t="str">
        <f>IF(一覧!Y70="","",一覧!Y70)</f>
        <v/>
      </c>
      <c r="AB45" s="331" t="str">
        <f>IF(一覧!Z70="","",一覧!Z70)</f>
        <v/>
      </c>
      <c r="AC45" s="331" t="str">
        <f>IF(一覧!AA70="","",一覧!AA70)</f>
        <v/>
      </c>
      <c r="AD45" s="331" t="str">
        <f>IF(一覧!AB70="","",一覧!AB70)</f>
        <v>ＶＥ</v>
      </c>
      <c r="AE45" s="331" t="str">
        <f>IF(一覧!AC70="","",一覧!AC70)</f>
        <v/>
      </c>
      <c r="AF45" s="331" t="str">
        <f>IF(一覧!AD70="","",一覧!AD70)</f>
        <v/>
      </c>
      <c r="AG45" s="331" t="str">
        <f>IF(一覧!AE70="","",一覧!AE70)</f>
        <v/>
      </c>
      <c r="AH45" s="331" t="str">
        <f>IF(一覧!AF70="","",一覧!AF70)</f>
        <v/>
      </c>
      <c r="AI45" s="331" t="str">
        <f>IF(一覧!AG70="","",一覧!AG70)</f>
        <v/>
      </c>
      <c r="AJ45" s="334" t="str">
        <f>IF(一覧!AH70="","",一覧!AH70)</f>
        <v/>
      </c>
    </row>
    <row r="46" spans="1:36" ht="14.5">
      <c r="A46" s="325" t="str">
        <f>一覧!AI71</f>
        <v>onsei</v>
      </c>
      <c r="B46" s="326" t="str">
        <f>一覧!AJ71</f>
        <v>b</v>
      </c>
      <c r="C46" s="327"/>
      <c r="D46" s="328" t="str">
        <f>一覧!B71</f>
        <v>酒井　宏樹</v>
      </c>
      <c r="E46" s="326" t="str">
        <f>IF(一覧!C71="","",一覧!C71)</f>
        <v>下見</v>
      </c>
      <c r="F46" s="326" t="str">
        <f>IF(一覧!D71="","",一覧!D71)</f>
        <v>PT研修</v>
      </c>
      <c r="G46" s="326" t="str">
        <f>IF(一覧!E71="","",一覧!E71)</f>
        <v>準備</v>
      </c>
      <c r="H46" s="326" t="str">
        <f>IF(一覧!F71="","",一覧!F71)</f>
        <v>ten中継</v>
      </c>
      <c r="I46" s="326" t="str">
        <f>IF(一覧!G71="","",一覧!G71)</f>
        <v>ミヤネ屋</v>
      </c>
      <c r="J46" s="326" t="str">
        <f>IF(一覧!H71="","",一覧!H71)</f>
        <v>★</v>
      </c>
      <c r="K46" s="326" t="str">
        <f>IF(一覧!I71="","",一覧!I71)</f>
        <v>★★</v>
      </c>
      <c r="L46" s="326" t="str">
        <f>IF(一覧!J71="","",一覧!J71)</f>
        <v>年休</v>
      </c>
      <c r="M46" s="326" t="str">
        <f>IF(一覧!K71="","",一覧!K71)</f>
        <v>ミヤネ屋</v>
      </c>
      <c r="N46" s="326" t="str">
        <f>IF(一覧!L71="","",一覧!L71)</f>
        <v>ｔｅｎ！</v>
      </c>
      <c r="O46" s="326" t="str">
        <f>IF(一覧!M71="","",一覧!M71)</f>
        <v>音道楽</v>
      </c>
      <c r="P46" s="326" t="str">
        <f>IF(一覧!N71="","",一覧!N71)</f>
        <v>ミヤネ屋</v>
      </c>
      <c r="Q46" s="326" t="str">
        <f>IF(一覧!O71="","",一覧!O71)</f>
        <v>ジグザグ</v>
      </c>
      <c r="R46" s="326" t="str">
        <f>IF(一覧!P71="","",一覧!P71)</f>
        <v>★★</v>
      </c>
      <c r="S46" s="326" t="str">
        <f>IF(一覧!Q71="","",一覧!Q71)</f>
        <v>★</v>
      </c>
      <c r="T46" s="326" t="str">
        <f>IF(一覧!R71="","",一覧!R71)</f>
        <v>準備</v>
      </c>
      <c r="U46" s="326" t="str">
        <f>IF(一覧!S71="","",一覧!S71)</f>
        <v>読響</v>
      </c>
      <c r="V46" s="326" t="str">
        <f>IF(一覧!T71="","",一覧!T71)</f>
        <v>年休</v>
      </c>
      <c r="W46" s="326" t="str">
        <f>IF(一覧!U71="","",一覧!U71)</f>
        <v>音道楽</v>
      </c>
      <c r="X46" s="326" t="str">
        <f>IF(一覧!V71="","",一覧!V71)</f>
        <v>★★</v>
      </c>
      <c r="Y46" s="326" t="str">
        <f>IF(一覧!W71="","",一覧!W71)</f>
        <v>準備</v>
      </c>
      <c r="Z46" s="326" t="str">
        <f>IF(一覧!X71="","",一覧!X71)</f>
        <v>音道楽</v>
      </c>
      <c r="AA46" s="326" t="str">
        <f>IF(一覧!Y71="","",一覧!Y71)</f>
        <v>★</v>
      </c>
      <c r="AB46" s="326" t="str">
        <f>IF(一覧!Z71="","",一覧!Z71)</f>
        <v>音声G会</v>
      </c>
      <c r="AC46" s="326" t="str">
        <f>IF(一覧!AA71="","",一覧!AA71)</f>
        <v>人事配信</v>
      </c>
      <c r="AD46" s="326" t="str">
        <f>IF(一覧!AB71="","",一覧!AB71)</f>
        <v>委員会</v>
      </c>
      <c r="AE46" s="326" t="str">
        <f>IF(一覧!AC71="","",一覧!AC71)</f>
        <v>★</v>
      </c>
      <c r="AF46" s="326" t="str">
        <f>IF(一覧!AD71="","",一覧!AD71)</f>
        <v>★★</v>
      </c>
      <c r="AG46" s="326" t="str">
        <f>IF(一覧!AE71="","",一覧!AE71)</f>
        <v>MUSICDAY</v>
      </c>
      <c r="AH46" s="326" t="str">
        <f>IF(一覧!AF71="","",一覧!AF71)</f>
        <v>MUSICDAY</v>
      </c>
      <c r="AI46" s="326" t="str">
        <f>IF(一覧!AG71="","",一覧!AG71)</f>
        <v/>
      </c>
      <c r="AJ46" s="329" t="str">
        <f>IF(一覧!AH71="","",一覧!AH71)</f>
        <v>酒井</v>
      </c>
    </row>
    <row r="47" spans="1:36" ht="15" thickBot="1">
      <c r="A47" s="330" t="str">
        <f>一覧!AI71</f>
        <v>onsei</v>
      </c>
      <c r="B47" s="331" t="str">
        <f>一覧!AJ71</f>
        <v>b</v>
      </c>
      <c r="C47" s="332"/>
      <c r="D47" s="333"/>
      <c r="E47" s="331" t="str">
        <f>IF(一覧!C72="","",一覧!C72)</f>
        <v/>
      </c>
      <c r="F47" s="331" t="str">
        <f>IF(一覧!D72="","",一覧!D72)</f>
        <v/>
      </c>
      <c r="G47" s="331" t="str">
        <f>IF(一覧!E72="","",一覧!E72)</f>
        <v/>
      </c>
      <c r="H47" s="331" t="str">
        <f>IF(一覧!F72="","",一覧!F72)</f>
        <v>ＭＩＸ</v>
      </c>
      <c r="I47" s="331" t="str">
        <f>IF(一覧!G72="","",一覧!G72)</f>
        <v>ＡＡ</v>
      </c>
      <c r="J47" s="331" t="str">
        <f>IF(一覧!H72="","",一覧!H72)</f>
        <v/>
      </c>
      <c r="K47" s="331" t="str">
        <f>IF(一覧!I72="","",一覧!I72)</f>
        <v/>
      </c>
      <c r="L47" s="331" t="str">
        <f>IF(一覧!J72="","",一覧!J72)</f>
        <v/>
      </c>
      <c r="M47" s="331" t="str">
        <f>IF(一覧!K72="","",一覧!K72)</f>
        <v>ＭＩＸ</v>
      </c>
      <c r="N47" s="331" t="str">
        <f>IF(一覧!L72="","",一覧!L72)</f>
        <v>ＭＩＸ</v>
      </c>
      <c r="O47" s="331" t="str">
        <f>IF(一覧!M72="","",一覧!M72)</f>
        <v>収録</v>
      </c>
      <c r="P47" s="331" t="str">
        <f>IF(一覧!N72="","",一覧!N72)</f>
        <v>ＭＩＸ</v>
      </c>
      <c r="Q47" s="331" t="str">
        <f>IF(一覧!O72="","",一覧!O72)</f>
        <v>ＭＩＸ</v>
      </c>
      <c r="R47" s="331" t="str">
        <f>IF(一覧!P72="","",一覧!P72)</f>
        <v/>
      </c>
      <c r="S47" s="331" t="str">
        <f>IF(一覧!Q72="","",一覧!Q72)</f>
        <v/>
      </c>
      <c r="T47" s="331" t="str">
        <f>IF(一覧!R72="","",一覧!R72)</f>
        <v/>
      </c>
      <c r="U47" s="331" t="str">
        <f>IF(一覧!S72="","",一覧!S72)</f>
        <v>ＭＩＸ’</v>
      </c>
      <c r="V47" s="331" t="str">
        <f>IF(一覧!T72="","",一覧!T72)</f>
        <v/>
      </c>
      <c r="W47" s="331" t="str">
        <f>IF(一覧!U72="","",一覧!U72)</f>
        <v>準備</v>
      </c>
      <c r="X47" s="331" t="str">
        <f>IF(一覧!V72="","",一覧!V72)</f>
        <v/>
      </c>
      <c r="Y47" s="331" t="str">
        <f>IF(一覧!W72="","",一覧!W72)</f>
        <v/>
      </c>
      <c r="Z47" s="331" t="str">
        <f>IF(一覧!X72="","",一覧!X72)</f>
        <v>ＭＩＸ</v>
      </c>
      <c r="AA47" s="331" t="str">
        <f>IF(一覧!Y72="","",一覧!Y72)</f>
        <v/>
      </c>
      <c r="AB47" s="331" t="str">
        <f>IF(一覧!Z72="","",一覧!Z72)</f>
        <v>MA更新会</v>
      </c>
      <c r="AC47" s="331" t="str">
        <f>IF(一覧!AA72="","",一覧!AA72)</f>
        <v>ＴＤ</v>
      </c>
      <c r="AD47" s="331" t="str">
        <f>IF(一覧!AB72="","",一覧!AB72)</f>
        <v>ＭＩＸ</v>
      </c>
      <c r="AE47" s="331" t="str">
        <f>IF(一覧!AC72="","",一覧!AC72)</f>
        <v/>
      </c>
      <c r="AF47" s="331" t="str">
        <f>IF(一覧!AD72="","",一覧!AD72)</f>
        <v/>
      </c>
      <c r="AG47" s="331" t="str">
        <f>IF(一覧!AE72="","",一覧!AE72)</f>
        <v/>
      </c>
      <c r="AH47" s="331" t="str">
        <f>IF(一覧!AF72="","",一覧!AF72)</f>
        <v/>
      </c>
      <c r="AI47" s="331" t="str">
        <f>IF(一覧!AG72="","",一覧!AG72)</f>
        <v/>
      </c>
      <c r="AJ47" s="334" t="str">
        <f>IF(一覧!AH72="","",一覧!AH72)</f>
        <v/>
      </c>
    </row>
    <row r="48" spans="1:36" ht="14.5">
      <c r="A48" s="325" t="str">
        <f>一覧!AI73</f>
        <v>shoumei</v>
      </c>
      <c r="B48" s="326" t="str">
        <f>一覧!AJ73</f>
        <v>b</v>
      </c>
      <c r="C48" s="327"/>
      <c r="D48" s="328" t="str">
        <f>一覧!B73</f>
        <v>鷲津繁比古</v>
      </c>
      <c r="E48" s="326" t="str">
        <f>IF(一覧!C73="","",一覧!C73)</f>
        <v>じゅっと</v>
      </c>
      <c r="F48" s="326" t="str">
        <f>IF(一覧!D73="","",一覧!D73)</f>
        <v>ミヤネ屋</v>
      </c>
      <c r="G48" s="326" t="str">
        <f>IF(一覧!E73="","",一覧!E73)</f>
        <v>ミヤネ屋</v>
      </c>
      <c r="H48" s="326" t="str">
        <f>IF(一覧!F73="","",一覧!F73)</f>
        <v>年休</v>
      </c>
      <c r="I48" s="326" t="str">
        <f>IF(一覧!G73="","",一覧!G73)</f>
        <v>代休</v>
      </c>
      <c r="J48" s="326" t="str">
        <f>IF(一覧!H73="","",一覧!H73)</f>
        <v>★</v>
      </c>
      <c r="K48" s="326" t="str">
        <f>IF(一覧!I73="","",一覧!I73)</f>
        <v>★★</v>
      </c>
      <c r="L48" s="326" t="str">
        <f>IF(一覧!J73="","",一覧!J73)</f>
        <v>年休</v>
      </c>
      <c r="M48" s="326" t="str">
        <f>IF(一覧!K73="","",一覧!K73)</f>
        <v>ほんわか</v>
      </c>
      <c r="N48" s="326" t="str">
        <f>IF(一覧!L73="","",一覧!L73)</f>
        <v>ミヤネ屋</v>
      </c>
      <c r="O48" s="326" t="str">
        <f>IF(一覧!M73="","",一覧!M73)</f>
        <v>音道楽</v>
      </c>
      <c r="P48" s="326" t="str">
        <f>IF(一覧!N73="","",一覧!N73)</f>
        <v/>
      </c>
      <c r="Q48" s="326" t="str">
        <f>IF(一覧!O73="","",一覧!O73)</f>
        <v/>
      </c>
      <c r="R48" s="326" t="str">
        <f>IF(一覧!P73="","",一覧!P73)</f>
        <v>★★</v>
      </c>
      <c r="S48" s="326" t="str">
        <f>IF(一覧!Q73="","",一覧!Q73)</f>
        <v>じゅっと</v>
      </c>
      <c r="T48" s="326" t="str">
        <f>IF(一覧!R73="","",一覧!R73)</f>
        <v/>
      </c>
      <c r="U48" s="326" t="str">
        <f>IF(一覧!S73="","",一覧!S73)</f>
        <v>うさかめ</v>
      </c>
      <c r="V48" s="326" t="str">
        <f>IF(一覧!T73="","",一覧!T73)</f>
        <v>★</v>
      </c>
      <c r="W48" s="326" t="str">
        <f>IF(一覧!U73="","",一覧!U73)</f>
        <v/>
      </c>
      <c r="X48" s="326" t="str">
        <f>IF(一覧!V73="","",一覧!V73)</f>
        <v>音道楽</v>
      </c>
      <c r="Y48" s="326" t="str">
        <f>IF(一覧!W73="","",一覧!W73)</f>
        <v>音道楽</v>
      </c>
      <c r="Z48" s="326" t="str">
        <f>IF(一覧!X73="","",一覧!X73)</f>
        <v>音道楽</v>
      </c>
      <c r="AA48" s="326" t="str">
        <f>IF(一覧!Y73="","",一覧!Y73)</f>
        <v>ほんわか</v>
      </c>
      <c r="AB48" s="326" t="str">
        <f>IF(一覧!Z73="","",一覧!Z73)</f>
        <v>★</v>
      </c>
      <c r="AC48" s="326" t="str">
        <f>IF(一覧!AA73="","",一覧!AA73)</f>
        <v>★★</v>
      </c>
      <c r="AD48" s="326" t="str">
        <f>IF(一覧!AB73="","",一覧!AB73)</f>
        <v>ミヤネ屋</v>
      </c>
      <c r="AE48" s="326" t="str">
        <f>IF(一覧!AC73="","",一覧!AC73)</f>
        <v>クギズケ</v>
      </c>
      <c r="AF48" s="326" t="str">
        <f>IF(一覧!AD73="","",一覧!AD73)</f>
        <v>★★</v>
      </c>
      <c r="AG48" s="326" t="str">
        <f>IF(一覧!AE73="","",一覧!AE73)</f>
        <v>じゅっと</v>
      </c>
      <c r="AH48" s="326" t="str">
        <f>IF(一覧!AF73="","",一覧!AF73)</f>
        <v>★</v>
      </c>
      <c r="AI48" s="326" t="str">
        <f>IF(一覧!AG73="","",一覧!AG73)</f>
        <v/>
      </c>
      <c r="AJ48" s="329" t="str">
        <f>IF(一覧!AH73="","",一覧!AH73)</f>
        <v>鷲津</v>
      </c>
    </row>
    <row r="49" spans="1:36" ht="15" thickBot="1">
      <c r="A49" s="330" t="str">
        <f>一覧!AI73</f>
        <v>shoumei</v>
      </c>
      <c r="B49" s="331" t="str">
        <f>一覧!AJ73</f>
        <v>b</v>
      </c>
      <c r="C49" s="332"/>
      <c r="D49" s="333"/>
      <c r="E49" s="331" t="str">
        <f>IF(一覧!C74="","",一覧!C74)</f>
        <v>ＬＤ</v>
      </c>
      <c r="F49" s="331" t="str">
        <f>IF(一覧!D74="","",一覧!D74)</f>
        <v>ＬＤ</v>
      </c>
      <c r="G49" s="331" t="str">
        <f>IF(一覧!E74="","",一覧!E74)</f>
        <v>ＬＤ</v>
      </c>
      <c r="H49" s="331" t="str">
        <f>IF(一覧!F74="","",一覧!F74)</f>
        <v/>
      </c>
      <c r="I49" s="331" t="str">
        <f>IF(一覧!G74="","",一覧!G74)</f>
        <v>5/30分</v>
      </c>
      <c r="J49" s="331" t="str">
        <f>IF(一覧!H74="","",一覧!H74)</f>
        <v>※</v>
      </c>
      <c r="K49" s="331" t="str">
        <f>IF(一覧!I74="","",一覧!I74)</f>
        <v>※</v>
      </c>
      <c r="L49" s="331" t="str">
        <f>IF(一覧!J74="","",一覧!J74)</f>
        <v>※</v>
      </c>
      <c r="M49" s="331" t="str">
        <f>IF(一覧!K74="","",一覧!K74)</f>
        <v>ＬＤ</v>
      </c>
      <c r="N49" s="331" t="str">
        <f>IF(一覧!L74="","",一覧!L74)</f>
        <v>ＬＤ</v>
      </c>
      <c r="O49" s="331" t="str">
        <f>IF(一覧!M74="","",一覧!M74)</f>
        <v>LD'</v>
      </c>
      <c r="P49" s="331" t="str">
        <f>IF(一覧!N74="","",一覧!N74)</f>
        <v>協会</v>
      </c>
      <c r="Q49" s="331" t="str">
        <f>IF(一覧!O74="","",一覧!O74)</f>
        <v>協会</v>
      </c>
      <c r="R49" s="331" t="str">
        <f>IF(一覧!P74="","",一覧!P74)</f>
        <v/>
      </c>
      <c r="S49" s="331" t="str">
        <f>IF(一覧!Q74="","",一覧!Q74)</f>
        <v>ＬＤ</v>
      </c>
      <c r="T49" s="331" t="str">
        <f>IF(一覧!R74="","",一覧!R74)</f>
        <v/>
      </c>
      <c r="U49" s="331" t="str">
        <f>IF(一覧!S74="","",一覧!S74)</f>
        <v>ＬＤ</v>
      </c>
      <c r="V49" s="331" t="str">
        <f>IF(一覧!T74="","",一覧!T74)</f>
        <v/>
      </c>
      <c r="W49" s="331" t="str">
        <f>IF(一覧!U74="","",一覧!U74)</f>
        <v/>
      </c>
      <c r="X49" s="331" t="str">
        <f>IF(一覧!V74="","",一覧!V74)</f>
        <v>ＬＤ</v>
      </c>
      <c r="Y49" s="331" t="str">
        <f>IF(一覧!W74="","",一覧!W74)</f>
        <v>ＬＤ</v>
      </c>
      <c r="Z49" s="331" t="str">
        <f>IF(一覧!X74="","",一覧!X74)</f>
        <v>ＬＤ</v>
      </c>
      <c r="AA49" s="331" t="str">
        <f>IF(一覧!Y74="","",一覧!Y74)</f>
        <v>ＬＤ</v>
      </c>
      <c r="AB49" s="331" t="str">
        <f>IF(一覧!Z74="","",一覧!Z74)</f>
        <v/>
      </c>
      <c r="AC49" s="331" t="str">
        <f>IF(一覧!AA74="","",一覧!AA74)</f>
        <v/>
      </c>
      <c r="AD49" s="331" t="str">
        <f>IF(一覧!AB74="","",一覧!AB74)</f>
        <v>ＬＤ</v>
      </c>
      <c r="AE49" s="331" t="str">
        <f>IF(一覧!AC74="","",一覧!AC74)</f>
        <v>ＴＤ.LD</v>
      </c>
      <c r="AF49" s="331" t="str">
        <f>IF(一覧!AD74="","",一覧!AD74)</f>
        <v/>
      </c>
      <c r="AG49" s="331" t="str">
        <f>IF(一覧!AE74="","",一覧!AE74)</f>
        <v>ＬＤ</v>
      </c>
      <c r="AH49" s="331" t="str">
        <f>IF(一覧!AF74="","",一覧!AF74)</f>
        <v/>
      </c>
      <c r="AI49" s="331" t="str">
        <f>IF(一覧!AG74="","",一覧!AG74)</f>
        <v/>
      </c>
      <c r="AJ49" s="334" t="str">
        <f>IF(一覧!AH74="","",一覧!AH74)</f>
        <v/>
      </c>
    </row>
    <row r="50" spans="1:36" ht="14.5">
      <c r="A50" s="325" t="str">
        <f>一覧!AI75</f>
        <v>camera</v>
      </c>
      <c r="B50" s="326" t="str">
        <f>一覧!AJ75</f>
        <v>b</v>
      </c>
      <c r="C50" s="327"/>
      <c r="D50" s="328" t="str">
        <f>一覧!B75</f>
        <v>出口　雅樹</v>
      </c>
      <c r="E50" s="326" t="str">
        <f>IF(一覧!C75="","",一覧!C75)</f>
        <v>NTV応援</v>
      </c>
      <c r="F50" s="326" t="str">
        <f>IF(一覧!D75="","",一覧!D75)</f>
        <v>ミヤネ屋</v>
      </c>
      <c r="G50" s="326" t="str">
        <f>IF(一覧!E75="","",一覧!E75)</f>
        <v>うさかめ</v>
      </c>
      <c r="H50" s="326" t="str">
        <f>IF(一覧!F75="","",一覧!F75)</f>
        <v/>
      </c>
      <c r="I50" s="326" t="str">
        <f>IF(一覧!G75="","",一覧!G75)</f>
        <v>吉田粗品</v>
      </c>
      <c r="J50" s="326" t="str">
        <f>IF(一覧!H75="","",一覧!H75)</f>
        <v>★★</v>
      </c>
      <c r="K50" s="326" t="str">
        <f>IF(一覧!I75="","",一覧!I75)</f>
        <v>地球便</v>
      </c>
      <c r="L50" s="326" t="str">
        <f>IF(一覧!J75="","",一覧!J75)</f>
        <v>★</v>
      </c>
      <c r="M50" s="326" t="str">
        <f>IF(一覧!K75="","",一覧!K75)</f>
        <v>ほんわか</v>
      </c>
      <c r="N50" s="326" t="str">
        <f>IF(一覧!L75="","",一覧!L75)</f>
        <v>声</v>
      </c>
      <c r="O50" s="326" t="str">
        <f>IF(一覧!M75="","",一覧!M75)</f>
        <v>音道楽</v>
      </c>
      <c r="P50" s="326" t="str">
        <f>IF(一覧!N75="","",一覧!N75)</f>
        <v>委員会</v>
      </c>
      <c r="Q50" s="326" t="str">
        <f>IF(一覧!O75="","",一覧!O75)</f>
        <v>★</v>
      </c>
      <c r="R50" s="326" t="str">
        <f>IF(一覧!P75="","",一覧!P75)</f>
        <v>★★</v>
      </c>
      <c r="S50" s="326" t="str">
        <f>IF(一覧!Q75="","",一覧!Q75)</f>
        <v>しんご芽</v>
      </c>
      <c r="T50" s="326" t="str">
        <f>IF(一覧!R75="","",一覧!R75)</f>
        <v>しんご芽</v>
      </c>
      <c r="U50" s="326" t="str">
        <f>IF(一覧!S75="","",一覧!S75)</f>
        <v>読響</v>
      </c>
      <c r="V50" s="326" t="str">
        <f>IF(一覧!T75="","",一覧!T75)</f>
        <v>吉田粗品</v>
      </c>
      <c r="W50" s="326" t="str">
        <f>IF(一覧!U75="","",一覧!U75)</f>
        <v>ｶﾒﾗG会</v>
      </c>
      <c r="X50" s="326" t="str">
        <f>IF(一覧!V75="","",一覧!V75)</f>
        <v>ジグザグ</v>
      </c>
      <c r="Y50" s="326" t="str">
        <f>IF(一覧!W75="","",一覧!W75)</f>
        <v>音道楽</v>
      </c>
      <c r="Z50" s="326" t="str">
        <f>IF(一覧!X75="","",一覧!X75)</f>
        <v>音道楽</v>
      </c>
      <c r="AA50" s="326" t="str">
        <f>IF(一覧!Y75="","",一覧!Y75)</f>
        <v>★★</v>
      </c>
      <c r="AB50" s="326" t="str">
        <f>IF(一覧!Z75="","",一覧!Z75)</f>
        <v>★</v>
      </c>
      <c r="AC50" s="326" t="str">
        <f>IF(一覧!AA75="","",一覧!AA75)</f>
        <v>代休</v>
      </c>
      <c r="AD50" s="326" t="str">
        <f>IF(一覧!AB75="","",一覧!AB75)</f>
        <v>代休</v>
      </c>
      <c r="AE50" s="326" t="str">
        <f>IF(一覧!AC75="","",一覧!AC75)</f>
        <v>★★</v>
      </c>
      <c r="AF50" s="326" t="str">
        <f>IF(一覧!AD75="","",一覧!AD75)</f>
        <v>地球便</v>
      </c>
      <c r="AG50" s="326" t="str">
        <f>IF(一覧!AE75="","",一覧!AE75)</f>
        <v>X準備</v>
      </c>
      <c r="AH50" s="326" t="str">
        <f>IF(一覧!AF75="","",一覧!AF75)</f>
        <v>★</v>
      </c>
      <c r="AI50" s="326" t="str">
        <f>IF(一覧!AG75="","",一覧!AG75)</f>
        <v/>
      </c>
      <c r="AJ50" s="329" t="str">
        <f>IF(一覧!AH75="","",一覧!AH75)</f>
        <v>出口</v>
      </c>
    </row>
    <row r="51" spans="1:36" ht="15" thickBot="1">
      <c r="A51" s="330" t="str">
        <f>一覧!AI75</f>
        <v>camera</v>
      </c>
      <c r="B51" s="331" t="str">
        <f>一覧!AJ75</f>
        <v>b</v>
      </c>
      <c r="C51" s="332"/>
      <c r="D51" s="333"/>
      <c r="E51" s="331" t="str">
        <f>IF(一覧!C76="","",一覧!C76)</f>
        <v>サッカー</v>
      </c>
      <c r="F51" s="331" t="str">
        <f>IF(一覧!D76="","",一覧!D76)</f>
        <v>ＣＡＭ</v>
      </c>
      <c r="G51" s="331" t="str">
        <f>IF(一覧!E76="","",一覧!E76)</f>
        <v>ＣＡＭ</v>
      </c>
      <c r="H51" s="331" t="str">
        <f>IF(一覧!F76="","",一覧!F76)</f>
        <v/>
      </c>
      <c r="I51" s="331" t="str">
        <f>IF(一覧!G76="","",一覧!G76)</f>
        <v>ＳＷ</v>
      </c>
      <c r="J51" s="331" t="str">
        <f>IF(一覧!H76="","",一覧!H76)</f>
        <v/>
      </c>
      <c r="K51" s="331" t="str">
        <f>IF(一覧!I76="","",一覧!I76)</f>
        <v>ＣＡＭ</v>
      </c>
      <c r="L51" s="331" t="str">
        <f>IF(一覧!J76="","",一覧!J76)</f>
        <v/>
      </c>
      <c r="M51" s="331" t="str">
        <f>IF(一覧!K76="","",一覧!K76)</f>
        <v>ＳＷ</v>
      </c>
      <c r="N51" s="331" t="str">
        <f>IF(一覧!L76="","",一覧!L76)</f>
        <v>ＳＷ</v>
      </c>
      <c r="O51" s="331" t="str">
        <f>IF(一覧!M76="","",一覧!M76)</f>
        <v>ＣＡＭ</v>
      </c>
      <c r="P51" s="331" t="str">
        <f>IF(一覧!N76="","",一覧!N76)</f>
        <v>ＣＡＭ</v>
      </c>
      <c r="Q51" s="331" t="str">
        <f>IF(一覧!O76="","",一覧!O76)</f>
        <v/>
      </c>
      <c r="R51" s="331" t="str">
        <f>IF(一覧!P76="","",一覧!P76)</f>
        <v/>
      </c>
      <c r="S51" s="331" t="str">
        <f>IF(一覧!Q76="","",一覧!Q76)</f>
        <v>ＴＤ.CAM</v>
      </c>
      <c r="T51" s="331" t="str">
        <f>IF(一覧!R76="","",一覧!R76)</f>
        <v>ＴＤ.CAM</v>
      </c>
      <c r="U51" s="331" t="str">
        <f>IF(一覧!S76="","",一覧!S76)</f>
        <v>ＣＡＭ</v>
      </c>
      <c r="V51" s="331" t="str">
        <f>IF(一覧!T76="","",一覧!T76)</f>
        <v>ＣＡＭ</v>
      </c>
      <c r="W51" s="331" t="str">
        <f>IF(一覧!U76="","",一覧!U76)</f>
        <v/>
      </c>
      <c r="X51" s="331" t="str">
        <f>IF(一覧!V76="","",一覧!V76)</f>
        <v>ＣＡＭ</v>
      </c>
      <c r="Y51" s="331" t="str">
        <f>IF(一覧!W76="","",一覧!W76)</f>
        <v>ＣＡＭ</v>
      </c>
      <c r="Z51" s="331" t="str">
        <f>IF(一覧!X76="","",一覧!X76)</f>
        <v>ＣＡＭ</v>
      </c>
      <c r="AA51" s="331" t="str">
        <f>IF(一覧!Y76="","",一覧!Y76)</f>
        <v>※</v>
      </c>
      <c r="AB51" s="331" t="str">
        <f>IF(一覧!Z76="","",一覧!Z76)</f>
        <v>※</v>
      </c>
      <c r="AC51" s="331" t="str">
        <f>IF(一覧!AA76="","",一覧!AA76)</f>
        <v>※ 5/30</v>
      </c>
      <c r="AD51" s="331" t="str">
        <f>IF(一覧!AB76="","",一覧!AB76)</f>
        <v>※ 5/31</v>
      </c>
      <c r="AE51" s="331" t="str">
        <f>IF(一覧!AC76="","",一覧!AC76)</f>
        <v/>
      </c>
      <c r="AF51" s="331" t="str">
        <f>IF(一覧!AD76="","",一覧!AD76)</f>
        <v>ＣＡＭ</v>
      </c>
      <c r="AG51" s="331" t="str">
        <f>IF(一覧!AE76="","",一覧!AE76)</f>
        <v/>
      </c>
      <c r="AH51" s="331" t="str">
        <f>IF(一覧!AF76="","",一覧!AF76)</f>
        <v>※</v>
      </c>
      <c r="AI51" s="331" t="str">
        <f>IF(一覧!AG76="","",一覧!AG76)</f>
        <v/>
      </c>
      <c r="AJ51" s="334" t="str">
        <f>IF(一覧!AH76="","",一覧!AH76)</f>
        <v/>
      </c>
    </row>
    <row r="52" spans="1:36" ht="14.5">
      <c r="A52" s="325" t="str">
        <f>一覧!AI77</f>
        <v>camera</v>
      </c>
      <c r="B52" s="326" t="str">
        <f>一覧!AJ77</f>
        <v>b</v>
      </c>
      <c r="C52" s="327"/>
      <c r="D52" s="328" t="str">
        <f>一覧!B77</f>
        <v>橋本　樹</v>
      </c>
      <c r="E52" s="326" t="str">
        <f>IF(一覧!C77="","",一覧!C77)</f>
        <v>局会</v>
      </c>
      <c r="F52" s="326" t="str">
        <f>IF(一覧!D77="","",一覧!D77)</f>
        <v>ミヤネ屋</v>
      </c>
      <c r="G52" s="326" t="str">
        <f>IF(一覧!E77="","",一覧!E77)</f>
        <v>代休</v>
      </c>
      <c r="H52" s="326" t="str">
        <f>IF(一覧!F77="","",一覧!F77)</f>
        <v>ｔｅｎ！</v>
      </c>
      <c r="I52" s="326" t="str">
        <f>IF(一覧!G77="","",一覧!G77)</f>
        <v>番審</v>
      </c>
      <c r="J52" s="326" t="str">
        <f>IF(一覧!H77="","",一覧!H77)</f>
        <v>★★</v>
      </c>
      <c r="K52" s="326" t="str">
        <f>IF(一覧!I77="","",一覧!I77)</f>
        <v>地球便</v>
      </c>
      <c r="L52" s="326" t="str">
        <f>IF(一覧!J77="","",一覧!J77)</f>
        <v>★</v>
      </c>
      <c r="M52" s="326" t="str">
        <f>IF(一覧!K77="","",一覧!K77)</f>
        <v>ミヤネ屋</v>
      </c>
      <c r="N52" s="326" t="str">
        <f>IF(一覧!L77="","",一覧!L77)</f>
        <v>一陸特</v>
      </c>
      <c r="O52" s="326" t="str">
        <f>IF(一覧!M77="","",一覧!M77)</f>
        <v>音道楽</v>
      </c>
      <c r="P52" s="326" t="str">
        <f>IF(一覧!N77="","",一覧!N77)</f>
        <v>委員会</v>
      </c>
      <c r="Q52" s="326" t="str">
        <f>IF(一覧!O77="","",一覧!O77)</f>
        <v>★</v>
      </c>
      <c r="R52" s="326" t="str">
        <f>IF(一覧!P77="","",一覧!P77)</f>
        <v>★★</v>
      </c>
      <c r="S52" s="326" t="str">
        <f>IF(一覧!Q77="","",一覧!Q77)</f>
        <v/>
      </c>
      <c r="T52" s="326" t="str">
        <f>IF(一覧!R77="","",一覧!R77)</f>
        <v>ミヤネ屋</v>
      </c>
      <c r="U52" s="326" t="str">
        <f>IF(一覧!S77="","",一覧!S77)</f>
        <v>読響</v>
      </c>
      <c r="V52" s="326" t="str">
        <f>IF(一覧!T77="","",一覧!T77)</f>
        <v>吉田粗品</v>
      </c>
      <c r="W52" s="326" t="str">
        <f>IF(一覧!U77="","",一覧!U77)</f>
        <v>ｶﾒﾗG会</v>
      </c>
      <c r="X52" s="326" t="str">
        <f>IF(一覧!V77="","",一覧!V77)</f>
        <v>★★</v>
      </c>
      <c r="Y52" s="326" t="str">
        <f>IF(一覧!W77="","",一覧!W77)</f>
        <v>鳥特機</v>
      </c>
      <c r="Z52" s="326" t="str">
        <f>IF(一覧!X77="","",一覧!X77)</f>
        <v>音道楽</v>
      </c>
      <c r="AA52" s="326" t="str">
        <f>IF(一覧!Y77="","",一覧!Y77)</f>
        <v>ほんわか</v>
      </c>
      <c r="AB52" s="326" t="str">
        <f>IF(一覧!Z77="","",一覧!Z77)</f>
        <v>★</v>
      </c>
      <c r="AC52" s="326" t="str">
        <f>IF(一覧!AA77="","",一覧!AA77)</f>
        <v>人事配信</v>
      </c>
      <c r="AD52" s="326" t="str">
        <f>IF(一覧!AB77="","",一覧!AB77)</f>
        <v>委員会</v>
      </c>
      <c r="AE52" s="326" t="str">
        <f>IF(一覧!AC77="","",一覧!AC77)</f>
        <v>★★</v>
      </c>
      <c r="AF52" s="326" t="str">
        <f>IF(一覧!AD77="","",一覧!AD77)</f>
        <v>地球便</v>
      </c>
      <c r="AG52" s="326" t="str">
        <f>IF(一覧!AE77="","",一覧!AE77)</f>
        <v>★</v>
      </c>
      <c r="AH52" s="326" t="str">
        <f>IF(一覧!AF77="","",一覧!AF77)</f>
        <v/>
      </c>
      <c r="AI52" s="326" t="str">
        <f>IF(一覧!AG77="","",一覧!AG77)</f>
        <v/>
      </c>
      <c r="AJ52" s="329" t="str">
        <f>IF(一覧!AH77="","",一覧!AH77)</f>
        <v>橋本</v>
      </c>
    </row>
    <row r="53" spans="1:36" ht="15" thickBot="1">
      <c r="A53" s="330" t="str">
        <f>一覧!AI77</f>
        <v>camera</v>
      </c>
      <c r="B53" s="331" t="str">
        <f>一覧!AJ77</f>
        <v>b</v>
      </c>
      <c r="C53" s="332"/>
      <c r="D53" s="333"/>
      <c r="E53" s="331" t="str">
        <f>IF(一覧!C78="","",一覧!C78)</f>
        <v/>
      </c>
      <c r="F53" s="331" t="str">
        <f>IF(一覧!D78="","",一覧!D78)</f>
        <v>ＣＡＭ</v>
      </c>
      <c r="G53" s="331" t="str">
        <f>IF(一覧!E78="","",一覧!E78)</f>
        <v>5/30分</v>
      </c>
      <c r="H53" s="331" t="str">
        <f>IF(一覧!F78="","",一覧!F78)</f>
        <v>ＣＡＭ</v>
      </c>
      <c r="I53" s="331" t="str">
        <f>IF(一覧!G78="","",一覧!G78)</f>
        <v>ＥＮＧ</v>
      </c>
      <c r="J53" s="331" t="str">
        <f>IF(一覧!H78="","",一覧!H78)</f>
        <v/>
      </c>
      <c r="K53" s="331" t="str">
        <f>IF(一覧!I78="","",一覧!I78)</f>
        <v>ＣＡＭ</v>
      </c>
      <c r="L53" s="331" t="str">
        <f>IF(一覧!J78="","",一覧!J78)</f>
        <v/>
      </c>
      <c r="M53" s="331" t="str">
        <f>IF(一覧!K78="","",一覧!K78)</f>
        <v>ＣＡＭ</v>
      </c>
      <c r="N53" s="331" t="str">
        <f>IF(一覧!L78="","",一覧!L78)</f>
        <v>※</v>
      </c>
      <c r="O53" s="331" t="str">
        <f>IF(一覧!M78="","",一覧!M78)</f>
        <v>ＣＡＭ</v>
      </c>
      <c r="P53" s="331" t="str">
        <f>IF(一覧!N78="","",一覧!N78)</f>
        <v>ＣＡＭ</v>
      </c>
      <c r="Q53" s="331" t="str">
        <f>IF(一覧!O78="","",一覧!O78)</f>
        <v/>
      </c>
      <c r="R53" s="331" t="str">
        <f>IF(一覧!P78="","",一覧!P78)</f>
        <v/>
      </c>
      <c r="S53" s="331" t="str">
        <f>IF(一覧!Q78="","",一覧!Q78)</f>
        <v/>
      </c>
      <c r="T53" s="331" t="str">
        <f>IF(一覧!R78="","",一覧!R78)</f>
        <v>ＣＡＭ</v>
      </c>
      <c r="U53" s="331" t="str">
        <f>IF(一覧!S78="","",一覧!S78)</f>
        <v>ＣＡＭ</v>
      </c>
      <c r="V53" s="331" t="str">
        <f>IF(一覧!T78="","",一覧!T78)</f>
        <v>ＣＡＭ</v>
      </c>
      <c r="W53" s="331" t="str">
        <f>IF(一覧!U78="","",一覧!U78)</f>
        <v/>
      </c>
      <c r="X53" s="331" t="str">
        <f>IF(一覧!V78="","",一覧!V78)</f>
        <v/>
      </c>
      <c r="Y53" s="331" t="str">
        <f>IF(一覧!W78="","",一覧!W78)</f>
        <v>準備</v>
      </c>
      <c r="Z53" s="331" t="str">
        <f>IF(一覧!X78="","",一覧!X78)</f>
        <v>ＣＡＭ</v>
      </c>
      <c r="AA53" s="331" t="str">
        <f>IF(一覧!Y78="","",一覧!Y78)</f>
        <v>ＣＡＭ</v>
      </c>
      <c r="AB53" s="331" t="str">
        <f>IF(一覧!Z78="","",一覧!Z78)</f>
        <v/>
      </c>
      <c r="AC53" s="331" t="str">
        <f>IF(一覧!AA78="","",一覧!AA78)</f>
        <v>ＣＡＭ</v>
      </c>
      <c r="AD53" s="331" t="str">
        <f>IF(一覧!AB78="","",一覧!AB78)</f>
        <v>ＣＡＭ</v>
      </c>
      <c r="AE53" s="331" t="str">
        <f>IF(一覧!AC78="","",一覧!AC78)</f>
        <v/>
      </c>
      <c r="AF53" s="331" t="str">
        <f>IF(一覧!AD78="","",一覧!AD78)</f>
        <v>ＣＡＭ</v>
      </c>
      <c r="AG53" s="331" t="str">
        <f>IF(一覧!AE78="","",一覧!AE78)</f>
        <v/>
      </c>
      <c r="AH53" s="331" t="str">
        <f>IF(一覧!AF78="","",一覧!AF78)</f>
        <v/>
      </c>
      <c r="AI53" s="331" t="str">
        <f>IF(一覧!AG78="","",一覧!AG78)</f>
        <v/>
      </c>
      <c r="AJ53" s="334" t="str">
        <f>IF(一覧!AH78="","",一覧!AH78)</f>
        <v/>
      </c>
    </row>
    <row r="54" spans="1:36" ht="14.5">
      <c r="A54" s="325" t="str">
        <f>一覧!AI79</f>
        <v>camera</v>
      </c>
      <c r="B54" s="326" t="str">
        <f>一覧!AJ79</f>
        <v>b</v>
      </c>
      <c r="C54" s="327"/>
      <c r="D54" s="328" t="str">
        <f>一覧!B79</f>
        <v>小曽根千穂</v>
      </c>
      <c r="E54" s="326" t="str">
        <f>IF(一覧!C79="","",一覧!C79)</f>
        <v>局会</v>
      </c>
      <c r="F54" s="326" t="str">
        <f>IF(一覧!D79="","",一覧!D79)</f>
        <v>ミヤネ屋</v>
      </c>
      <c r="G54" s="326" t="str">
        <f>IF(一覧!E79="","",一覧!E79)</f>
        <v>うさかめ</v>
      </c>
      <c r="H54" s="326" t="str">
        <f>IF(一覧!F79="","",一覧!F79)</f>
        <v>ｔｅｎ！</v>
      </c>
      <c r="I54" s="326" t="str">
        <f>IF(一覧!G79="","",一覧!G79)</f>
        <v>吉田粗品</v>
      </c>
      <c r="J54" s="326" t="str">
        <f>IF(一覧!H79="","",一覧!H79)</f>
        <v>★</v>
      </c>
      <c r="K54" s="326" t="str">
        <f>IF(一覧!I79="","",一覧!I79)</f>
        <v>★★</v>
      </c>
      <c r="L54" s="326" t="str">
        <f>IF(一覧!J79="","",一覧!J79)</f>
        <v/>
      </c>
      <c r="M54" s="326" t="str">
        <f>IF(一覧!K79="","",一覧!K79)</f>
        <v>ほんわか</v>
      </c>
      <c r="N54" s="326" t="str">
        <f>IF(一覧!L79="","",一覧!L79)</f>
        <v>声</v>
      </c>
      <c r="O54" s="326" t="str">
        <f>IF(一覧!M79="","",一覧!M79)</f>
        <v>音道楽</v>
      </c>
      <c r="P54" s="326" t="str">
        <f>IF(一覧!N79="","",一覧!N79)</f>
        <v>委員会</v>
      </c>
      <c r="Q54" s="326" t="str">
        <f>IF(一覧!O79="","",一覧!O79)</f>
        <v>★</v>
      </c>
      <c r="R54" s="326" t="str">
        <f>IF(一覧!P79="","",一覧!P79)</f>
        <v>★★</v>
      </c>
      <c r="S54" s="326" t="str">
        <f>IF(一覧!Q79="","",一覧!Q79)</f>
        <v>土ダメ</v>
      </c>
      <c r="T54" s="326" t="str">
        <f>IF(一覧!R79="","",一覧!R79)</f>
        <v>ミヤネ屋</v>
      </c>
      <c r="U54" s="326" t="str">
        <f>IF(一覧!S79="","",一覧!S79)</f>
        <v>読響</v>
      </c>
      <c r="V54" s="326" t="str">
        <f>IF(一覧!T79="","",一覧!T79)</f>
        <v>ten中継</v>
      </c>
      <c r="W54" s="326" t="str">
        <f>IF(一覧!U79="","",一覧!U79)</f>
        <v>ｶﾒﾗG会</v>
      </c>
      <c r="X54" s="326" t="str">
        <f>IF(一覧!V79="","",一覧!V79)</f>
        <v>★★</v>
      </c>
      <c r="Y54" s="326" t="str">
        <f>IF(一覧!W79="","",一覧!W79)</f>
        <v>鳥特機</v>
      </c>
      <c r="Z54" s="326" t="str">
        <f>IF(一覧!X79="","",一覧!X79)</f>
        <v>★</v>
      </c>
      <c r="AA54" s="326" t="str">
        <f>IF(一覧!Y79="","",一覧!Y79)</f>
        <v>ほんわか</v>
      </c>
      <c r="AB54" s="326" t="str">
        <f>IF(一覧!Z79="","",一覧!Z79)</f>
        <v/>
      </c>
      <c r="AC54" s="326" t="str">
        <f>IF(一覧!AA79="","",一覧!AA79)</f>
        <v>人事配信</v>
      </c>
      <c r="AD54" s="326" t="str">
        <f>IF(一覧!AB79="","",一覧!AB79)</f>
        <v>委員会</v>
      </c>
      <c r="AE54" s="326" t="str">
        <f>IF(一覧!AC79="","",一覧!AC79)</f>
        <v>★</v>
      </c>
      <c r="AF54" s="326" t="str">
        <f>IF(一覧!AD79="","",一覧!AD79)</f>
        <v>★★</v>
      </c>
      <c r="AG54" s="326" t="str">
        <f>IF(一覧!AE79="","",一覧!AE79)</f>
        <v>ミヤネ屋</v>
      </c>
      <c r="AH54" s="326" t="str">
        <f>IF(一覧!AF79="","",一覧!AF79)</f>
        <v>ミヤネ屋</v>
      </c>
      <c r="AI54" s="326" t="str">
        <f>IF(一覧!AG79="","",一覧!AG79)</f>
        <v/>
      </c>
      <c r="AJ54" s="329" t="str">
        <f>IF(一覧!AH79="","",一覧!AH79)</f>
        <v>小曽根</v>
      </c>
    </row>
    <row r="55" spans="1:36" ht="15" thickBot="1">
      <c r="A55" s="330" t="str">
        <f>一覧!AI79</f>
        <v>camera</v>
      </c>
      <c r="B55" s="331" t="str">
        <f>一覧!AJ79</f>
        <v>b</v>
      </c>
      <c r="C55" s="332"/>
      <c r="D55" s="333"/>
      <c r="E55" s="331" t="str">
        <f>IF(一覧!C80="","",一覧!C80)</f>
        <v/>
      </c>
      <c r="F55" s="331" t="str">
        <f>IF(一覧!D80="","",一覧!D80)</f>
        <v>ＣＡＭ</v>
      </c>
      <c r="G55" s="331" t="str">
        <f>IF(一覧!E80="","",一覧!E80)</f>
        <v>ＣＡＭ</v>
      </c>
      <c r="H55" s="331" t="str">
        <f>IF(一覧!F80="","",一覧!F80)</f>
        <v>ＣＡＭ</v>
      </c>
      <c r="I55" s="331" t="str">
        <f>IF(一覧!G80="","",一覧!G80)</f>
        <v>ＣＡＭ</v>
      </c>
      <c r="J55" s="331" t="str">
        <f>IF(一覧!H80="","",一覧!H80)</f>
        <v>※</v>
      </c>
      <c r="K55" s="331" t="str">
        <f>IF(一覧!I80="","",一覧!I80)</f>
        <v>※</v>
      </c>
      <c r="L55" s="331" t="str">
        <f>IF(一覧!J80="","",一覧!J80)</f>
        <v/>
      </c>
      <c r="M55" s="331" t="str">
        <f>IF(一覧!K80="","",一覧!K80)</f>
        <v>ＣＡＭ</v>
      </c>
      <c r="N55" s="331" t="str">
        <f>IF(一覧!L80="","",一覧!L80)</f>
        <v>ＣＡＭ</v>
      </c>
      <c r="O55" s="331" t="str">
        <f>IF(一覧!M80="","",一覧!M80)</f>
        <v>ＣＡＭ</v>
      </c>
      <c r="P55" s="331" t="str">
        <f>IF(一覧!N80="","",一覧!N80)</f>
        <v>ＣＡＭ</v>
      </c>
      <c r="Q55" s="331" t="str">
        <f>IF(一覧!O80="","",一覧!O80)</f>
        <v/>
      </c>
      <c r="R55" s="331" t="str">
        <f>IF(一覧!P80="","",一覧!P80)</f>
        <v/>
      </c>
      <c r="S55" s="331" t="str">
        <f>IF(一覧!Q80="","",一覧!Q80)</f>
        <v>ＣＡＭ</v>
      </c>
      <c r="T55" s="331" t="str">
        <f>IF(一覧!R80="","",一覧!R80)</f>
        <v>ＣＡＭ</v>
      </c>
      <c r="U55" s="331" t="str">
        <f>IF(一覧!S80="","",一覧!S80)</f>
        <v>ＣＡＭ</v>
      </c>
      <c r="V55" s="331" t="str">
        <f>IF(一覧!T80="","",一覧!T80)</f>
        <v>ＡＵＸ</v>
      </c>
      <c r="W55" s="331" t="str">
        <f>IF(一覧!U80="","",一覧!U80)</f>
        <v/>
      </c>
      <c r="X55" s="331" t="str">
        <f>IF(一覧!V80="","",一覧!V80)</f>
        <v/>
      </c>
      <c r="Y55" s="331" t="str">
        <f>IF(一覧!W80="","",一覧!W80)</f>
        <v>準備</v>
      </c>
      <c r="Z55" s="331" t="str">
        <f>IF(一覧!X80="","",一覧!X80)</f>
        <v/>
      </c>
      <c r="AA55" s="331" t="str">
        <f>IF(一覧!Y80="","",一覧!Y80)</f>
        <v>ＣＡＭ</v>
      </c>
      <c r="AB55" s="331" t="str">
        <f>IF(一覧!Z80="","",一覧!Z80)</f>
        <v/>
      </c>
      <c r="AC55" s="331" t="str">
        <f>IF(一覧!AA80="","",一覧!AA80)</f>
        <v>出演者</v>
      </c>
      <c r="AD55" s="331" t="str">
        <f>IF(一覧!AB80="","",一覧!AB80)</f>
        <v>ＣＡＭ</v>
      </c>
      <c r="AE55" s="331" t="str">
        <f>IF(一覧!AC80="","",一覧!AC80)</f>
        <v/>
      </c>
      <c r="AF55" s="331" t="str">
        <f>IF(一覧!AD80="","",一覧!AD80)</f>
        <v/>
      </c>
      <c r="AG55" s="331" t="str">
        <f>IF(一覧!AE80="","",一覧!AE80)</f>
        <v>ＣＡＭ</v>
      </c>
      <c r="AH55" s="331" t="str">
        <f>IF(一覧!AF80="","",一覧!AF80)</f>
        <v>ＣＡＭ</v>
      </c>
      <c r="AI55" s="331" t="str">
        <f>IF(一覧!AG80="","",一覧!AG80)</f>
        <v/>
      </c>
      <c r="AJ55" s="334" t="str">
        <f>IF(一覧!AH80="","",一覧!AH80)</f>
        <v/>
      </c>
    </row>
    <row r="56" spans="1:36" ht="14.5">
      <c r="A56" s="325" t="str">
        <f>一覧!AI81</f>
        <v>houdou</v>
      </c>
      <c r="B56" s="326" t="str">
        <f>一覧!AJ81</f>
        <v>b</v>
      </c>
      <c r="C56" s="327"/>
      <c r="D56" s="328" t="str">
        <f>一覧!B81</f>
        <v>中嶋　祥吾</v>
      </c>
      <c r="E56" s="326" t="str">
        <f>IF(一覧!C81="","",一覧!C81)</f>
        <v>━　　　</v>
      </c>
      <c r="F56" s="326" t="str">
        <f>IF(一覧!D81="","",一覧!D81)</f>
        <v>TVU内覧</v>
      </c>
      <c r="G56" s="326" t="str">
        <f>IF(一覧!E81="","",一覧!E81)</f>
        <v/>
      </c>
      <c r="H56" s="326" t="str">
        <f>IF(一覧!F81="","",一覧!F81)</f>
        <v>代休</v>
      </c>
      <c r="I56" s="326" t="str">
        <f>IF(一覧!G81="","",一覧!G81)</f>
        <v>NsubTD</v>
      </c>
      <c r="J56" s="326" t="str">
        <f>IF(一覧!H81="","",一覧!H81)</f>
        <v>★</v>
      </c>
      <c r="K56" s="326" t="str">
        <f>IF(一覧!I81="","",一覧!I81)</f>
        <v>★★</v>
      </c>
      <c r="L56" s="326" t="str">
        <f>IF(一覧!J81="","",一覧!J81)</f>
        <v>ten下見</v>
      </c>
      <c r="M56" s="326" t="str">
        <f>IF(一覧!K81="","",一覧!K81)</f>
        <v/>
      </c>
      <c r="N56" s="326" t="str">
        <f>IF(一覧!L81="","",一覧!L81)</f>
        <v/>
      </c>
      <c r="O56" s="326" t="str">
        <f>IF(一覧!M81="","",一覧!M81)</f>
        <v>ten中継</v>
      </c>
      <c r="P56" s="326" t="str">
        <f>IF(一覧!N81="","",一覧!N81)</f>
        <v>訓練準備</v>
      </c>
      <c r="Q56" s="326" t="str">
        <f>IF(一覧!O81="","",一覧!O81)</f>
        <v>　　　━</v>
      </c>
      <c r="R56" s="326" t="str">
        <f>IF(一覧!P81="","",一覧!P81)</f>
        <v>━　　　</v>
      </c>
      <c r="S56" s="326" t="str">
        <f>IF(一覧!Q81="","",一覧!Q81)</f>
        <v>★★</v>
      </c>
      <c r="T56" s="326" t="str">
        <f>IF(一覧!R81="","",一覧!R81)</f>
        <v>★</v>
      </c>
      <c r="U56" s="326" t="str">
        <f>IF(一覧!S81="","",一覧!S81)</f>
        <v>ﾊﾟｰﾙｶｯﾌﾟ</v>
      </c>
      <c r="V56" s="326" t="str">
        <f>IF(一覧!T81="","",一覧!T81)</f>
        <v>ﾊﾟｰﾙｶｯﾌﾟ</v>
      </c>
      <c r="W56" s="326" t="str">
        <f>IF(一覧!U81="","",一覧!U81)</f>
        <v>回線Ｇ</v>
      </c>
      <c r="X56" s="326" t="str">
        <f>IF(一覧!V81="","",一覧!V81)</f>
        <v>★★</v>
      </c>
      <c r="Y56" s="326" t="str">
        <f>IF(一覧!W81="","",一覧!W81)</f>
        <v>高松宮杯</v>
      </c>
      <c r="Z56" s="326" t="str">
        <f>IF(一覧!X81="","",一覧!X81)</f>
        <v>★</v>
      </c>
      <c r="AA56" s="326" t="str">
        <f>IF(一覧!Y81="","",一覧!Y81)</f>
        <v>　　　━</v>
      </c>
      <c r="AB56" s="326" t="str">
        <f>IF(一覧!Z81="","",一覧!Z81)</f>
        <v>━　　　</v>
      </c>
      <c r="AC56" s="326" t="str">
        <f>IF(一覧!AA81="","",一覧!AA81)</f>
        <v/>
      </c>
      <c r="AD56" s="326" t="str">
        <f>IF(一覧!AB81="","",一覧!AB81)</f>
        <v>NsubTD</v>
      </c>
      <c r="AE56" s="326" t="str">
        <f>IF(一覧!AC81="","",一覧!AC81)</f>
        <v>★</v>
      </c>
      <c r="AF56" s="326" t="str">
        <f>IF(一覧!AD81="","",一覧!AD81)</f>
        <v>★★</v>
      </c>
      <c r="AG56" s="326" t="str">
        <f>IF(一覧!AE81="","",一覧!AE81)</f>
        <v>ten下見</v>
      </c>
      <c r="AH56" s="326" t="str">
        <f>IF(一覧!AF81="","",一覧!AF81)</f>
        <v>年休</v>
      </c>
      <c r="AI56" s="326" t="str">
        <f>IF(一覧!AG81="","",一覧!AG81)</f>
        <v/>
      </c>
      <c r="AJ56" s="329" t="str">
        <f>IF(一覧!AH81="","",一覧!AH81)</f>
        <v>中嶋</v>
      </c>
    </row>
    <row r="57" spans="1:36" ht="15" thickBot="1">
      <c r="A57" s="330" t="str">
        <f>一覧!AI81</f>
        <v>houdou</v>
      </c>
      <c r="B57" s="331" t="str">
        <f>一覧!AJ81</f>
        <v>b</v>
      </c>
      <c r="C57" s="332"/>
      <c r="D57" s="333"/>
      <c r="E57" s="331" t="str">
        <f>IF(一覧!C82="","",一覧!C82)</f>
        <v/>
      </c>
      <c r="F57" s="331" t="str">
        <f>IF(一覧!D82="","",一覧!D82)</f>
        <v/>
      </c>
      <c r="G57" s="331" t="str">
        <f>IF(一覧!E82="","",一覧!E82)</f>
        <v>DX会議</v>
      </c>
      <c r="H57" s="331" t="str">
        <f>IF(一覧!F82="","",一覧!F82)</f>
        <v>5/31分</v>
      </c>
      <c r="I57" s="331" t="str">
        <f>IF(一覧!G82="","",一覧!G82)</f>
        <v/>
      </c>
      <c r="J57" s="331" t="str">
        <f>IF(一覧!H82="","",一覧!H82)</f>
        <v/>
      </c>
      <c r="K57" s="331" t="str">
        <f>IF(一覧!I82="","",一覧!I82)</f>
        <v/>
      </c>
      <c r="L57" s="331" t="str">
        <f>IF(一覧!J82="","",一覧!J82)</f>
        <v/>
      </c>
      <c r="M57" s="331" t="str">
        <f>IF(一覧!K82="","",一覧!K82)</f>
        <v/>
      </c>
      <c r="N57" s="331" t="str">
        <f>IF(一覧!L82="","",一覧!L82)</f>
        <v>DX会議</v>
      </c>
      <c r="O57" s="331" t="str">
        <f>IF(一覧!M82="","",一覧!M82)</f>
        <v>ＴＤ’</v>
      </c>
      <c r="P57" s="331" t="str">
        <f>IF(一覧!N82="","",一覧!N82)</f>
        <v/>
      </c>
      <c r="Q57" s="331" t="str">
        <f>IF(一覧!O82="","",一覧!O82)</f>
        <v>ﾍﾘ訓練TD</v>
      </c>
      <c r="R57" s="331" t="str">
        <f>IF(一覧!P82="","",一覧!P82)</f>
        <v>ﾍﾘ訓練TD</v>
      </c>
      <c r="S57" s="331" t="str">
        <f>IF(一覧!Q82="","",一覧!Q82)</f>
        <v/>
      </c>
      <c r="T57" s="331" t="str">
        <f>IF(一覧!R82="","",一覧!R82)</f>
        <v/>
      </c>
      <c r="U57" s="331" t="str">
        <f>IF(一覧!S82="","",一覧!S82)</f>
        <v>岸和田</v>
      </c>
      <c r="V57" s="331" t="str">
        <f>IF(一覧!T82="","",一覧!T82)</f>
        <v>岸和田</v>
      </c>
      <c r="W57" s="331" t="str">
        <f>IF(一覧!U82="","",一覧!U82)</f>
        <v/>
      </c>
      <c r="X57" s="331" t="str">
        <f>IF(一覧!V82="","",一覧!V82)</f>
        <v/>
      </c>
      <c r="Y57" s="331" t="str">
        <f>IF(一覧!W82="","",一覧!W82)</f>
        <v>岸和田</v>
      </c>
      <c r="Z57" s="331" t="str">
        <f>IF(一覧!X82="","",一覧!X82)</f>
        <v/>
      </c>
      <c r="AA57" s="331" t="str">
        <f>IF(一覧!Y82="","",一覧!Y82)</f>
        <v/>
      </c>
      <c r="AB57" s="331" t="str">
        <f>IF(一覧!Z82="","",一覧!Z82)</f>
        <v>DX会議</v>
      </c>
      <c r="AC57" s="331" t="str">
        <f>IF(一覧!AA82="","",一覧!AA82)</f>
        <v/>
      </c>
      <c r="AD57" s="331" t="str">
        <f>IF(一覧!AB82="","",一覧!AB82)</f>
        <v/>
      </c>
      <c r="AE57" s="331" t="str">
        <f>IF(一覧!AC82="","",一覧!AC82)</f>
        <v/>
      </c>
      <c r="AF57" s="331" t="str">
        <f>IF(一覧!AD82="","",一覧!AD82)</f>
        <v/>
      </c>
      <c r="AG57" s="331" t="str">
        <f>IF(一覧!AE82="","",一覧!AE82)</f>
        <v/>
      </c>
      <c r="AH57" s="331" t="str">
        <f>IF(一覧!AF82="","",一覧!AF82)</f>
        <v>※</v>
      </c>
      <c r="AI57" s="331" t="str">
        <f>IF(一覧!AG82="","",一覧!AG82)</f>
        <v/>
      </c>
      <c r="AJ57" s="334" t="str">
        <f>IF(一覧!AH82="","",一覧!AH82)</f>
        <v/>
      </c>
    </row>
    <row r="58" spans="1:36" ht="14.5">
      <c r="A58" s="325" t="str">
        <f>一覧!AI83</f>
        <v>VE</v>
      </c>
      <c r="B58" s="326" t="str">
        <f>一覧!AJ83</f>
        <v>b</v>
      </c>
      <c r="C58" s="327"/>
      <c r="D58" s="328" t="str">
        <f>一覧!B83</f>
        <v>矢野　鼓子</v>
      </c>
      <c r="E58" s="326" t="str">
        <f>IF(一覧!C83="","",一覧!C83)</f>
        <v>　　──</v>
      </c>
      <c r="F58" s="326" t="str">
        <f>IF(一覧!D83="","",一覧!D83)</f>
        <v>────</v>
      </c>
      <c r="G58" s="326" t="str">
        <f>IF(一覧!E83="","",一覧!E83)</f>
        <v>Interop</v>
      </c>
      <c r="H58" s="326" t="str">
        <f>IF(一覧!F83="","",一覧!F83)</f>
        <v>────</v>
      </c>
      <c r="I58" s="326" t="str">
        <f>IF(一覧!G83="","",一覧!G83)</f>
        <v>────</v>
      </c>
      <c r="J58" s="326" t="str">
        <f>IF(一覧!H83="","",一覧!H83)</f>
        <v>★</v>
      </c>
      <c r="K58" s="326" t="str">
        <f>IF(一覧!I83="","",一覧!I83)</f>
        <v>★★</v>
      </c>
      <c r="L58" s="326" t="str">
        <f>IF(一覧!J83="","",一覧!J83)</f>
        <v>────</v>
      </c>
      <c r="M58" s="326" t="str">
        <f>IF(一覧!K83="","",一覧!K83)</f>
        <v>────</v>
      </c>
      <c r="N58" s="326" t="str">
        <f>IF(一覧!L83="","",一覧!L83)</f>
        <v>────</v>
      </c>
      <c r="O58" s="326" t="str">
        <f>IF(一覧!M83="","",一覧!M83)</f>
        <v>────</v>
      </c>
      <c r="P58" s="326" t="str">
        <f>IF(一覧!N83="","",一覧!N83)</f>
        <v>──　　</v>
      </c>
      <c r="Q58" s="326" t="str">
        <f>IF(一覧!O83="","",一覧!O83)</f>
        <v>★</v>
      </c>
      <c r="R58" s="326" t="str">
        <f>IF(一覧!P83="","",一覧!P83)</f>
        <v>★★</v>
      </c>
      <c r="S58" s="326" t="str">
        <f>IF(一覧!Q83="","",一覧!Q83)</f>
        <v>ミヤネ屋</v>
      </c>
      <c r="T58" s="326" t="str">
        <f>IF(一覧!R83="","",一覧!R83)</f>
        <v>じゅっと</v>
      </c>
      <c r="U58" s="326" t="str">
        <f>IF(一覧!S83="","",一覧!S83)</f>
        <v>読響</v>
      </c>
      <c r="V58" s="326" t="str">
        <f>IF(一覧!T83="","",一覧!T83)</f>
        <v>ミヤネ屋</v>
      </c>
      <c r="W58" s="326" t="str">
        <f>IF(一覧!U83="","",一覧!U83)</f>
        <v>音道楽</v>
      </c>
      <c r="X58" s="326" t="str">
        <f>IF(一覧!V83="","",一覧!V83)</f>
        <v>★★</v>
      </c>
      <c r="Y58" s="326" t="str">
        <f>IF(一覧!W83="","",一覧!W83)</f>
        <v>音道楽</v>
      </c>
      <c r="Z58" s="326" t="str">
        <f>IF(一覧!X83="","",一覧!X83)</f>
        <v>音道楽</v>
      </c>
      <c r="AA58" s="326" t="str">
        <f>IF(一覧!Y83="","",一覧!Y83)</f>
        <v>★</v>
      </c>
      <c r="AB58" s="326" t="str">
        <f>IF(一覧!Z83="","",一覧!Z83)</f>
        <v>VEG会議</v>
      </c>
      <c r="AC58" s="326" t="str">
        <f>IF(一覧!AA83="","",一覧!AA83)</f>
        <v>人事配信</v>
      </c>
      <c r="AD58" s="326" t="str">
        <f>IF(一覧!AB83="","",一覧!AB83)</f>
        <v>機材整備</v>
      </c>
      <c r="AE58" s="326" t="str">
        <f>IF(一覧!AC83="","",一覧!AC83)</f>
        <v>クギズケ</v>
      </c>
      <c r="AF58" s="326" t="str">
        <f>IF(一覧!AD83="","",一覧!AD83)</f>
        <v>★★</v>
      </c>
      <c r="AG58" s="326" t="str">
        <f>IF(一覧!AE83="","",一覧!AE83)</f>
        <v>★</v>
      </c>
      <c r="AH58" s="326" t="str">
        <f>IF(一覧!AF83="","",一覧!AF83)</f>
        <v>年休</v>
      </c>
      <c r="AI58" s="326" t="str">
        <f>IF(一覧!AG83="","",一覧!AG83)</f>
        <v/>
      </c>
      <c r="AJ58" s="329" t="str">
        <f>IF(一覧!AH83="","",一覧!AH83)</f>
        <v>矢野</v>
      </c>
    </row>
    <row r="59" spans="1:36" ht="15" thickBot="1">
      <c r="A59" s="330" t="str">
        <f>一覧!AI83</f>
        <v>VE</v>
      </c>
      <c r="B59" s="331" t="str">
        <f>一覧!AJ83</f>
        <v>b</v>
      </c>
      <c r="C59" s="332"/>
      <c r="D59" s="333"/>
      <c r="E59" s="331" t="str">
        <f>IF(一覧!C84="","",一覧!C84)</f>
        <v/>
      </c>
      <c r="F59" s="331" t="str">
        <f>IF(一覧!D84="","",一覧!D84)</f>
        <v/>
      </c>
      <c r="G59" s="331" t="str">
        <f>IF(一覧!E84="","",一覧!E84)</f>
        <v/>
      </c>
      <c r="H59" s="331" t="str">
        <f>IF(一覧!F84="","",一覧!F84)</f>
        <v/>
      </c>
      <c r="I59" s="331" t="str">
        <f>IF(一覧!G84="","",一覧!G84)</f>
        <v/>
      </c>
      <c r="J59" s="331" t="str">
        <f>IF(一覧!H84="","",一覧!H84)</f>
        <v/>
      </c>
      <c r="K59" s="331" t="str">
        <f>IF(一覧!I84="","",一覧!I84)</f>
        <v/>
      </c>
      <c r="L59" s="331" t="str">
        <f>IF(一覧!J84="","",一覧!J84)</f>
        <v/>
      </c>
      <c r="M59" s="331" t="str">
        <f>IF(一覧!K84="","",一覧!K84)</f>
        <v/>
      </c>
      <c r="N59" s="331" t="str">
        <f>IF(一覧!L84="","",一覧!L84)</f>
        <v/>
      </c>
      <c r="O59" s="331" t="str">
        <f>IF(一覧!M84="","",一覧!M84)</f>
        <v/>
      </c>
      <c r="P59" s="331" t="str">
        <f>IF(一覧!N84="","",一覧!N84)</f>
        <v/>
      </c>
      <c r="Q59" s="331" t="str">
        <f>IF(一覧!O84="","",一覧!O84)</f>
        <v/>
      </c>
      <c r="R59" s="331" t="str">
        <f>IF(一覧!P84="","",一覧!P84)</f>
        <v/>
      </c>
      <c r="S59" s="331" t="str">
        <f>IF(一覧!Q84="","",一覧!Q84)</f>
        <v>ＶＥ</v>
      </c>
      <c r="T59" s="331" t="str">
        <f>IF(一覧!R84="","",一覧!R84)</f>
        <v>ＶＥ</v>
      </c>
      <c r="U59" s="331" t="str">
        <f>IF(一覧!S84="","",一覧!S84)</f>
        <v>ＶＥ</v>
      </c>
      <c r="V59" s="331" t="str">
        <f>IF(一覧!T84="","",一覧!T84)</f>
        <v>ＶＥ</v>
      </c>
      <c r="W59" s="331" t="str">
        <f>IF(一覧!U84="","",一覧!U84)</f>
        <v>準備</v>
      </c>
      <c r="X59" s="331" t="str">
        <f>IF(一覧!V84="","",一覧!V84)</f>
        <v/>
      </c>
      <c r="Y59" s="331" t="str">
        <f>IF(一覧!W84="","",一覧!W84)</f>
        <v/>
      </c>
      <c r="Z59" s="331" t="str">
        <f>IF(一覧!X84="","",一覧!X84)</f>
        <v>ＶＥ</v>
      </c>
      <c r="AA59" s="331" t="str">
        <f>IF(一覧!Y84="","",一覧!Y84)</f>
        <v/>
      </c>
      <c r="AB59" s="331" t="str">
        <f>IF(一覧!Z84="","",一覧!Z84)</f>
        <v/>
      </c>
      <c r="AC59" s="331" t="str">
        <f>IF(一覧!AA84="","",一覧!AA84)</f>
        <v/>
      </c>
      <c r="AD59" s="331" t="str">
        <f>IF(一覧!AB84="","",一覧!AB84)</f>
        <v/>
      </c>
      <c r="AE59" s="331" t="str">
        <f>IF(一覧!AC84="","",一覧!AC84)</f>
        <v>ＶＥ</v>
      </c>
      <c r="AF59" s="331" t="str">
        <f>IF(一覧!AD84="","",一覧!AD84)</f>
        <v/>
      </c>
      <c r="AG59" s="331" t="str">
        <f>IF(一覧!AE84="","",一覧!AE84)</f>
        <v/>
      </c>
      <c r="AH59" s="331" t="str">
        <f>IF(一覧!AF84="","",一覧!AF84)</f>
        <v>※</v>
      </c>
      <c r="AI59" s="331" t="str">
        <f>IF(一覧!AG84="","",一覧!AG84)</f>
        <v/>
      </c>
      <c r="AJ59" s="334" t="str">
        <f>IF(一覧!AH84="","",一覧!AH84)</f>
        <v/>
      </c>
    </row>
    <row r="60" spans="1:36" ht="14.5">
      <c r="A60" s="325" t="str">
        <f>一覧!AI85</f>
        <v>camera</v>
      </c>
      <c r="B60" s="326" t="str">
        <f>一覧!AJ85</f>
        <v>b</v>
      </c>
      <c r="C60" s="327"/>
      <c r="D60" s="328" t="str">
        <f>一覧!B85</f>
        <v>山本　瑛悟</v>
      </c>
      <c r="E60" s="326" t="str">
        <f>IF(一覧!C85="","",一覧!C85)</f>
        <v>送信</v>
      </c>
      <c r="F60" s="326" t="str">
        <f>IF(一覧!D85="","",一覧!D85)</f>
        <v>送信</v>
      </c>
      <c r="G60" s="326" t="str">
        <f>IF(一覧!E85="","",一覧!E85)</f>
        <v>送信</v>
      </c>
      <c r="H60" s="326" t="str">
        <f>IF(一覧!F85="","",一覧!F85)</f>
        <v>ｔｅｎ！</v>
      </c>
      <c r="I60" s="326" t="str">
        <f>IF(一覧!G85="","",一覧!G85)</f>
        <v>吉田粗品</v>
      </c>
      <c r="J60" s="326" t="str">
        <f>IF(一覧!H85="","",一覧!H85)</f>
        <v>★★</v>
      </c>
      <c r="K60" s="326" t="str">
        <f>IF(一覧!I85="","",一覧!I85)</f>
        <v>送信</v>
      </c>
      <c r="L60" s="326" t="str">
        <f>IF(一覧!J85="","",一覧!J85)</f>
        <v>送信</v>
      </c>
      <c r="M60" s="326" t="str">
        <f>IF(一覧!K85="","",一覧!K85)</f>
        <v>★</v>
      </c>
      <c r="N60" s="326" t="str">
        <f>IF(一覧!L85="","",一覧!L85)</f>
        <v>声</v>
      </c>
      <c r="O60" s="326" t="str">
        <f>IF(一覧!M85="","",一覧!M85)</f>
        <v>音道楽</v>
      </c>
      <c r="P60" s="326" t="str">
        <f>IF(一覧!N85="","",一覧!N85)</f>
        <v>委員会</v>
      </c>
      <c r="Q60" s="326" t="str">
        <f>IF(一覧!O85="","",一覧!O85)</f>
        <v>★</v>
      </c>
      <c r="R60" s="326" t="str">
        <f>IF(一覧!P85="","",一覧!P85)</f>
        <v>★★</v>
      </c>
      <c r="S60" s="326" t="str">
        <f>IF(一覧!Q85="","",一覧!Q85)</f>
        <v>土ダメ</v>
      </c>
      <c r="T60" s="326" t="str">
        <f>IF(一覧!R85="","",一覧!R85)</f>
        <v>ミヤネ屋</v>
      </c>
      <c r="U60" s="326" t="str">
        <f>IF(一覧!S85="","",一覧!S85)</f>
        <v>読響</v>
      </c>
      <c r="V60" s="326" t="str">
        <f>IF(一覧!T85="","",一覧!T85)</f>
        <v>ten中継</v>
      </c>
      <c r="W60" s="326" t="str">
        <f>IF(一覧!U85="","",一覧!U85)</f>
        <v>ｶﾒﾗG会</v>
      </c>
      <c r="X60" s="326" t="str">
        <f>IF(一覧!V85="","",一覧!V85)</f>
        <v>★★</v>
      </c>
      <c r="Y60" s="326" t="str">
        <f>IF(一覧!W85="","",一覧!W85)</f>
        <v>鳥特機</v>
      </c>
      <c r="Z60" s="326" t="str">
        <f>IF(一覧!X85="","",一覧!X85)</f>
        <v>音道楽</v>
      </c>
      <c r="AA60" s="326" t="str">
        <f>IF(一覧!Y85="","",一覧!Y85)</f>
        <v>ほんわか</v>
      </c>
      <c r="AB60" s="326" t="str">
        <f>IF(一覧!Z85="","",一覧!Z85)</f>
        <v>★</v>
      </c>
      <c r="AC60" s="326" t="str">
        <f>IF(一覧!AA85="","",一覧!AA85)</f>
        <v>人事配信</v>
      </c>
      <c r="AD60" s="326" t="str">
        <f>IF(一覧!AB85="","",一覧!AB85)</f>
        <v>委員会</v>
      </c>
      <c r="AE60" s="326" t="str">
        <f>IF(一覧!AC85="","",一覧!AC85)</f>
        <v>★★</v>
      </c>
      <c r="AF60" s="326" t="str">
        <f>IF(一覧!AD85="","",一覧!AD85)</f>
        <v>地球便</v>
      </c>
      <c r="AG60" s="326" t="str">
        <f>IF(一覧!AE85="","",一覧!AE85)</f>
        <v>ミヤネ屋</v>
      </c>
      <c r="AH60" s="326" t="str">
        <f>IF(一覧!AF85="","",一覧!AF85)</f>
        <v>★</v>
      </c>
      <c r="AI60" s="326" t="str">
        <f>IF(一覧!AG85="","",一覧!AG85)</f>
        <v/>
      </c>
      <c r="AJ60" s="329" t="str">
        <f>IF(一覧!AH85="","",一覧!AH85)</f>
        <v>山本</v>
      </c>
    </row>
    <row r="61" spans="1:36" ht="15" thickBot="1">
      <c r="A61" s="330" t="str">
        <f>一覧!AI85</f>
        <v>camera</v>
      </c>
      <c r="B61" s="331" t="str">
        <f>一覧!AJ85</f>
        <v>b</v>
      </c>
      <c r="C61" s="332"/>
      <c r="D61" s="333"/>
      <c r="E61" s="331" t="str">
        <f>IF(一覧!C86="","",一覧!C86)</f>
        <v>前泊</v>
      </c>
      <c r="F61" s="331" t="str">
        <f>IF(一覧!D86="","",一覧!D86)</f>
        <v>和田山局</v>
      </c>
      <c r="G61" s="331" t="str">
        <f>IF(一覧!E86="","",一覧!E86)</f>
        <v>予備日</v>
      </c>
      <c r="H61" s="331" t="str">
        <f>IF(一覧!F86="","",一覧!F86)</f>
        <v>ＣＡＭ'</v>
      </c>
      <c r="I61" s="331" t="str">
        <f>IF(一覧!G86="","",一覧!G86)</f>
        <v>ＣＡＭ'</v>
      </c>
      <c r="J61" s="331" t="str">
        <f>IF(一覧!H86="","",一覧!H86)</f>
        <v/>
      </c>
      <c r="K61" s="331" t="str">
        <f>IF(一覧!I86="","",一覧!I86)</f>
        <v>本社泊</v>
      </c>
      <c r="L61" s="331" t="str">
        <f>IF(一覧!J86="","",一覧!J86)</f>
        <v>明け</v>
      </c>
      <c r="M61" s="331" t="str">
        <f>IF(一覧!K86="","",一覧!K86)</f>
        <v/>
      </c>
      <c r="N61" s="331" t="str">
        <f>IF(一覧!L86="","",一覧!L86)</f>
        <v>ＣＡＭ'</v>
      </c>
      <c r="O61" s="331" t="str">
        <f>IF(一覧!M86="","",一覧!M86)</f>
        <v>ＣＡ</v>
      </c>
      <c r="P61" s="331" t="str">
        <f>IF(一覧!N86="","",一覧!N86)</f>
        <v>ＣＡＭ'</v>
      </c>
      <c r="Q61" s="331" t="str">
        <f>IF(一覧!O86="","",一覧!O86)</f>
        <v/>
      </c>
      <c r="R61" s="331" t="str">
        <f>IF(一覧!P86="","",一覧!P86)</f>
        <v/>
      </c>
      <c r="S61" s="331" t="str">
        <f>IF(一覧!Q86="","",一覧!Q86)</f>
        <v>ＣＡＭ'</v>
      </c>
      <c r="T61" s="331" t="str">
        <f>IF(一覧!R86="","",一覧!R86)</f>
        <v>ＣＡＭ'</v>
      </c>
      <c r="U61" s="331" t="str">
        <f>IF(一覧!S86="","",一覧!S86)</f>
        <v>ＣＡＭ'</v>
      </c>
      <c r="V61" s="331" t="str">
        <f>IF(一覧!T86="","",一覧!T86)</f>
        <v>ＡＵＸ</v>
      </c>
      <c r="W61" s="331" t="str">
        <f>IF(一覧!U86="","",一覧!U86)</f>
        <v/>
      </c>
      <c r="X61" s="331" t="str">
        <f>IF(一覧!V86="","",一覧!V86)</f>
        <v/>
      </c>
      <c r="Y61" s="331" t="str">
        <f>IF(一覧!W86="","",一覧!W86)</f>
        <v>準備</v>
      </c>
      <c r="Z61" s="331" t="str">
        <f>IF(一覧!X86="","",一覧!X86)</f>
        <v>ＣＡ</v>
      </c>
      <c r="AA61" s="331" t="str">
        <f>IF(一覧!Y86="","",一覧!Y86)</f>
        <v>ＣＡＭ'</v>
      </c>
      <c r="AB61" s="331" t="str">
        <f>IF(一覧!Z86="","",一覧!Z86)</f>
        <v/>
      </c>
      <c r="AC61" s="331" t="str">
        <f>IF(一覧!AA86="","",一覧!AA86)</f>
        <v>ＣＡＭ</v>
      </c>
      <c r="AD61" s="331" t="str">
        <f>IF(一覧!AB86="","",一覧!AB86)</f>
        <v>ＣＡＭ'</v>
      </c>
      <c r="AE61" s="331" t="str">
        <f>IF(一覧!AC86="","",一覧!AC86)</f>
        <v/>
      </c>
      <c r="AF61" s="331" t="str">
        <f>IF(一覧!AD86="","",一覧!AD86)</f>
        <v>ＣＡＭ'</v>
      </c>
      <c r="AG61" s="331" t="str">
        <f>IF(一覧!AE86="","",一覧!AE86)</f>
        <v>ＣＡＭ’</v>
      </c>
      <c r="AH61" s="331" t="str">
        <f>IF(一覧!AF86="","",一覧!AF86)</f>
        <v>※</v>
      </c>
      <c r="AI61" s="331" t="str">
        <f>IF(一覧!AG86="","",一覧!AG86)</f>
        <v/>
      </c>
      <c r="AJ61" s="334" t="str">
        <f>IF(一覧!AH86="","",一覧!AH86)</f>
        <v/>
      </c>
    </row>
    <row r="62" spans="1:36" ht="14.5">
      <c r="A62" s="325" t="str">
        <f>一覧!AI87</f>
        <v>onsei</v>
      </c>
      <c r="B62" s="326" t="str">
        <f>一覧!AJ87</f>
        <v>b</v>
      </c>
      <c r="C62" s="327"/>
      <c r="D62" s="328" t="str">
        <f>一覧!B87</f>
        <v>佐藤　翔</v>
      </c>
      <c r="E62" s="326" t="str">
        <f>IF(一覧!C87="","",一覧!C87)</f>
        <v/>
      </c>
      <c r="F62" s="326" t="str">
        <f>IF(一覧!D87="","",一覧!D87)</f>
        <v>PT研修</v>
      </c>
      <c r="G62" s="326" t="str">
        <f>IF(一覧!E87="","",一覧!E87)</f>
        <v>うさかめ</v>
      </c>
      <c r="H62" s="326" t="str">
        <f>IF(一覧!F87="","",一覧!F87)</f>
        <v>ten中継</v>
      </c>
      <c r="I62" s="326" t="str">
        <f>IF(一覧!G87="","",一覧!G87)</f>
        <v>吉田粗品</v>
      </c>
      <c r="J62" s="326" t="str">
        <f>IF(一覧!H87="","",一覧!H87)</f>
        <v>★</v>
      </c>
      <c r="K62" s="326" t="str">
        <f>IF(一覧!I87="","",一覧!I87)</f>
        <v>★★</v>
      </c>
      <c r="L62" s="326" t="str">
        <f>IF(一覧!J87="","",一覧!J87)</f>
        <v>年休</v>
      </c>
      <c r="M62" s="326" t="str">
        <f>IF(一覧!K87="","",一覧!K87)</f>
        <v>ほんわか</v>
      </c>
      <c r="N62" s="326" t="str">
        <f>IF(一覧!L87="","",一覧!L87)</f>
        <v>声</v>
      </c>
      <c r="O62" s="326" t="str">
        <f>IF(一覧!M87="","",一覧!M87)</f>
        <v>音道楽</v>
      </c>
      <c r="P62" s="326" t="str">
        <f>IF(一覧!N87="","",一覧!N87)</f>
        <v>ミヤネ屋</v>
      </c>
      <c r="Q62" s="326" t="str">
        <f>IF(一覧!O87="","",一覧!O87)</f>
        <v>★</v>
      </c>
      <c r="R62" s="326" t="str">
        <f>IF(一覧!P87="","",一覧!P87)</f>
        <v>★★</v>
      </c>
      <c r="S62" s="326" t="str">
        <f>IF(一覧!Q87="","",一覧!Q87)</f>
        <v>土ダメ</v>
      </c>
      <c r="T62" s="326" t="str">
        <f>IF(一覧!R87="","",一覧!R87)</f>
        <v>準備</v>
      </c>
      <c r="U62" s="326" t="str">
        <f>IF(一覧!S87="","",一覧!S87)</f>
        <v>読響</v>
      </c>
      <c r="V62" s="326" t="str">
        <f>IF(一覧!T87="","",一覧!T87)</f>
        <v>吉田粗品</v>
      </c>
      <c r="W62" s="326" t="str">
        <f>IF(一覧!U87="","",一覧!U87)</f>
        <v>年休</v>
      </c>
      <c r="X62" s="326" t="str">
        <f>IF(一覧!V87="","",一覧!V87)</f>
        <v>★★</v>
      </c>
      <c r="Y62" s="326" t="str">
        <f>IF(一覧!W87="","",一覧!W87)</f>
        <v>準備</v>
      </c>
      <c r="Z62" s="326" t="str">
        <f>IF(一覧!X87="","",一覧!X87)</f>
        <v>音道楽</v>
      </c>
      <c r="AA62" s="326" t="str">
        <f>IF(一覧!Y87="","",一覧!Y87)</f>
        <v>★</v>
      </c>
      <c r="AB62" s="326" t="str">
        <f>IF(一覧!Z87="","",一覧!Z87)</f>
        <v>音声G会</v>
      </c>
      <c r="AC62" s="326" t="str">
        <f>IF(一覧!AA87="","",一覧!AA87)</f>
        <v>人事配信</v>
      </c>
      <c r="AD62" s="326" t="str">
        <f>IF(一覧!AB87="","",一覧!AB87)</f>
        <v>委員会</v>
      </c>
      <c r="AE62" s="326" t="str">
        <f>IF(一覧!AC87="","",一覧!AC87)</f>
        <v>★</v>
      </c>
      <c r="AF62" s="326" t="str">
        <f>IF(一覧!AD87="","",一覧!AD87)</f>
        <v>★★</v>
      </c>
      <c r="AG62" s="326" t="str">
        <f>IF(一覧!AE87="","",一覧!AE87)</f>
        <v>MUSICDAY</v>
      </c>
      <c r="AH62" s="326" t="str">
        <f>IF(一覧!AF87="","",一覧!AF87)</f>
        <v>MUSICDAY</v>
      </c>
      <c r="AI62" s="326" t="str">
        <f>IF(一覧!AG87="","",一覧!AG87)</f>
        <v/>
      </c>
      <c r="AJ62" s="329" t="str">
        <f>IF(一覧!AH87="","",一覧!AH87)</f>
        <v>佐藤</v>
      </c>
    </row>
    <row r="63" spans="1:36" ht="15" thickBot="1">
      <c r="A63" s="330" t="str">
        <f>一覧!AI87</f>
        <v>onsei</v>
      </c>
      <c r="B63" s="331" t="str">
        <f>一覧!AJ87</f>
        <v>b</v>
      </c>
      <c r="C63" s="332"/>
      <c r="D63" s="333"/>
      <c r="E63" s="331" t="str">
        <f>IF(一覧!C88="","",一覧!C88)</f>
        <v>局会</v>
      </c>
      <c r="F63" s="331" t="str">
        <f>IF(一覧!D88="","",一覧!D88)</f>
        <v/>
      </c>
      <c r="G63" s="331" t="str">
        <f>IF(一覧!E88="","",一覧!E88)</f>
        <v>ＭＩＸ</v>
      </c>
      <c r="H63" s="331" t="str">
        <f>IF(一覧!F88="","",一覧!F88)</f>
        <v>ＡＡ</v>
      </c>
      <c r="I63" s="331" t="str">
        <f>IF(一覧!G88="","",一覧!G88)</f>
        <v>ＭＩＸ</v>
      </c>
      <c r="J63" s="331" t="str">
        <f>IF(一覧!H88="","",一覧!H88)</f>
        <v>※</v>
      </c>
      <c r="K63" s="331" t="str">
        <f>IF(一覧!I88="","",一覧!I88)</f>
        <v>※</v>
      </c>
      <c r="L63" s="331" t="str">
        <f>IF(一覧!J88="","",一覧!J88)</f>
        <v>※</v>
      </c>
      <c r="M63" s="331" t="str">
        <f>IF(一覧!K88="","",一覧!K88)</f>
        <v>ＭＩＸ</v>
      </c>
      <c r="N63" s="331" t="str">
        <f>IF(一覧!L88="","",一覧!L88)</f>
        <v>ＭＩＸ</v>
      </c>
      <c r="O63" s="331" t="str">
        <f>IF(一覧!M88="","",一覧!M88)</f>
        <v>収録</v>
      </c>
      <c r="P63" s="331" t="str">
        <f>IF(一覧!N88="","",一覧!N88)</f>
        <v>ＡＡ</v>
      </c>
      <c r="Q63" s="331" t="str">
        <f>IF(一覧!O88="","",一覧!O88)</f>
        <v/>
      </c>
      <c r="R63" s="331" t="str">
        <f>IF(一覧!P88="","",一覧!P88)</f>
        <v/>
      </c>
      <c r="S63" s="331" t="str">
        <f>IF(一覧!Q88="","",一覧!Q88)</f>
        <v>ＭＩＸ</v>
      </c>
      <c r="T63" s="331" t="str">
        <f>IF(一覧!R88="","",一覧!R88)</f>
        <v/>
      </c>
      <c r="U63" s="331" t="str">
        <f>IF(一覧!S88="","",一覧!S88)</f>
        <v>ＡＡ</v>
      </c>
      <c r="V63" s="331" t="str">
        <f>IF(一覧!T88="","",一覧!T88)</f>
        <v>ＭＩＸ</v>
      </c>
      <c r="W63" s="331" t="str">
        <f>IF(一覧!U88="","",一覧!U88)</f>
        <v/>
      </c>
      <c r="X63" s="331" t="str">
        <f>IF(一覧!V88="","",一覧!V88)</f>
        <v/>
      </c>
      <c r="Y63" s="331" t="str">
        <f>IF(一覧!W88="","",一覧!W88)</f>
        <v/>
      </c>
      <c r="Z63" s="331" t="str">
        <f>IF(一覧!X88="","",一覧!X88)</f>
        <v>ＡＡ</v>
      </c>
      <c r="AA63" s="331" t="str">
        <f>IF(一覧!Y88="","",一覧!Y88)</f>
        <v/>
      </c>
      <c r="AB63" s="331" t="str">
        <f>IF(一覧!Z88="","",一覧!Z88)</f>
        <v>MA更新会</v>
      </c>
      <c r="AC63" s="331" t="str">
        <f>IF(一覧!AA88="","",一覧!AA88)</f>
        <v/>
      </c>
      <c r="AD63" s="331" t="str">
        <f>IF(一覧!AB88="","",一覧!AB88)</f>
        <v>ＭＩＸ</v>
      </c>
      <c r="AE63" s="331" t="str">
        <f>IF(一覧!AC88="","",一覧!AC88)</f>
        <v/>
      </c>
      <c r="AF63" s="331" t="str">
        <f>IF(一覧!AD88="","",一覧!AD88)</f>
        <v/>
      </c>
      <c r="AG63" s="331" t="str">
        <f>IF(一覧!AE88="","",一覧!AE88)</f>
        <v/>
      </c>
      <c r="AH63" s="331" t="str">
        <f>IF(一覧!AF88="","",一覧!AF88)</f>
        <v/>
      </c>
      <c r="AI63" s="331" t="str">
        <f>IF(一覧!AG88="","",一覧!AG88)</f>
        <v/>
      </c>
      <c r="AJ63" s="334" t="str">
        <f>IF(一覧!AH88="","",一覧!AH88)</f>
        <v/>
      </c>
    </row>
    <row r="64" spans="1:36" ht="14.5">
      <c r="A64" s="325" t="str">
        <f>一覧!AI89</f>
        <v>shoumei</v>
      </c>
      <c r="B64" s="326" t="str">
        <f>一覧!AJ89</f>
        <v>b</v>
      </c>
      <c r="C64" s="327"/>
      <c r="D64" s="328" t="str">
        <f>一覧!B89</f>
        <v>田口　愛梨</v>
      </c>
      <c r="E64" s="326" t="str">
        <f>IF(一覧!C89="","",一覧!C89)</f>
        <v>木ドラ</v>
      </c>
      <c r="F64" s="326" t="str">
        <f>IF(一覧!D89="","",一覧!D89)</f>
        <v>代休</v>
      </c>
      <c r="G64" s="326" t="str">
        <f>IF(一覧!E89="","",一覧!E89)</f>
        <v>代休</v>
      </c>
      <c r="H64" s="326" t="str">
        <f>IF(一覧!F89="","",一覧!F89)</f>
        <v/>
      </c>
      <c r="I64" s="326" t="str">
        <f>IF(一覧!G89="","",一覧!G89)</f>
        <v>ミヤネ屋</v>
      </c>
      <c r="J64" s="326" t="str">
        <f>IF(一覧!H89="","",一覧!H89)</f>
        <v>★★</v>
      </c>
      <c r="K64" s="326" t="str">
        <f>IF(一覧!I89="","",一覧!I89)</f>
        <v>地球便</v>
      </c>
      <c r="L64" s="326" t="str">
        <f>IF(一覧!J89="","",一覧!J89)</f>
        <v>じゅっと</v>
      </c>
      <c r="M64" s="326" t="str">
        <f>IF(一覧!K89="","",一覧!K89)</f>
        <v>★</v>
      </c>
      <c r="N64" s="326" t="str">
        <f>IF(一覧!L89="","",一覧!L89)</f>
        <v/>
      </c>
      <c r="O64" s="326" t="str">
        <f>IF(一覧!M89="","",一覧!M89)</f>
        <v>音道楽</v>
      </c>
      <c r="P64" s="326" t="str">
        <f>IF(一覧!N89="","",一覧!N89)</f>
        <v>委員会</v>
      </c>
      <c r="Q64" s="326" t="str">
        <f>IF(一覧!O89="","",一覧!O89)</f>
        <v>★</v>
      </c>
      <c r="R64" s="326" t="str">
        <f>IF(一覧!P89="","",一覧!P89)</f>
        <v>★★</v>
      </c>
      <c r="S64" s="326" t="str">
        <f>IF(一覧!Q89="","",一覧!Q89)</f>
        <v/>
      </c>
      <c r="T64" s="326" t="str">
        <f>IF(一覧!R89="","",一覧!R89)</f>
        <v/>
      </c>
      <c r="U64" s="326" t="str">
        <f>IF(一覧!S89="","",一覧!S89)</f>
        <v>読響</v>
      </c>
      <c r="V64" s="326" t="str">
        <f>IF(一覧!T89="","",一覧!T89)</f>
        <v>ミヤネ屋</v>
      </c>
      <c r="W64" s="326" t="str">
        <f>IF(一覧!U89="","",一覧!U89)</f>
        <v>じゅっと</v>
      </c>
      <c r="X64" s="326" t="str">
        <f>IF(一覧!V89="","",一覧!V89)</f>
        <v>ジグザグ</v>
      </c>
      <c r="Y64" s="326" t="str">
        <f>IF(一覧!W89="","",一覧!W89)</f>
        <v>音道楽</v>
      </c>
      <c r="Z64" s="326" t="str">
        <f>IF(一覧!X89="","",一覧!X89)</f>
        <v>音道楽</v>
      </c>
      <c r="AA64" s="326" t="str">
        <f>IF(一覧!Y89="","",一覧!Y89)</f>
        <v>★</v>
      </c>
      <c r="AB64" s="326" t="str">
        <f>IF(一覧!Z89="","",一覧!Z89)</f>
        <v>★★</v>
      </c>
      <c r="AC64" s="326" t="str">
        <f>IF(一覧!AA89="","",一覧!AA89)</f>
        <v>人事配信</v>
      </c>
      <c r="AD64" s="326" t="str">
        <f>IF(一覧!AB89="","",一覧!AB89)</f>
        <v>委員会</v>
      </c>
      <c r="AE64" s="326" t="str">
        <f>IF(一覧!AC89="","",一覧!AC89)</f>
        <v>★</v>
      </c>
      <c r="AF64" s="326" t="str">
        <f>IF(一覧!AD89="","",一覧!AD89)</f>
        <v>地球便</v>
      </c>
      <c r="AG64" s="326" t="str">
        <f>IF(一覧!AE89="","",一覧!AE89)</f>
        <v>ミヤネ屋</v>
      </c>
      <c r="AH64" s="326" t="str">
        <f>IF(一覧!AF89="","",一覧!AF89)</f>
        <v>★★</v>
      </c>
      <c r="AI64" s="326" t="str">
        <f>IF(一覧!AG89="","",一覧!AG89)</f>
        <v/>
      </c>
      <c r="AJ64" s="329" t="str">
        <f>IF(一覧!AH89="","",一覧!AH89)</f>
        <v>田口</v>
      </c>
    </row>
    <row r="65" spans="1:36" ht="15" thickBot="1">
      <c r="A65" s="330" t="str">
        <f>一覧!AI89</f>
        <v>shoumei</v>
      </c>
      <c r="B65" s="331" t="str">
        <f>一覧!AJ89</f>
        <v>b</v>
      </c>
      <c r="C65" s="332"/>
      <c r="D65" s="333"/>
      <c r="E65" s="331" t="str">
        <f>IF(一覧!C90="","",一覧!C90)</f>
        <v>LD'</v>
      </c>
      <c r="F65" s="331" t="str">
        <f>IF(一覧!D90="","",一覧!D90)</f>
        <v>5/30分</v>
      </c>
      <c r="G65" s="331" t="str">
        <f>IF(一覧!E90="","",一覧!E90)</f>
        <v>5/31分</v>
      </c>
      <c r="H65" s="331" t="str">
        <f>IF(一覧!F90="","",一覧!F90)</f>
        <v/>
      </c>
      <c r="I65" s="331" t="str">
        <f>IF(一覧!G90="","",一覧!G90)</f>
        <v>ＬＤ</v>
      </c>
      <c r="J65" s="331" t="str">
        <f>IF(一覧!H90="","",一覧!H90)</f>
        <v/>
      </c>
      <c r="K65" s="331" t="str">
        <f>IF(一覧!I90="","",一覧!I90)</f>
        <v>ＬＤ</v>
      </c>
      <c r="L65" s="331" t="str">
        <f>IF(一覧!J90="","",一覧!J90)</f>
        <v>ＬＤ</v>
      </c>
      <c r="M65" s="331" t="str">
        <f>IF(一覧!K90="","",一覧!K90)</f>
        <v/>
      </c>
      <c r="N65" s="331" t="str">
        <f>IF(一覧!L90="","",一覧!L90)</f>
        <v>照明G</v>
      </c>
      <c r="O65" s="331" t="str">
        <f>IF(一覧!M90="","",一覧!M90)</f>
        <v>ＬＤ</v>
      </c>
      <c r="P65" s="331" t="str">
        <f>IF(一覧!N90="","",一覧!N90)</f>
        <v>ＬＤ</v>
      </c>
      <c r="Q65" s="331" t="str">
        <f>IF(一覧!O90="","",一覧!O90)</f>
        <v/>
      </c>
      <c r="R65" s="331" t="str">
        <f>IF(一覧!P90="","",一覧!P90)</f>
        <v/>
      </c>
      <c r="S65" s="331" t="str">
        <f>IF(一覧!Q90="","",一覧!Q90)</f>
        <v/>
      </c>
      <c r="T65" s="331" t="str">
        <f>IF(一覧!R90="","",一覧!R90)</f>
        <v/>
      </c>
      <c r="U65" s="331" t="str">
        <f>IF(一覧!S90="","",一覧!S90)</f>
        <v>LD'</v>
      </c>
      <c r="V65" s="331" t="str">
        <f>IF(一覧!T90="","",一覧!T90)</f>
        <v>ＬＤ</v>
      </c>
      <c r="W65" s="331" t="str">
        <f>IF(一覧!U90="","",一覧!U90)</f>
        <v>ＬＤ</v>
      </c>
      <c r="X65" s="331" t="str">
        <f>IF(一覧!V90="","",一覧!V90)</f>
        <v>LD'</v>
      </c>
      <c r="Y65" s="331" t="str">
        <f>IF(一覧!W90="","",一覧!W90)</f>
        <v>LD'</v>
      </c>
      <c r="Z65" s="331" t="str">
        <f>IF(一覧!X90="","",一覧!X90)</f>
        <v>LD'</v>
      </c>
      <c r="AA65" s="331" t="str">
        <f>IF(一覧!Y90="","",一覧!Y90)</f>
        <v/>
      </c>
      <c r="AB65" s="331" t="str">
        <f>IF(一覧!Z90="","",一覧!Z90)</f>
        <v/>
      </c>
      <c r="AC65" s="331" t="str">
        <f>IF(一覧!AA90="","",一覧!AA90)</f>
        <v>ＬＤ</v>
      </c>
      <c r="AD65" s="331" t="str">
        <f>IF(一覧!AB90="","",一覧!AB90)</f>
        <v>ＬＤ</v>
      </c>
      <c r="AE65" s="331" t="str">
        <f>IF(一覧!AC90="","",一覧!AC90)</f>
        <v/>
      </c>
      <c r="AF65" s="331" t="str">
        <f>IF(一覧!AD90="","",一覧!AD90)</f>
        <v>ＬＤ</v>
      </c>
      <c r="AG65" s="331" t="str">
        <f>IF(一覧!AE90="","",一覧!AE90)</f>
        <v>ＬＤ</v>
      </c>
      <c r="AH65" s="331" t="str">
        <f>IF(一覧!AF90="","",一覧!AF90)</f>
        <v/>
      </c>
      <c r="AI65" s="331" t="str">
        <f>IF(一覧!AG90="","",一覧!AG90)</f>
        <v/>
      </c>
      <c r="AJ65" s="334" t="str">
        <f>IF(一覧!AH90="","",一覧!AH90)</f>
        <v/>
      </c>
    </row>
    <row r="66" spans="1:36" ht="14.5">
      <c r="A66" s="325" t="str">
        <f>一覧!AI91</f>
        <v>VE</v>
      </c>
      <c r="B66" s="326" t="str">
        <f>一覧!AJ91</f>
        <v>b</v>
      </c>
      <c r="C66" s="327"/>
      <c r="D66" s="328" t="str">
        <f>一覧!B91</f>
        <v>柴田　涼平</v>
      </c>
      <c r="E66" s="326" t="str">
        <f>IF(一覧!C91="","",一覧!C91)</f>
        <v/>
      </c>
      <c r="F66" s="326" t="str">
        <f>IF(一覧!D91="","",一覧!D91)</f>
        <v/>
      </c>
      <c r="G66" s="326" t="str">
        <f>IF(一覧!E91="","",一覧!E91)</f>
        <v>うさかめ</v>
      </c>
      <c r="H66" s="326" t="str">
        <f>IF(一覧!F91="","",一覧!F91)</f>
        <v>VEレク</v>
      </c>
      <c r="I66" s="326" t="str">
        <f>IF(一覧!G91="","",一覧!G91)</f>
        <v>VEレク</v>
      </c>
      <c r="J66" s="326" t="str">
        <f>IF(一覧!H91="","",一覧!H91)</f>
        <v>★</v>
      </c>
      <c r="K66" s="326" t="str">
        <f>IF(一覧!I91="","",一覧!I91)</f>
        <v>★★</v>
      </c>
      <c r="L66" s="326" t="str">
        <f>IF(一覧!J91="","",一覧!J91)</f>
        <v/>
      </c>
      <c r="M66" s="326" t="str">
        <f>IF(一覧!K91="","",一覧!K91)</f>
        <v>ほんわか</v>
      </c>
      <c r="N66" s="326" t="str">
        <f>IF(一覧!L91="","",一覧!L91)</f>
        <v>声</v>
      </c>
      <c r="O66" s="326" t="str">
        <f>IF(一覧!M91="","",一覧!M91)</f>
        <v>音道楽</v>
      </c>
      <c r="P66" s="326" t="str">
        <f>IF(一覧!N91="","",一覧!N91)</f>
        <v>委員会</v>
      </c>
      <c r="Q66" s="326" t="str">
        <f>IF(一覧!O91="","",一覧!O91)</f>
        <v>★</v>
      </c>
      <c r="R66" s="326" t="str">
        <f>IF(一覧!P91="","",一覧!P91)</f>
        <v>★★</v>
      </c>
      <c r="S66" s="326" t="str">
        <f>IF(一覧!Q91="","",一覧!Q91)</f>
        <v>土ダメ</v>
      </c>
      <c r="T66" s="326" t="str">
        <f>IF(一覧!R91="","",一覧!R91)</f>
        <v/>
      </c>
      <c r="U66" s="326" t="str">
        <f>IF(一覧!S91="","",一覧!S91)</f>
        <v>読響</v>
      </c>
      <c r="V66" s="326" t="str">
        <f>IF(一覧!T91="","",一覧!T91)</f>
        <v>吉田粗品</v>
      </c>
      <c r="W66" s="326" t="str">
        <f>IF(一覧!U91="","",一覧!U91)</f>
        <v>機材整備</v>
      </c>
      <c r="X66" s="326" t="str">
        <f>IF(一覧!V91="","",一覧!V91)</f>
        <v>★</v>
      </c>
      <c r="Y66" s="326" t="str">
        <f>IF(一覧!W91="","",一覧!W91)</f>
        <v>★★</v>
      </c>
      <c r="Z66" s="326" t="str">
        <f>IF(一覧!X91="","",一覧!X91)</f>
        <v/>
      </c>
      <c r="AA66" s="326" t="str">
        <f>IF(一覧!Y91="","",一覧!Y91)</f>
        <v>ほんわか</v>
      </c>
      <c r="AB66" s="326" t="str">
        <f>IF(一覧!Z91="","",一覧!Z91)</f>
        <v>VEG会議</v>
      </c>
      <c r="AC66" s="326" t="str">
        <f>IF(一覧!AA91="","",一覧!AA91)</f>
        <v>人事配信</v>
      </c>
      <c r="AD66" s="326" t="str">
        <f>IF(一覧!AB91="","",一覧!AB91)</f>
        <v>委員会</v>
      </c>
      <c r="AE66" s="326" t="str">
        <f>IF(一覧!AC91="","",一覧!AC91)</f>
        <v>★</v>
      </c>
      <c r="AF66" s="326" t="str">
        <f>IF(一覧!AD91="","",一覧!AD91)</f>
        <v>★★</v>
      </c>
      <c r="AG66" s="326" t="str">
        <f>IF(一覧!AE91="","",一覧!AE91)</f>
        <v>土ダメ</v>
      </c>
      <c r="AH66" s="326" t="str">
        <f>IF(一覧!AF91="","",一覧!AF91)</f>
        <v/>
      </c>
      <c r="AI66" s="326" t="str">
        <f>IF(一覧!AG91="","",一覧!AG91)</f>
        <v/>
      </c>
      <c r="AJ66" s="329" t="str">
        <f>IF(一覧!AH91="","",一覧!AH91)</f>
        <v>柴田</v>
      </c>
    </row>
    <row r="67" spans="1:36" ht="15" thickBot="1">
      <c r="A67" s="330" t="str">
        <f>一覧!AI91</f>
        <v>VE</v>
      </c>
      <c r="B67" s="331" t="str">
        <f>一覧!AJ91</f>
        <v>b</v>
      </c>
      <c r="C67" s="332"/>
      <c r="D67" s="333"/>
      <c r="E67" s="331" t="str">
        <f>IF(一覧!C92="","",一覧!C92)</f>
        <v>局会</v>
      </c>
      <c r="F67" s="331" t="str">
        <f>IF(一覧!D92="","",一覧!D92)</f>
        <v/>
      </c>
      <c r="G67" s="331" t="str">
        <f>IF(一覧!E92="","",一覧!E92)</f>
        <v>ＶＥ′</v>
      </c>
      <c r="H67" s="331" t="str">
        <f>IF(一覧!F92="","",一覧!F92)</f>
        <v/>
      </c>
      <c r="I67" s="331" t="str">
        <f>IF(一覧!G92="","",一覧!G92)</f>
        <v/>
      </c>
      <c r="J67" s="331" t="str">
        <f>IF(一覧!H92="","",一覧!H92)</f>
        <v/>
      </c>
      <c r="K67" s="331" t="str">
        <f>IF(一覧!I92="","",一覧!I92)</f>
        <v/>
      </c>
      <c r="L67" s="331" t="str">
        <f>IF(一覧!J92="","",一覧!J92)</f>
        <v/>
      </c>
      <c r="M67" s="331" t="str">
        <f>IF(一覧!K92="","",一覧!K92)</f>
        <v>ＶＥ′</v>
      </c>
      <c r="N67" s="331" t="str">
        <f>IF(一覧!L92="","",一覧!L92)</f>
        <v>ＶＥ′</v>
      </c>
      <c r="O67" s="331" t="str">
        <f>IF(一覧!M92="","",一覧!M92)</f>
        <v>ＶＥ′</v>
      </c>
      <c r="P67" s="331" t="str">
        <f>IF(一覧!N92="","",一覧!N92)</f>
        <v>座談会</v>
      </c>
      <c r="Q67" s="331" t="str">
        <f>IF(一覧!O92="","",一覧!O92)</f>
        <v/>
      </c>
      <c r="R67" s="331" t="str">
        <f>IF(一覧!P92="","",一覧!P92)</f>
        <v/>
      </c>
      <c r="S67" s="331" t="str">
        <f>IF(一覧!Q92="","",一覧!Q92)</f>
        <v>ＶＥ′</v>
      </c>
      <c r="T67" s="331" t="str">
        <f>IF(一覧!R92="","",一覧!R92)</f>
        <v/>
      </c>
      <c r="U67" s="331" t="str">
        <f>IF(一覧!S92="","",一覧!S92)</f>
        <v>ＶＥ′</v>
      </c>
      <c r="V67" s="331" t="str">
        <f>IF(一覧!T92="","",一覧!T92)</f>
        <v>ＶＥ′</v>
      </c>
      <c r="W67" s="331" t="str">
        <f>IF(一覧!U92="","",一覧!U92)</f>
        <v/>
      </c>
      <c r="X67" s="331" t="str">
        <f>IF(一覧!V92="","",一覧!V92)</f>
        <v/>
      </c>
      <c r="Y67" s="331" t="str">
        <f>IF(一覧!W92="","",一覧!W92)</f>
        <v/>
      </c>
      <c r="Z67" s="331" t="str">
        <f>IF(一覧!X92="","",一覧!X92)</f>
        <v/>
      </c>
      <c r="AA67" s="331" t="str">
        <f>IF(一覧!Y92="","",一覧!Y92)</f>
        <v>ＶＥ′</v>
      </c>
      <c r="AB67" s="331" t="str">
        <f>IF(一覧!Z92="","",一覧!Z92)</f>
        <v/>
      </c>
      <c r="AC67" s="331" t="str">
        <f>IF(一覧!AA92="","",一覧!AA92)</f>
        <v>′</v>
      </c>
      <c r="AD67" s="331" t="str">
        <f>IF(一覧!AB92="","",一覧!AB92)</f>
        <v>ＶＥ′</v>
      </c>
      <c r="AE67" s="331" t="str">
        <f>IF(一覧!AC92="","",一覧!AC92)</f>
        <v/>
      </c>
      <c r="AF67" s="331" t="str">
        <f>IF(一覧!AD92="","",一覧!AD92)</f>
        <v/>
      </c>
      <c r="AG67" s="331" t="str">
        <f>IF(一覧!AE92="","",一覧!AE92)</f>
        <v>ＶＥ′</v>
      </c>
      <c r="AH67" s="331" t="str">
        <f>IF(一覧!AF92="","",一覧!AF92)</f>
        <v/>
      </c>
      <c r="AI67" s="331" t="str">
        <f>IF(一覧!AG92="","",一覧!AG92)</f>
        <v/>
      </c>
      <c r="AJ67" s="334" t="str">
        <f>IF(一覧!AH92="","",一覧!AH92)</f>
        <v/>
      </c>
    </row>
    <row r="68" spans="1:36" ht="14.5">
      <c r="A68" s="325" t="str">
        <f>一覧!AI93</f>
        <v>onsei</v>
      </c>
      <c r="B68" s="326" t="str">
        <f>一覧!AJ93</f>
        <v>b</v>
      </c>
      <c r="C68" s="327"/>
      <c r="D68" s="328" t="str">
        <f>一覧!B93</f>
        <v>谷口　英雄</v>
      </c>
      <c r="E68" s="326" t="str">
        <f>IF(一覧!C93="","",一覧!C93)</f>
        <v>マスター</v>
      </c>
      <c r="F68" s="326" t="str">
        <f>IF(一覧!D93="","",一覧!D93)</f>
        <v>マスター</v>
      </c>
      <c r="G68" s="326" t="str">
        <f>IF(一覧!E93="","",一覧!E93)</f>
        <v>マスター</v>
      </c>
      <c r="H68" s="326" t="str">
        <f>IF(一覧!F93="","",一覧!F93)</f>
        <v>マスター</v>
      </c>
      <c r="I68" s="326" t="str">
        <f>IF(一覧!G93="","",一覧!G93)</f>
        <v>代休</v>
      </c>
      <c r="J68" s="326" t="str">
        <f>IF(一覧!H93="","",一覧!H93)</f>
        <v>NsubTD</v>
      </c>
      <c r="K68" s="326" t="str">
        <f>IF(一覧!I93="","",一覧!I93)</f>
        <v>★★</v>
      </c>
      <c r="L68" s="326" t="str">
        <f>IF(一覧!J93="","",一覧!J93)</f>
        <v>マスター</v>
      </c>
      <c r="M68" s="326" t="str">
        <f>IF(一覧!K93="","",一覧!K93)</f>
        <v>★</v>
      </c>
      <c r="N68" s="326" t="str">
        <f>IF(一覧!L93="","",一覧!L93)</f>
        <v>ｔｅｎ！</v>
      </c>
      <c r="O68" s="326" t="str">
        <f>IF(一覧!M93="","",一覧!M93)</f>
        <v>マスター</v>
      </c>
      <c r="P68" s="326" t="str">
        <f>IF(一覧!N93="","",一覧!N93)</f>
        <v>マスター</v>
      </c>
      <c r="Q68" s="326" t="str">
        <f>IF(一覧!O93="","",一覧!O93)</f>
        <v>マスター</v>
      </c>
      <c r="R68" s="326" t="str">
        <f>IF(一覧!P93="","",一覧!P93)</f>
        <v>★★</v>
      </c>
      <c r="S68" s="326" t="str">
        <f>IF(一覧!Q93="","",一覧!Q93)</f>
        <v>★</v>
      </c>
      <c r="T68" s="326" t="str">
        <f>IF(一覧!R93="","",一覧!R93)</f>
        <v>ミヤネ屋</v>
      </c>
      <c r="U68" s="326" t="str">
        <f>IF(一覧!S93="","",一覧!S93)</f>
        <v>マスター</v>
      </c>
      <c r="V68" s="326" t="str">
        <f>IF(一覧!T93="","",一覧!T93)</f>
        <v>ｔｅｎ！</v>
      </c>
      <c r="W68" s="326" t="str">
        <f>IF(一覧!U93="","",一覧!U93)</f>
        <v>年休</v>
      </c>
      <c r="X68" s="326" t="str">
        <f>IF(一覧!V93="","",一覧!V93)</f>
        <v>★</v>
      </c>
      <c r="Y68" s="326" t="str">
        <f>IF(一覧!W93="","",一覧!W93)</f>
        <v>★★</v>
      </c>
      <c r="Z68" s="326" t="str">
        <f>IF(一覧!X93="","",一覧!X93)</f>
        <v>マスター</v>
      </c>
      <c r="AA68" s="326" t="str">
        <f>IF(一覧!Y93="","",一覧!Y93)</f>
        <v>マスター</v>
      </c>
      <c r="AB68" s="326" t="str">
        <f>IF(一覧!Z93="","",一覧!Z93)</f>
        <v>音声G会</v>
      </c>
      <c r="AC68" s="326" t="str">
        <f>IF(一覧!AA93="","",一覧!AA93)</f>
        <v>機材整備</v>
      </c>
      <c r="AD68" s="326" t="str">
        <f>IF(一覧!AB93="","",一覧!AB93)</f>
        <v>委員会</v>
      </c>
      <c r="AE68" s="326" t="str">
        <f>IF(一覧!AC93="","",一覧!AC93)</f>
        <v>★</v>
      </c>
      <c r="AF68" s="326" t="str">
        <f>IF(一覧!AD93="","",一覧!AD93)</f>
        <v>★★</v>
      </c>
      <c r="AG68" s="326" t="str">
        <f>IF(一覧!AE93="","",一覧!AE93)</f>
        <v>ミヤネ屋</v>
      </c>
      <c r="AH68" s="326" t="str">
        <f>IF(一覧!AF93="","",一覧!AF93)</f>
        <v>じゅっと</v>
      </c>
      <c r="AI68" s="326" t="str">
        <f>IF(一覧!AG93="","",一覧!AG93)</f>
        <v/>
      </c>
      <c r="AJ68" s="329" t="str">
        <f>IF(一覧!AH93="","",一覧!AH93)</f>
        <v>谷口</v>
      </c>
    </row>
    <row r="69" spans="1:36" ht="15" thickBot="1">
      <c r="A69" s="330" t="str">
        <f>一覧!AI93</f>
        <v>onsei</v>
      </c>
      <c r="B69" s="331" t="str">
        <f>一覧!AJ93</f>
        <v>b</v>
      </c>
      <c r="C69" s="332"/>
      <c r="D69" s="333"/>
      <c r="E69" s="331" t="str">
        <f>IF(一覧!C94="","",一覧!C94)</f>
        <v>局会</v>
      </c>
      <c r="F69" s="331" t="str">
        <f>IF(一覧!D94="","",一覧!D94)</f>
        <v/>
      </c>
      <c r="G69" s="331" t="str">
        <f>IF(一覧!E94="","",一覧!E94)</f>
        <v>泊り</v>
      </c>
      <c r="H69" s="331" t="str">
        <f>IF(一覧!F94="","",一覧!F94)</f>
        <v>あけ</v>
      </c>
      <c r="I69" s="331" t="str">
        <f>IF(一覧!G94="","",一覧!G94)</f>
        <v>5/31分</v>
      </c>
      <c r="J69" s="331" t="str">
        <f>IF(一覧!H94="","",一覧!H94)</f>
        <v/>
      </c>
      <c r="K69" s="331" t="str">
        <f>IF(一覧!I94="","",一覧!I94)</f>
        <v/>
      </c>
      <c r="L69" s="331" t="str">
        <f>IF(一覧!J94="","",一覧!J94)</f>
        <v/>
      </c>
      <c r="M69" s="331" t="str">
        <f>IF(一覧!K94="","",一覧!K94)</f>
        <v/>
      </c>
      <c r="N69" s="331" t="str">
        <f>IF(一覧!L94="","",一覧!L94)</f>
        <v>ＭＩＸ’</v>
      </c>
      <c r="O69" s="331" t="str">
        <f>IF(一覧!M94="","",一覧!M94)</f>
        <v/>
      </c>
      <c r="P69" s="331" t="str">
        <f>IF(一覧!N94="","",一覧!N94)</f>
        <v>泊り</v>
      </c>
      <c r="Q69" s="331" t="str">
        <f>IF(一覧!O94="","",一覧!O94)</f>
        <v>あけ</v>
      </c>
      <c r="R69" s="331" t="str">
        <f>IF(一覧!P94="","",一覧!P94)</f>
        <v/>
      </c>
      <c r="S69" s="331" t="str">
        <f>IF(一覧!Q94="","",一覧!Q94)</f>
        <v/>
      </c>
      <c r="T69" s="331" t="str">
        <f>IF(一覧!R94="","",一覧!R94)</f>
        <v>ＴＤ’</v>
      </c>
      <c r="U69" s="331" t="str">
        <f>IF(一覧!S94="","",一覧!S94)</f>
        <v/>
      </c>
      <c r="V69" s="331" t="str">
        <f>IF(一覧!T94="","",一覧!T94)</f>
        <v>ＴＤ’</v>
      </c>
      <c r="W69" s="331" t="str">
        <f>IF(一覧!U94="","",一覧!U94)</f>
        <v>※</v>
      </c>
      <c r="X69" s="331" t="str">
        <f>IF(一覧!V94="","",一覧!V94)</f>
        <v>※</v>
      </c>
      <c r="Y69" s="331" t="str">
        <f>IF(一覧!W94="","",一覧!W94)</f>
        <v>※</v>
      </c>
      <c r="Z69" s="331" t="str">
        <f>IF(一覧!X94="","",一覧!X94)</f>
        <v>泊り</v>
      </c>
      <c r="AA69" s="331" t="str">
        <f>IF(一覧!Y94="","",一覧!Y94)</f>
        <v>あけ/G会</v>
      </c>
      <c r="AB69" s="331" t="str">
        <f>IF(一覧!Z94="","",一覧!Z94)</f>
        <v>MA更新会</v>
      </c>
      <c r="AC69" s="331" t="str">
        <f>IF(一覧!AA94="","",一覧!AA94)</f>
        <v/>
      </c>
      <c r="AD69" s="331" t="str">
        <f>IF(一覧!AB94="","",一覧!AB94)</f>
        <v>ＭＩＸ’</v>
      </c>
      <c r="AE69" s="331" t="str">
        <f>IF(一覧!AC94="","",一覧!AC94)</f>
        <v/>
      </c>
      <c r="AF69" s="331" t="str">
        <f>IF(一覧!AD94="","",一覧!AD94)</f>
        <v/>
      </c>
      <c r="AG69" s="331" t="str">
        <f>IF(一覧!AE94="","",一覧!AE94)</f>
        <v>ＭＩＸ’</v>
      </c>
      <c r="AH69" s="331" t="str">
        <f>IF(一覧!AF94="","",一覧!AF94)</f>
        <v>ＴＤ’</v>
      </c>
      <c r="AI69" s="331" t="str">
        <f>IF(一覧!AG94="","",一覧!AG94)</f>
        <v/>
      </c>
      <c r="AJ69" s="334" t="str">
        <f>IF(一覧!AH94="","",一覧!AH94)</f>
        <v/>
      </c>
    </row>
    <row r="70" spans="1:36" ht="14.5">
      <c r="A70" s="325" t="str">
        <f>一覧!AI95</f>
        <v>camera</v>
      </c>
      <c r="B70" s="326" t="str">
        <f>一覧!AJ95</f>
        <v>b</v>
      </c>
      <c r="C70" s="327"/>
      <c r="D70" s="328" t="str">
        <f>一覧!B95</f>
        <v>松本　学</v>
      </c>
      <c r="E70" s="326" t="str">
        <f>IF(一覧!C95="","",一覧!C95)</f>
        <v>ｔｅｎ！</v>
      </c>
      <c r="F70" s="326" t="str">
        <f>IF(一覧!D95="","",一覧!D95)</f>
        <v>ミヤネ屋</v>
      </c>
      <c r="G70" s="326" t="str">
        <f>IF(一覧!E95="","",一覧!E95)</f>
        <v>ミヤネ屋</v>
      </c>
      <c r="H70" s="326" t="str">
        <f>IF(一覧!F95="","",一覧!F95)</f>
        <v>年休</v>
      </c>
      <c r="I70" s="326" t="str">
        <f>IF(一覧!G95="","",一覧!G95)</f>
        <v>年休</v>
      </c>
      <c r="J70" s="326" t="str">
        <f>IF(一覧!H95="","",一覧!H95)</f>
        <v>ジグザグ</v>
      </c>
      <c r="K70" s="326" t="str">
        <f>IF(一覧!I95="","",一覧!I95)</f>
        <v>★★</v>
      </c>
      <c r="L70" s="326" t="str">
        <f>IF(一覧!J95="","",一覧!J95)</f>
        <v>ｔｅｎ！</v>
      </c>
      <c r="M70" s="326" t="str">
        <f>IF(一覧!K95="","",一覧!K95)</f>
        <v>じゅっと</v>
      </c>
      <c r="N70" s="326" t="str">
        <f>IF(一覧!L95="","",一覧!L95)</f>
        <v>年休</v>
      </c>
      <c r="O70" s="326" t="str">
        <f>IF(一覧!M95="","",一覧!M95)</f>
        <v>★</v>
      </c>
      <c r="P70" s="326" t="str">
        <f>IF(一覧!N95="","",一覧!N95)</f>
        <v>委員会</v>
      </c>
      <c r="Q70" s="326" t="str">
        <f>IF(一覧!O95="","",一覧!O95)</f>
        <v>★</v>
      </c>
      <c r="R70" s="326" t="str">
        <f>IF(一覧!P95="","",一覧!P95)</f>
        <v>★★</v>
      </c>
      <c r="S70" s="326" t="str">
        <f>IF(一覧!Q95="","",一覧!Q95)</f>
        <v>ｔｅｎ！</v>
      </c>
      <c r="T70" s="326" t="str">
        <f>IF(一覧!R95="","",一覧!R95)</f>
        <v>ミヤネ屋</v>
      </c>
      <c r="U70" s="326" t="str">
        <f>IF(一覧!S95="","",一覧!S95)</f>
        <v>じゅっと</v>
      </c>
      <c r="V70" s="326" t="str">
        <f>IF(一覧!T95="","",一覧!T95)</f>
        <v>ミヤネ屋</v>
      </c>
      <c r="W70" s="326" t="str">
        <f>IF(一覧!U95="","",一覧!U95)</f>
        <v>ｶﾒﾗG会</v>
      </c>
      <c r="X70" s="326" t="str">
        <f>IF(一覧!V95="","",一覧!V95)</f>
        <v>★</v>
      </c>
      <c r="Y70" s="326" t="str">
        <f>IF(一覧!W95="","",一覧!W95)</f>
        <v>★★</v>
      </c>
      <c r="Z70" s="326" t="str">
        <f>IF(一覧!X95="","",一覧!X95)</f>
        <v>ｔｅｎ！</v>
      </c>
      <c r="AA70" s="326" t="str">
        <f>IF(一覧!Y95="","",一覧!Y95)</f>
        <v>じゅっと</v>
      </c>
      <c r="AB70" s="326" t="str">
        <f>IF(一覧!Z95="","",一覧!Z95)</f>
        <v>ミヤネ屋</v>
      </c>
      <c r="AC70" s="326" t="str">
        <f>IF(一覧!AA95="","",一覧!AA95)</f>
        <v>ｔｅｎ！</v>
      </c>
      <c r="AD70" s="326" t="str">
        <f>IF(一覧!AB95="","",一覧!AB95)</f>
        <v>委員会</v>
      </c>
      <c r="AE70" s="326" t="str">
        <f>IF(一覧!AC95="","",一覧!AC95)</f>
        <v>★</v>
      </c>
      <c r="AF70" s="326" t="str">
        <f>IF(一覧!AD95="","",一覧!AD95)</f>
        <v>★★</v>
      </c>
      <c r="AG70" s="326" t="str">
        <f>IF(一覧!AE95="","",一覧!AE95)</f>
        <v>ミヤネ屋</v>
      </c>
      <c r="AH70" s="326" t="str">
        <f>IF(一覧!AF95="","",一覧!AF95)</f>
        <v>ミヤネ屋</v>
      </c>
      <c r="AI70" s="326" t="str">
        <f>IF(一覧!AG95="","",一覧!AG95)</f>
        <v/>
      </c>
      <c r="AJ70" s="329" t="str">
        <f>IF(一覧!AH95="","",一覧!AH95)</f>
        <v>松本</v>
      </c>
    </row>
    <row r="71" spans="1:36" ht="15" thickBot="1">
      <c r="A71" s="330" t="str">
        <f>一覧!AI95</f>
        <v>camera</v>
      </c>
      <c r="B71" s="331" t="str">
        <f>一覧!AJ95</f>
        <v>b</v>
      </c>
      <c r="C71" s="332"/>
      <c r="D71" s="333"/>
      <c r="E71" s="331" t="str">
        <f>IF(一覧!C96="","",一覧!C96)</f>
        <v>ＳＷ</v>
      </c>
      <c r="F71" s="331" t="str">
        <f>IF(一覧!D96="","",一覧!D96)</f>
        <v>ＣＡＭ</v>
      </c>
      <c r="G71" s="331" t="str">
        <f>IF(一覧!E96="","",一覧!E96)</f>
        <v>ＳＷ</v>
      </c>
      <c r="H71" s="331" t="str">
        <f>IF(一覧!F96="","",一覧!F96)</f>
        <v>※</v>
      </c>
      <c r="I71" s="331" t="str">
        <f>IF(一覧!G96="","",一覧!G96)</f>
        <v>※</v>
      </c>
      <c r="J71" s="331" t="str">
        <f>IF(一覧!H96="","",一覧!H96)</f>
        <v>ＳＷ</v>
      </c>
      <c r="K71" s="331" t="str">
        <f>IF(一覧!I96="","",一覧!I96)</f>
        <v/>
      </c>
      <c r="L71" s="331" t="str">
        <f>IF(一覧!J96="","",一覧!J96)</f>
        <v>ＣＡＭ</v>
      </c>
      <c r="M71" s="331" t="str">
        <f>IF(一覧!K96="","",一覧!K96)</f>
        <v>ＴＤ</v>
      </c>
      <c r="N71" s="331" t="str">
        <f>IF(一覧!L96="","",一覧!L96)</f>
        <v>※</v>
      </c>
      <c r="O71" s="331" t="str">
        <f>IF(一覧!M96="","",一覧!M96)</f>
        <v>※</v>
      </c>
      <c r="P71" s="331" t="str">
        <f>IF(一覧!N96="","",一覧!N96)</f>
        <v>ＣＡＭ</v>
      </c>
      <c r="Q71" s="331" t="str">
        <f>IF(一覧!O96="","",一覧!O96)</f>
        <v/>
      </c>
      <c r="R71" s="331" t="str">
        <f>IF(一覧!P96="","",一覧!P96)</f>
        <v/>
      </c>
      <c r="S71" s="331" t="str">
        <f>IF(一覧!Q96="","",一覧!Q96)</f>
        <v>ＳＷ</v>
      </c>
      <c r="T71" s="331" t="str">
        <f>IF(一覧!R96="","",一覧!R96)</f>
        <v>ＣＡＭ</v>
      </c>
      <c r="U71" s="331" t="str">
        <f>IF(一覧!S96="","",一覧!S96)</f>
        <v>ＴＤ</v>
      </c>
      <c r="V71" s="331" t="str">
        <f>IF(一覧!T96="","",一覧!T96)</f>
        <v>ＴＤ</v>
      </c>
      <c r="W71" s="331" t="str">
        <f>IF(一覧!U96="","",一覧!U96)</f>
        <v/>
      </c>
      <c r="X71" s="331" t="str">
        <f>IF(一覧!V96="","",一覧!V96)</f>
        <v/>
      </c>
      <c r="Y71" s="331" t="str">
        <f>IF(一覧!W96="","",一覧!W96)</f>
        <v/>
      </c>
      <c r="Z71" s="331" t="str">
        <f>IF(一覧!X96="","",一覧!X96)</f>
        <v>ＳＷ</v>
      </c>
      <c r="AA71" s="331" t="str">
        <f>IF(一覧!Y96="","",一覧!Y96)</f>
        <v>ＴＤ</v>
      </c>
      <c r="AB71" s="331" t="str">
        <f>IF(一覧!Z96="","",一覧!Z96)</f>
        <v>ＴＤ</v>
      </c>
      <c r="AC71" s="331" t="str">
        <f>IF(一覧!AA96="","",一覧!AA96)</f>
        <v>ＳＷ</v>
      </c>
      <c r="AD71" s="331" t="str">
        <f>IF(一覧!AB96="","",一覧!AB96)</f>
        <v>ＣＡＭ</v>
      </c>
      <c r="AE71" s="331" t="str">
        <f>IF(一覧!AC96="","",一覧!AC96)</f>
        <v/>
      </c>
      <c r="AF71" s="331" t="str">
        <f>IF(一覧!AD96="","",一覧!AD96)</f>
        <v/>
      </c>
      <c r="AG71" s="331" t="str">
        <f>IF(一覧!AE96="","",一覧!AE96)</f>
        <v>ＴＤ</v>
      </c>
      <c r="AH71" s="331" t="str">
        <f>IF(一覧!AF96="","",一覧!AF96)</f>
        <v>ＳＷ</v>
      </c>
      <c r="AI71" s="331" t="str">
        <f>IF(一覧!AG96="","",一覧!AG96)</f>
        <v/>
      </c>
      <c r="AJ71" s="334" t="str">
        <f>IF(一覧!AH96="","",一覧!AH96)</f>
        <v/>
      </c>
    </row>
    <row r="72" spans="1:36" ht="14.5">
      <c r="A72" s="325" t="str">
        <f>一覧!AI97</f>
        <v>VE</v>
      </c>
      <c r="B72" s="326" t="str">
        <f>一覧!AJ97</f>
        <v>b</v>
      </c>
      <c r="C72" s="327"/>
      <c r="D72" s="328" t="str">
        <f>一覧!B97</f>
        <v>松下　英男</v>
      </c>
      <c r="E72" s="326" t="str">
        <f>IF(一覧!C97="","",一覧!C97)</f>
        <v>ミヤネ屋</v>
      </c>
      <c r="F72" s="326" t="str">
        <f>IF(一覧!D97="","",一覧!D97)</f>
        <v>ミヤネ屋</v>
      </c>
      <c r="G72" s="326" t="str">
        <f>IF(一覧!E97="","",一覧!E97)</f>
        <v>年休</v>
      </c>
      <c r="H72" s="326" t="str">
        <f>IF(一覧!F97="","",一覧!F97)</f>
        <v>ミヤネ屋</v>
      </c>
      <c r="I72" s="326" t="str">
        <f>IF(一覧!G97="","",一覧!G97)</f>
        <v>ミヤネ屋</v>
      </c>
      <c r="J72" s="326" t="str">
        <f>IF(一覧!H97="","",一覧!H97)</f>
        <v>★</v>
      </c>
      <c r="K72" s="326" t="str">
        <f>IF(一覧!I97="","",一覧!I97)</f>
        <v>★★</v>
      </c>
      <c r="L72" s="326" t="str">
        <f>IF(一覧!J97="","",一覧!J97)</f>
        <v>昼NTD</v>
      </c>
      <c r="M72" s="326" t="str">
        <f>IF(一覧!K97="","",一覧!K97)</f>
        <v>ミヤネ屋</v>
      </c>
      <c r="N72" s="326" t="str">
        <f>IF(一覧!L97="","",一覧!L97)</f>
        <v>じゅっと</v>
      </c>
      <c r="O72" s="326" t="str">
        <f>IF(一覧!M97="","",一覧!M97)</f>
        <v>ｔｅｎ！</v>
      </c>
      <c r="P72" s="326" t="str">
        <f>IF(一覧!N97="","",一覧!N97)</f>
        <v>ミヤネ屋</v>
      </c>
      <c r="Q72" s="326" t="str">
        <f>IF(一覧!O97="","",一覧!O97)</f>
        <v>★★</v>
      </c>
      <c r="R72" s="326" t="str">
        <f>IF(一覧!P97="","",一覧!P97)</f>
        <v>ﾍﾘ訓練VE</v>
      </c>
      <c r="S72" s="326" t="str">
        <f>IF(一覧!Q97="","",一覧!Q97)</f>
        <v>★</v>
      </c>
      <c r="T72" s="326" t="str">
        <f>IF(一覧!R97="","",一覧!R97)</f>
        <v>じゅっと</v>
      </c>
      <c r="U72" s="326" t="str">
        <f>IF(一覧!S97="","",一覧!S97)</f>
        <v>年休</v>
      </c>
      <c r="V72" s="326" t="str">
        <f>IF(一覧!T97="","",一覧!T97)</f>
        <v>ｔｅｎ！</v>
      </c>
      <c r="W72" s="326" t="str">
        <f>IF(一覧!U97="","",一覧!U97)</f>
        <v>ｔｅｎ！</v>
      </c>
      <c r="X72" s="326" t="str">
        <f>IF(一覧!V97="","",一覧!V97)</f>
        <v>★</v>
      </c>
      <c r="Y72" s="326" t="str">
        <f>IF(一覧!W97="","",一覧!W97)</f>
        <v>★★</v>
      </c>
      <c r="Z72" s="326" t="str">
        <f>IF(一覧!X97="","",一覧!X97)</f>
        <v>昼NTD</v>
      </c>
      <c r="AA72" s="326" t="str">
        <f>IF(一覧!Y97="","",一覧!Y97)</f>
        <v>ｔｅｎ！</v>
      </c>
      <c r="AB72" s="326" t="str">
        <f>IF(一覧!Z97="","",一覧!Z97)</f>
        <v>じゅっと</v>
      </c>
      <c r="AC72" s="326" t="str">
        <f>IF(一覧!AA97="","",一覧!AA97)</f>
        <v>ｔｅｎ！</v>
      </c>
      <c r="AD72" s="326" t="str">
        <f>IF(一覧!AB97="","",一覧!AB97)</f>
        <v>ミヤネ屋</v>
      </c>
      <c r="AE72" s="326" t="str">
        <f>IF(一覧!AC97="","",一覧!AC97)</f>
        <v>★</v>
      </c>
      <c r="AF72" s="326" t="str">
        <f>IF(一覧!AD97="","",一覧!AD97)</f>
        <v>★★</v>
      </c>
      <c r="AG72" s="326" t="str">
        <f>IF(一覧!AE97="","",一覧!AE97)</f>
        <v>昼NTD</v>
      </c>
      <c r="AH72" s="326" t="str">
        <f>IF(一覧!AF97="","",一覧!AF97)</f>
        <v>じゅっと</v>
      </c>
      <c r="AI72" s="326" t="str">
        <f>IF(一覧!AG97="","",一覧!AG97)</f>
        <v/>
      </c>
      <c r="AJ72" s="329" t="str">
        <f>IF(一覧!AH97="","",一覧!AH97)</f>
        <v>松下</v>
      </c>
    </row>
    <row r="73" spans="1:36" ht="15" thickBot="1">
      <c r="A73" s="330" t="str">
        <f>一覧!AI97</f>
        <v>VE</v>
      </c>
      <c r="B73" s="331" t="str">
        <f>一覧!AJ97</f>
        <v>b</v>
      </c>
      <c r="C73" s="332"/>
      <c r="D73" s="333"/>
      <c r="E73" s="331" t="str">
        <f>IF(一覧!C98="","",一覧!C98)</f>
        <v>ＶＥ</v>
      </c>
      <c r="F73" s="331" t="str">
        <f>IF(一覧!D98="","",一覧!D98)</f>
        <v>ＶＥ</v>
      </c>
      <c r="G73" s="331" t="str">
        <f>IF(一覧!E98="","",一覧!E98)</f>
        <v>※</v>
      </c>
      <c r="H73" s="331" t="str">
        <f>IF(一覧!F98="","",一覧!F98)</f>
        <v>ＶＥ</v>
      </c>
      <c r="I73" s="331" t="str">
        <f>IF(一覧!G98="","",一覧!G98)</f>
        <v>ＴＤ</v>
      </c>
      <c r="J73" s="331" t="str">
        <f>IF(一覧!H98="","",一覧!H98)</f>
        <v/>
      </c>
      <c r="K73" s="331" t="str">
        <f>IF(一覧!I98="","",一覧!I98)</f>
        <v/>
      </c>
      <c r="L73" s="331" t="str">
        <f>IF(一覧!J98="","",一覧!J98)</f>
        <v/>
      </c>
      <c r="M73" s="331" t="str">
        <f>IF(一覧!K98="","",一覧!K98)</f>
        <v>ＴＤ</v>
      </c>
      <c r="N73" s="331" t="str">
        <f>IF(一覧!L98="","",一覧!L98)</f>
        <v>ＴＤ</v>
      </c>
      <c r="O73" s="331" t="str">
        <f>IF(一覧!M98="","",一覧!M98)</f>
        <v>ＶＥ</v>
      </c>
      <c r="P73" s="331" t="str">
        <f>IF(一覧!N98="","",一覧!N98)</f>
        <v>ＴＤ</v>
      </c>
      <c r="Q73" s="331" t="str">
        <f>IF(一覧!O98="","",一覧!O98)</f>
        <v>ﾍﾘ訓練VE</v>
      </c>
      <c r="R73" s="331" t="str">
        <f>IF(一覧!P98="","",一覧!P98)</f>
        <v/>
      </c>
      <c r="S73" s="331" t="str">
        <f>IF(一覧!Q98="","",一覧!Q98)</f>
        <v/>
      </c>
      <c r="T73" s="331" t="str">
        <f>IF(一覧!R98="","",一覧!R98)</f>
        <v>ＴＤ</v>
      </c>
      <c r="U73" s="331" t="str">
        <f>IF(一覧!S98="","",一覧!S98)</f>
        <v>※</v>
      </c>
      <c r="V73" s="331" t="str">
        <f>IF(一覧!T98="","",一覧!T98)</f>
        <v>ＶＥ</v>
      </c>
      <c r="W73" s="331" t="str">
        <f>IF(一覧!U98="","",一覧!U98)</f>
        <v>ＴＤ</v>
      </c>
      <c r="X73" s="331" t="str">
        <f>IF(一覧!V98="","",一覧!V98)</f>
        <v/>
      </c>
      <c r="Y73" s="331" t="str">
        <f>IF(一覧!W98="","",一覧!W98)</f>
        <v/>
      </c>
      <c r="Z73" s="331" t="str">
        <f>IF(一覧!X98="","",一覧!X98)</f>
        <v/>
      </c>
      <c r="AA73" s="331" t="str">
        <f>IF(一覧!Y98="","",一覧!Y98)</f>
        <v>ＴＤ</v>
      </c>
      <c r="AB73" s="331" t="str">
        <f>IF(一覧!Z98="","",一覧!Z98)</f>
        <v>TD/VEG</v>
      </c>
      <c r="AC73" s="331" t="str">
        <f>IF(一覧!AA98="","",一覧!AA98)</f>
        <v>ＶＥ</v>
      </c>
      <c r="AD73" s="331" t="str">
        <f>IF(一覧!AB98="","",一覧!AB98)</f>
        <v>ＶＥ</v>
      </c>
      <c r="AE73" s="331" t="str">
        <f>IF(一覧!AC98="","",一覧!AC98)</f>
        <v/>
      </c>
      <c r="AF73" s="331" t="str">
        <f>IF(一覧!AD98="","",一覧!AD98)</f>
        <v/>
      </c>
      <c r="AG73" s="331" t="str">
        <f>IF(一覧!AE98="","",一覧!AE98)</f>
        <v/>
      </c>
      <c r="AH73" s="331" t="str">
        <f>IF(一覧!AF98="","",一覧!AF98)</f>
        <v>ＶＥ</v>
      </c>
      <c r="AI73" s="331" t="str">
        <f>IF(一覧!AG98="","",一覧!AG98)</f>
        <v/>
      </c>
      <c r="AJ73" s="334" t="str">
        <f>IF(一覧!AH98="","",一覧!AH98)</f>
        <v/>
      </c>
    </row>
    <row r="74" spans="1:36" ht="14.5">
      <c r="A74" s="325" t="str">
        <f>一覧!AI99</f>
        <v>houdou</v>
      </c>
      <c r="B74" s="326" t="str">
        <f>一覧!AJ99</f>
        <v>b</v>
      </c>
      <c r="C74" s="327"/>
      <c r="D74" s="328" t="str">
        <f>一覧!B99</f>
        <v>昼NTD</v>
      </c>
      <c r="E74" s="326" t="str">
        <f>IF(一覧!C99="","",一覧!C99)</f>
        <v/>
      </c>
      <c r="F74" s="326" t="str">
        <f>IF(一覧!D99="","",一覧!D99)</f>
        <v/>
      </c>
      <c r="G74" s="326" t="str">
        <f>IF(一覧!E99="","",一覧!E99)</f>
        <v/>
      </c>
      <c r="H74" s="326" t="str">
        <f>IF(一覧!F99="","",一覧!F99)</f>
        <v/>
      </c>
      <c r="I74" s="326" t="str">
        <f>IF(一覧!G99="","",一覧!G99)</f>
        <v/>
      </c>
      <c r="J74" s="326" t="str">
        <f>IF(一覧!H99="","",一覧!H99)</f>
        <v/>
      </c>
      <c r="K74" s="326" t="str">
        <f>IF(一覧!I99="","",一覧!I99)</f>
        <v/>
      </c>
      <c r="L74" s="326" t="str">
        <f>IF(一覧!J99="","",一覧!J99)</f>
        <v>松下</v>
      </c>
      <c r="M74" s="326" t="str">
        <f>IF(一覧!K99="","",一覧!K99)</f>
        <v/>
      </c>
      <c r="N74" s="326" t="str">
        <f>IF(一覧!L99="","",一覧!L99)</f>
        <v/>
      </c>
      <c r="O74" s="326" t="str">
        <f>IF(一覧!M99="","",一覧!M99)</f>
        <v/>
      </c>
      <c r="P74" s="326" t="str">
        <f>IF(一覧!N99="","",一覧!N99)</f>
        <v/>
      </c>
      <c r="Q74" s="326" t="str">
        <f>IF(一覧!O99="","",一覧!O99)</f>
        <v/>
      </c>
      <c r="R74" s="326" t="str">
        <f>IF(一覧!P99="","",一覧!P99)</f>
        <v/>
      </c>
      <c r="S74" s="326" t="str">
        <f>IF(一覧!Q99="","",一覧!Q99)</f>
        <v/>
      </c>
      <c r="T74" s="326" t="str">
        <f>IF(一覧!R99="","",一覧!R99)</f>
        <v/>
      </c>
      <c r="U74" s="326" t="str">
        <f>IF(一覧!S99="","",一覧!S99)</f>
        <v/>
      </c>
      <c r="V74" s="326" t="str">
        <f>IF(一覧!T99="","",一覧!T99)</f>
        <v/>
      </c>
      <c r="W74" s="326" t="str">
        <f>IF(一覧!U99="","",一覧!U99)</f>
        <v/>
      </c>
      <c r="X74" s="326" t="str">
        <f>IF(一覧!V99="","",一覧!V99)</f>
        <v/>
      </c>
      <c r="Y74" s="326" t="str">
        <f>IF(一覧!W99="","",一覧!W99)</f>
        <v/>
      </c>
      <c r="Z74" s="326" t="str">
        <f>IF(一覧!X99="","",一覧!X99)</f>
        <v>松下</v>
      </c>
      <c r="AA74" s="326" t="str">
        <f>IF(一覧!Y99="","",一覧!Y99)</f>
        <v/>
      </c>
      <c r="AB74" s="326" t="str">
        <f>IF(一覧!Z99="","",一覧!Z99)</f>
        <v/>
      </c>
      <c r="AC74" s="326" t="str">
        <f>IF(一覧!AA99="","",一覧!AA99)</f>
        <v/>
      </c>
      <c r="AD74" s="326" t="str">
        <f>IF(一覧!AB99="","",一覧!AB99)</f>
        <v/>
      </c>
      <c r="AE74" s="326" t="str">
        <f>IF(一覧!AC99="","",一覧!AC99)</f>
        <v/>
      </c>
      <c r="AF74" s="326" t="str">
        <f>IF(一覧!AD99="","",一覧!AD99)</f>
        <v/>
      </c>
      <c r="AG74" s="326" t="str">
        <f>IF(一覧!AE99="","",一覧!AE99)</f>
        <v>松下</v>
      </c>
      <c r="AH74" s="326" t="str">
        <f>IF(一覧!AF99="","",一覧!AF99)</f>
        <v/>
      </c>
      <c r="AI74" s="326" t="str">
        <f>IF(一覧!AG99="","",一覧!AG99)</f>
        <v/>
      </c>
      <c r="AJ74" s="329" t="str">
        <f>IF(一覧!AH99="","",一覧!AH99)</f>
        <v>昼NTD</v>
      </c>
    </row>
    <row r="75" spans="1:36" ht="15" thickBot="1">
      <c r="A75" s="330" t="str">
        <f>一覧!AI99</f>
        <v>houdou</v>
      </c>
      <c r="B75" s="331" t="str">
        <f>一覧!AJ99</f>
        <v>b</v>
      </c>
      <c r="C75" s="332"/>
      <c r="D75" s="333"/>
      <c r="E75" s="331" t="str">
        <f>IF(一覧!C100="","",一覧!C100)</f>
        <v/>
      </c>
      <c r="F75" s="331" t="str">
        <f>IF(一覧!D100="","",一覧!D100)</f>
        <v/>
      </c>
      <c r="G75" s="331" t="str">
        <f>IF(一覧!E100="","",一覧!E100)</f>
        <v/>
      </c>
      <c r="H75" s="331" t="str">
        <f>IF(一覧!F100="","",一覧!F100)</f>
        <v/>
      </c>
      <c r="I75" s="331" t="str">
        <f>IF(一覧!G100="","",一覧!G100)</f>
        <v/>
      </c>
      <c r="J75" s="331" t="str">
        <f>IF(一覧!H100="","",一覧!H100)</f>
        <v/>
      </c>
      <c r="K75" s="331" t="str">
        <f>IF(一覧!I100="","",一覧!I100)</f>
        <v/>
      </c>
      <c r="L75" s="331" t="str">
        <f>IF(一覧!J100="","",一覧!J100)</f>
        <v/>
      </c>
      <c r="M75" s="331" t="str">
        <f>IF(一覧!K100="","",一覧!K100)</f>
        <v/>
      </c>
      <c r="N75" s="331" t="str">
        <f>IF(一覧!L100="","",一覧!L100)</f>
        <v/>
      </c>
      <c r="O75" s="331" t="str">
        <f>IF(一覧!M100="","",一覧!M100)</f>
        <v/>
      </c>
      <c r="P75" s="331" t="str">
        <f>IF(一覧!N100="","",一覧!N100)</f>
        <v/>
      </c>
      <c r="Q75" s="331" t="str">
        <f>IF(一覧!O100="","",一覧!O100)</f>
        <v/>
      </c>
      <c r="R75" s="331" t="str">
        <f>IF(一覧!P100="","",一覧!P100)</f>
        <v/>
      </c>
      <c r="S75" s="331" t="str">
        <f>IF(一覧!Q100="","",一覧!Q100)</f>
        <v/>
      </c>
      <c r="T75" s="331" t="str">
        <f>IF(一覧!R100="","",一覧!R100)</f>
        <v/>
      </c>
      <c r="U75" s="331" t="str">
        <f>IF(一覧!S100="","",一覧!S100)</f>
        <v/>
      </c>
      <c r="V75" s="331" t="str">
        <f>IF(一覧!T100="","",一覧!T100)</f>
        <v/>
      </c>
      <c r="W75" s="331" t="str">
        <f>IF(一覧!U100="","",一覧!U100)</f>
        <v/>
      </c>
      <c r="X75" s="331" t="str">
        <f>IF(一覧!V100="","",一覧!V100)</f>
        <v/>
      </c>
      <c r="Y75" s="331" t="str">
        <f>IF(一覧!W100="","",一覧!W100)</f>
        <v/>
      </c>
      <c r="Z75" s="331" t="str">
        <f>IF(一覧!X100="","",一覧!X100)</f>
        <v/>
      </c>
      <c r="AA75" s="331" t="str">
        <f>IF(一覧!Y100="","",一覧!Y100)</f>
        <v/>
      </c>
      <c r="AB75" s="331" t="str">
        <f>IF(一覧!Z100="","",一覧!Z100)</f>
        <v/>
      </c>
      <c r="AC75" s="331" t="str">
        <f>IF(一覧!AA100="","",一覧!AA100)</f>
        <v/>
      </c>
      <c r="AD75" s="331" t="str">
        <f>IF(一覧!AB100="","",一覧!AB100)</f>
        <v/>
      </c>
      <c r="AE75" s="331" t="str">
        <f>IF(一覧!AC100="","",一覧!AC100)</f>
        <v/>
      </c>
      <c r="AF75" s="331" t="str">
        <f>IF(一覧!AD100="","",一覧!AD100)</f>
        <v/>
      </c>
      <c r="AG75" s="331" t="str">
        <f>IF(一覧!AE100="","",一覧!AE100)</f>
        <v/>
      </c>
      <c r="AH75" s="331" t="str">
        <f>IF(一覧!AF100="","",一覧!AF100)</f>
        <v/>
      </c>
      <c r="AI75" s="331" t="str">
        <f>IF(一覧!AG100="","",一覧!AG100)</f>
        <v/>
      </c>
      <c r="AJ75" s="334" t="str">
        <f>IF(一覧!AH100="","",一覧!AH100)</f>
        <v/>
      </c>
    </row>
    <row r="76" spans="1:36" ht="14.5">
      <c r="A76" s="325" t="str">
        <f>一覧!AI101</f>
        <v>houdou</v>
      </c>
      <c r="B76" s="326" t="str">
        <f>一覧!AJ101</f>
        <v>b</v>
      </c>
      <c r="C76" s="327"/>
      <c r="D76" s="328" t="str">
        <f>一覧!B101</f>
        <v>ミヤネ屋TD</v>
      </c>
      <c r="E76" s="326" t="str">
        <f>IF(一覧!C101="","",一覧!C101)</f>
        <v/>
      </c>
      <c r="F76" s="326" t="str">
        <f>IF(一覧!D101="","",一覧!D101)</f>
        <v/>
      </c>
      <c r="G76" s="326" t="str">
        <f>IF(一覧!E101="","",一覧!E101)</f>
        <v/>
      </c>
      <c r="H76" s="326" t="str">
        <f>IF(一覧!F101="","",一覧!F101)</f>
        <v/>
      </c>
      <c r="I76" s="326" t="str">
        <f>IF(一覧!G101="","",一覧!G101)</f>
        <v/>
      </c>
      <c r="J76" s="326" t="str">
        <f>IF(一覧!H101="","",一覧!H101)</f>
        <v/>
      </c>
      <c r="K76" s="326" t="str">
        <f>IF(一覧!I101="","",一覧!I101)</f>
        <v/>
      </c>
      <c r="L76" s="326" t="str">
        <f>IF(一覧!J101="","",一覧!J101)</f>
        <v/>
      </c>
      <c r="M76" s="326" t="str">
        <f>IF(一覧!K101="","",一覧!K101)</f>
        <v/>
      </c>
      <c r="N76" s="326" t="str">
        <f>IF(一覧!L101="","",一覧!L101)</f>
        <v/>
      </c>
      <c r="O76" s="326" t="str">
        <f>IF(一覧!M101="","",一覧!M101)</f>
        <v/>
      </c>
      <c r="P76" s="326" t="str">
        <f>IF(一覧!N101="","",一覧!N101)</f>
        <v/>
      </c>
      <c r="Q76" s="326" t="str">
        <f>IF(一覧!O101="","",一覧!O101)</f>
        <v/>
      </c>
      <c r="R76" s="326" t="str">
        <f>IF(一覧!P101="","",一覧!P101)</f>
        <v/>
      </c>
      <c r="S76" s="326" t="str">
        <f>IF(一覧!Q101="","",一覧!Q101)</f>
        <v/>
      </c>
      <c r="T76" s="326" t="str">
        <f>IF(一覧!R101="","",一覧!R101)</f>
        <v/>
      </c>
      <c r="U76" s="326" t="str">
        <f>IF(一覧!S101="","",一覧!S101)</f>
        <v/>
      </c>
      <c r="V76" s="326" t="str">
        <f>IF(一覧!T101="","",一覧!T101)</f>
        <v/>
      </c>
      <c r="W76" s="326" t="str">
        <f>IF(一覧!U101="","",一覧!U101)</f>
        <v>NT</v>
      </c>
      <c r="X76" s="326" t="str">
        <f>IF(一覧!V101="","",一覧!V101)</f>
        <v/>
      </c>
      <c r="Y76" s="326" t="str">
        <f>IF(一覧!W101="","",一覧!W101)</f>
        <v/>
      </c>
      <c r="Z76" s="326" t="str">
        <f>IF(一覧!X101="","",一覧!X101)</f>
        <v/>
      </c>
      <c r="AA76" s="326" t="str">
        <f>IF(一覧!Y101="","",一覧!Y101)</f>
        <v/>
      </c>
      <c r="AB76" s="326" t="str">
        <f>IF(一覧!Z101="","",一覧!Z101)</f>
        <v/>
      </c>
      <c r="AC76" s="326" t="str">
        <f>IF(一覧!AA101="","",一覧!AA101)</f>
        <v/>
      </c>
      <c r="AD76" s="326" t="str">
        <f>IF(一覧!AB101="","",一覧!AB101)</f>
        <v/>
      </c>
      <c r="AE76" s="326" t="str">
        <f>IF(一覧!AC101="","",一覧!AC101)</f>
        <v/>
      </c>
      <c r="AF76" s="326" t="str">
        <f>IF(一覧!AD101="","",一覧!AD101)</f>
        <v/>
      </c>
      <c r="AG76" s="326" t="str">
        <f>IF(一覧!AE101="","",一覧!AE101)</f>
        <v/>
      </c>
      <c r="AH76" s="326" t="str">
        <f>IF(一覧!AF101="","",一覧!AF101)</f>
        <v>NT</v>
      </c>
      <c r="AI76" s="326" t="str">
        <f>IF(一覧!AG101="","",一覧!AG101)</f>
        <v/>
      </c>
      <c r="AJ76" s="329" t="str">
        <f>IF(一覧!AH101="","",一覧!AH101)</f>
        <v>ミヤTD</v>
      </c>
    </row>
    <row r="77" spans="1:36" ht="15" thickBot="1">
      <c r="A77" s="330" t="str">
        <f>一覧!AI101</f>
        <v>houdou</v>
      </c>
      <c r="B77" s="331" t="str">
        <f>一覧!AJ101</f>
        <v>b</v>
      </c>
      <c r="C77" s="332"/>
      <c r="D77" s="333"/>
      <c r="E77" s="331" t="str">
        <f>IF(一覧!C102="","",一覧!C102)</f>
        <v/>
      </c>
      <c r="F77" s="331" t="str">
        <f>IF(一覧!D102="","",一覧!D102)</f>
        <v/>
      </c>
      <c r="G77" s="331" t="str">
        <f>IF(一覧!E102="","",一覧!E102)</f>
        <v/>
      </c>
      <c r="H77" s="331" t="str">
        <f>IF(一覧!F102="","",一覧!F102)</f>
        <v/>
      </c>
      <c r="I77" s="331" t="str">
        <f>IF(一覧!G102="","",一覧!G102)</f>
        <v/>
      </c>
      <c r="J77" s="331" t="str">
        <f>IF(一覧!H102="","",一覧!H102)</f>
        <v/>
      </c>
      <c r="K77" s="331" t="str">
        <f>IF(一覧!I102="","",一覧!I102)</f>
        <v/>
      </c>
      <c r="L77" s="331" t="str">
        <f>IF(一覧!J102="","",一覧!J102)</f>
        <v/>
      </c>
      <c r="M77" s="331" t="str">
        <f>IF(一覧!K102="","",一覧!K102)</f>
        <v/>
      </c>
      <c r="N77" s="331" t="str">
        <f>IF(一覧!L102="","",一覧!L102)</f>
        <v/>
      </c>
      <c r="O77" s="331" t="str">
        <f>IF(一覧!M102="","",一覧!M102)</f>
        <v/>
      </c>
      <c r="P77" s="331" t="str">
        <f>IF(一覧!N102="","",一覧!N102)</f>
        <v/>
      </c>
      <c r="Q77" s="331" t="str">
        <f>IF(一覧!O102="","",一覧!O102)</f>
        <v/>
      </c>
      <c r="R77" s="331" t="str">
        <f>IF(一覧!P102="","",一覧!P102)</f>
        <v/>
      </c>
      <c r="S77" s="331" t="str">
        <f>IF(一覧!Q102="","",一覧!Q102)</f>
        <v/>
      </c>
      <c r="T77" s="331" t="str">
        <f>IF(一覧!R102="","",一覧!R102)</f>
        <v/>
      </c>
      <c r="U77" s="331" t="str">
        <f>IF(一覧!S102="","",一覧!S102)</f>
        <v/>
      </c>
      <c r="V77" s="331" t="str">
        <f>IF(一覧!T102="","",一覧!T102)</f>
        <v/>
      </c>
      <c r="W77" s="331" t="str">
        <f>IF(一覧!U102="","",一覧!U102)</f>
        <v/>
      </c>
      <c r="X77" s="331" t="str">
        <f>IF(一覧!V102="","",一覧!V102)</f>
        <v/>
      </c>
      <c r="Y77" s="331" t="str">
        <f>IF(一覧!W102="","",一覧!W102)</f>
        <v/>
      </c>
      <c r="Z77" s="331" t="str">
        <f>IF(一覧!X102="","",一覧!X102)</f>
        <v/>
      </c>
      <c r="AA77" s="331" t="str">
        <f>IF(一覧!Y102="","",一覧!Y102)</f>
        <v/>
      </c>
      <c r="AB77" s="331" t="str">
        <f>IF(一覧!Z102="","",一覧!Z102)</f>
        <v/>
      </c>
      <c r="AC77" s="331" t="str">
        <f>IF(一覧!AA102="","",一覧!AA102)</f>
        <v/>
      </c>
      <c r="AD77" s="331" t="str">
        <f>IF(一覧!AB102="","",一覧!AB102)</f>
        <v/>
      </c>
      <c r="AE77" s="331" t="str">
        <f>IF(一覧!AC102="","",一覧!AC102)</f>
        <v/>
      </c>
      <c r="AF77" s="331" t="str">
        <f>IF(一覧!AD102="","",一覧!AD102)</f>
        <v/>
      </c>
      <c r="AG77" s="331" t="str">
        <f>IF(一覧!AE102="","",一覧!AE102)</f>
        <v/>
      </c>
      <c r="AH77" s="331" t="str">
        <f>IF(一覧!AF102="","",一覧!AF102)</f>
        <v/>
      </c>
      <c r="AI77" s="331" t="str">
        <f>IF(一覧!AG102="","",一覧!AG102)</f>
        <v/>
      </c>
      <c r="AJ77" s="334" t="str">
        <f>IF(一覧!AH102="","",一覧!AH102)</f>
        <v/>
      </c>
    </row>
    <row r="78" spans="1:36" ht="14.5">
      <c r="A78" s="325" t="str">
        <f>一覧!AI103</f>
        <v>hensyu</v>
      </c>
      <c r="B78" s="326" t="str">
        <f>一覧!AJ103</f>
        <v>b</v>
      </c>
      <c r="C78" s="327"/>
      <c r="D78" s="328" t="str">
        <f>一覧!B103</f>
        <v>藤井　一也</v>
      </c>
      <c r="E78" s="326" t="str">
        <f>IF(一覧!C103="","",一覧!C103)</f>
        <v>局会</v>
      </c>
      <c r="F78" s="326" t="str">
        <f>IF(一覧!D103="","",一覧!D103)</f>
        <v>AWS</v>
      </c>
      <c r="G78" s="326" t="str">
        <f>IF(一覧!E103="","",一覧!E103)</f>
        <v>委員会２</v>
      </c>
      <c r="H78" s="326" t="str">
        <f>IF(一覧!F103="","",一覧!F103)</f>
        <v xml:space="preserve"> </v>
      </c>
      <c r="I78" s="326" t="str">
        <f>IF(一覧!G103="","",一覧!G103)</f>
        <v>委員会'</v>
      </c>
      <c r="J78" s="326" t="str">
        <f>IF(一覧!H103="","",一覧!H103)</f>
        <v>★</v>
      </c>
      <c r="K78" s="326" t="str">
        <f>IF(一覧!I103="","",一覧!I103)</f>
        <v>★★</v>
      </c>
      <c r="L78" s="326" t="str">
        <f>IF(一覧!J103="","",一覧!J103)</f>
        <v xml:space="preserve"> </v>
      </c>
      <c r="M78" s="326" t="str">
        <f>IF(一覧!K103="","",一覧!K103)</f>
        <v>中継車WG</v>
      </c>
      <c r="N78" s="326" t="str">
        <f>IF(一覧!L103="","",一覧!L103)</f>
        <v>声</v>
      </c>
      <c r="O78" s="326" t="str">
        <f>IF(一覧!M103="","",一覧!M103)</f>
        <v>出張</v>
      </c>
      <c r="P78" s="326" t="str">
        <f>IF(一覧!N103="","",一覧!N103)</f>
        <v>出張</v>
      </c>
      <c r="Q78" s="326" t="str">
        <f>IF(一覧!O103="","",一覧!O103)</f>
        <v>★</v>
      </c>
      <c r="R78" s="326" t="str">
        <f>IF(一覧!P103="","",一覧!P103)</f>
        <v>★★</v>
      </c>
      <c r="S78" s="326" t="str">
        <f>IF(一覧!Q103="","",一覧!Q103)</f>
        <v xml:space="preserve"> </v>
      </c>
      <c r="T78" s="326" t="str">
        <f>IF(一覧!R103="","",一覧!R103)</f>
        <v/>
      </c>
      <c r="U78" s="326" t="str">
        <f>IF(一覧!S103="","",一覧!S103)</f>
        <v xml:space="preserve"> </v>
      </c>
      <c r="V78" s="326" t="str">
        <f>IF(一覧!T103="","",一覧!T103)</f>
        <v xml:space="preserve"> </v>
      </c>
      <c r="W78" s="326" t="str">
        <f>IF(一覧!U103="","",一覧!U103)</f>
        <v>イベント</v>
      </c>
      <c r="X78" s="326" t="str">
        <f>IF(一覧!V103="","",一覧!V103)</f>
        <v>★</v>
      </c>
      <c r="Y78" s="326" t="str">
        <f>IF(一覧!W103="","",一覧!W103)</f>
        <v>★★</v>
      </c>
      <c r="Z78" s="326" t="str">
        <f>IF(一覧!X103="","",一覧!X103)</f>
        <v>ほんわか１</v>
      </c>
      <c r="AA78" s="326" t="str">
        <f>IF(一覧!Y103="","",一覧!Y103)</f>
        <v xml:space="preserve"> </v>
      </c>
      <c r="AB78" s="326" t="str">
        <f>IF(一覧!Z103="","",一覧!Z103)</f>
        <v>代休</v>
      </c>
      <c r="AC78" s="326" t="str">
        <f>IF(一覧!AA103="","",一覧!AA103)</f>
        <v>年休</v>
      </c>
      <c r="AD78" s="326" t="str">
        <f>IF(一覧!AB103="","",一覧!AB103)</f>
        <v>編集G会議</v>
      </c>
      <c r="AE78" s="326" t="str">
        <f>IF(一覧!AC103="","",一覧!AC103)</f>
        <v>★</v>
      </c>
      <c r="AF78" s="326" t="str">
        <f>IF(一覧!AD103="","",一覧!AD103)</f>
        <v>★★</v>
      </c>
      <c r="AG78" s="326" t="str">
        <f>IF(一覧!AE103="","",一覧!AE103)</f>
        <v xml:space="preserve"> </v>
      </c>
      <c r="AH78" s="326" t="str">
        <f>IF(一覧!AF103="","",一覧!AF103)</f>
        <v>地球便</v>
      </c>
      <c r="AI78" s="326" t="str">
        <f>IF(一覧!AG103="","",一覧!AG103)</f>
        <v xml:space="preserve"> </v>
      </c>
      <c r="AJ78" s="329" t="str">
        <f>IF(一覧!AH103="","",一覧!AH103)</f>
        <v>藤井一</v>
      </c>
    </row>
    <row r="79" spans="1:36" ht="15" thickBot="1">
      <c r="A79" s="330" t="str">
        <f>一覧!AI103</f>
        <v>hensyu</v>
      </c>
      <c r="B79" s="331" t="str">
        <f>一覧!AJ103</f>
        <v>b</v>
      </c>
      <c r="C79" s="332"/>
      <c r="D79" s="333"/>
      <c r="E79" s="331" t="str">
        <f>IF(一覧!C104="","",一覧!C104)</f>
        <v>Play</v>
      </c>
      <c r="F79" s="331" t="str">
        <f>IF(一覧!D104="","",一覧!D104)</f>
        <v xml:space="preserve"> </v>
      </c>
      <c r="G79" s="331" t="str">
        <f>IF(一覧!E104="","",一覧!E104)</f>
        <v>SP編集2</v>
      </c>
      <c r="H79" s="331" t="str">
        <f>IF(一覧!F104="","",一覧!F104)</f>
        <v xml:space="preserve"> </v>
      </c>
      <c r="I79" s="331" t="str">
        <f>IF(一覧!G104="","",一覧!G104)</f>
        <v/>
      </c>
      <c r="J79" s="331" t="str">
        <f>IF(一覧!H104="","",一覧!H104)</f>
        <v xml:space="preserve"> </v>
      </c>
      <c r="K79" s="331" t="str">
        <f>IF(一覧!I104="","",一覧!I104)</f>
        <v xml:space="preserve"> </v>
      </c>
      <c r="L79" s="331" t="str">
        <f>IF(一覧!J104="","",一覧!J104)</f>
        <v xml:space="preserve"> </v>
      </c>
      <c r="M79" s="331" t="str">
        <f>IF(一覧!K104="","",一覧!K104)</f>
        <v xml:space="preserve"> </v>
      </c>
      <c r="N79" s="331" t="str">
        <f>IF(一覧!L104="","",一覧!L104)</f>
        <v xml:space="preserve"> </v>
      </c>
      <c r="O79" s="331" t="str">
        <f>IF(一覧!M104="","",一覧!M104)</f>
        <v>Interop</v>
      </c>
      <c r="P79" s="331" t="str">
        <f>IF(一覧!N104="","",一覧!N104)</f>
        <v>Interop</v>
      </c>
      <c r="Q79" s="331" t="str">
        <f>IF(一覧!O104="","",一覧!O104)</f>
        <v xml:space="preserve"> </v>
      </c>
      <c r="R79" s="331" t="str">
        <f>IF(一覧!P104="","",一覧!P104)</f>
        <v xml:space="preserve"> </v>
      </c>
      <c r="S79" s="331" t="str">
        <f>IF(一覧!Q104="","",一覧!Q104)</f>
        <v xml:space="preserve"> </v>
      </c>
      <c r="T79" s="331" t="str">
        <f>IF(一覧!R104="","",一覧!R104)</f>
        <v xml:space="preserve"> </v>
      </c>
      <c r="U79" s="331" t="str">
        <f>IF(一覧!S104="","",一覧!S104)</f>
        <v xml:space="preserve"> </v>
      </c>
      <c r="V79" s="331" t="str">
        <f>IF(一覧!T104="","",一覧!T104)</f>
        <v xml:space="preserve"> </v>
      </c>
      <c r="W79" s="331" t="str">
        <f>IF(一覧!U104="","",一覧!U104)</f>
        <v>AI</v>
      </c>
      <c r="X79" s="331" t="str">
        <f>IF(一覧!V104="","",一覧!V104)</f>
        <v xml:space="preserve"> </v>
      </c>
      <c r="Y79" s="331" t="str">
        <f>IF(一覧!W104="","",一覧!W104)</f>
        <v xml:space="preserve"> </v>
      </c>
      <c r="Z79" s="331" t="str">
        <f>IF(一覧!X104="","",一覧!X104)</f>
        <v>編集1</v>
      </c>
      <c r="AA79" s="331" t="str">
        <f>IF(一覧!Y104="","",一覧!Y104)</f>
        <v xml:space="preserve"> </v>
      </c>
      <c r="AB79" s="331" t="str">
        <f>IF(一覧!Z104="","",一覧!Z104)</f>
        <v>5/30</v>
      </c>
      <c r="AC79" s="331" t="str">
        <f>IF(一覧!AA104="","",一覧!AA104)</f>
        <v xml:space="preserve"> </v>
      </c>
      <c r="AD79" s="331" t="str">
        <f>IF(一覧!AB104="","",一覧!AB104)</f>
        <v xml:space="preserve"> </v>
      </c>
      <c r="AE79" s="331" t="str">
        <f>IF(一覧!AC104="","",一覧!AC104)</f>
        <v xml:space="preserve"> </v>
      </c>
      <c r="AF79" s="331" t="str">
        <f>IF(一覧!AD104="","",一覧!AD104)</f>
        <v xml:space="preserve"> </v>
      </c>
      <c r="AG79" s="331" t="str">
        <f>IF(一覧!AE104="","",一覧!AE104)</f>
        <v xml:space="preserve"> </v>
      </c>
      <c r="AH79" s="331" t="str">
        <f>IF(一覧!AF104="","",一覧!AF104)</f>
        <v xml:space="preserve"> </v>
      </c>
      <c r="AI79" s="331" t="str">
        <f>IF(一覧!AG104="","",一覧!AG104)</f>
        <v xml:space="preserve"> </v>
      </c>
      <c r="AJ79" s="334" t="str">
        <f>IF(一覧!AH104="","",一覧!AH104)</f>
        <v/>
      </c>
    </row>
    <row r="80" spans="1:36" ht="14.5">
      <c r="A80" s="325" t="str">
        <f>一覧!AI105</f>
        <v>hensyu</v>
      </c>
      <c r="B80" s="326" t="str">
        <f>一覧!AJ105</f>
        <v>b</v>
      </c>
      <c r="C80" s="327"/>
      <c r="D80" s="328" t="str">
        <f>一覧!B105</f>
        <v>井ノ口鉱三</v>
      </c>
      <c r="E80" s="326" t="str">
        <f>IF(一覧!C105="","",一覧!C105)</f>
        <v xml:space="preserve"> </v>
      </c>
      <c r="F80" s="326" t="str">
        <f>IF(一覧!D105="","",一覧!D105)</f>
        <v>地球便</v>
      </c>
      <c r="G80" s="326" t="str">
        <f>IF(一覧!E105="","",一覧!E105)</f>
        <v>委員会１</v>
      </c>
      <c r="H80" s="326" t="str">
        <f>IF(一覧!F105="","",一覧!F105)</f>
        <v>ｺﾝﾃﾝﾂ</v>
      </c>
      <c r="I80" s="326" t="str">
        <f>IF(一覧!G105="","",一覧!G105)</f>
        <v>委員会１</v>
      </c>
      <c r="J80" s="326" t="str">
        <f>IF(一覧!H105="","",一覧!H105)</f>
        <v>★</v>
      </c>
      <c r="K80" s="326" t="str">
        <f>IF(一覧!I105="","",一覧!I105)</f>
        <v>★★</v>
      </c>
      <c r="L80" s="326" t="str">
        <f>IF(一覧!J105="","",一覧!J105)</f>
        <v>声</v>
      </c>
      <c r="M80" s="326" t="str">
        <f>IF(一覧!K105="","",一覧!K105)</f>
        <v>地球便</v>
      </c>
      <c r="N80" s="326" t="str">
        <f>IF(一覧!L105="","",一覧!L105)</f>
        <v>室内楽’</v>
      </c>
      <c r="O80" s="326" t="str">
        <f>IF(一覧!M105="","",一覧!M105)</f>
        <v>ｺﾝﾃﾝﾂ</v>
      </c>
      <c r="P80" s="326" t="str">
        <f>IF(一覧!N105="","",一覧!N105)</f>
        <v>イベント</v>
      </c>
      <c r="Q80" s="326" t="str">
        <f>IF(一覧!O105="","",一覧!O105)</f>
        <v>委員会１</v>
      </c>
      <c r="R80" s="326" t="str">
        <f>IF(一覧!P105="","",一覧!P105)</f>
        <v>★★</v>
      </c>
      <c r="S80" s="326" t="str">
        <f>IF(一覧!Q105="","",一覧!Q105)</f>
        <v>★</v>
      </c>
      <c r="T80" s="326" t="str">
        <f>IF(一覧!R105="","",一覧!R105)</f>
        <v xml:space="preserve"> </v>
      </c>
      <c r="U80" s="326" t="str">
        <f>IF(一覧!S105="","",一覧!S105)</f>
        <v>室内楽</v>
      </c>
      <c r="V80" s="326" t="str">
        <f>IF(一覧!T105="","",一覧!T105)</f>
        <v>室内楽</v>
      </c>
      <c r="W80" s="326" t="str">
        <f>IF(一覧!U105="","",一覧!U105)</f>
        <v xml:space="preserve"> </v>
      </c>
      <c r="X80" s="326" t="str">
        <f>IF(一覧!V105="","",一覧!V105)</f>
        <v>★</v>
      </c>
      <c r="Y80" s="326" t="str">
        <f>IF(一覧!W105="","",一覧!W105)</f>
        <v>★★</v>
      </c>
      <c r="Z80" s="326" t="str">
        <f>IF(一覧!X105="","",一覧!X105)</f>
        <v>ほんわか１'</v>
      </c>
      <c r="AA80" s="326" t="str">
        <f>IF(一覧!Y105="","",一覧!Y105)</f>
        <v>地球便</v>
      </c>
      <c r="AB80" s="326" t="str">
        <f>IF(一覧!Z105="","",一覧!Z105)</f>
        <v>代休</v>
      </c>
      <c r="AC80" s="326" t="str">
        <f>IF(一覧!AA105="","",一覧!AA105)</f>
        <v>ｺﾝﾃﾝﾂ</v>
      </c>
      <c r="AD80" s="326" t="str">
        <f>IF(一覧!AB105="","",一覧!AB105)</f>
        <v>編集G会議</v>
      </c>
      <c r="AE80" s="326" t="str">
        <f>IF(一覧!AC105="","",一覧!AC105)</f>
        <v>委員会１</v>
      </c>
      <c r="AF80" s="326" t="str">
        <f>IF(一覧!AD105="","",一覧!AD105)</f>
        <v>★★</v>
      </c>
      <c r="AG80" s="326" t="str">
        <f>IF(一覧!AE105="","",一覧!AE105)</f>
        <v>ほんわか１</v>
      </c>
      <c r="AH80" s="326" t="str">
        <f>IF(一覧!AF105="","",一覧!AF105)</f>
        <v>★</v>
      </c>
      <c r="AI80" s="326" t="str">
        <f>IF(一覧!AG105="","",一覧!AG105)</f>
        <v xml:space="preserve"> </v>
      </c>
      <c r="AJ80" s="329" t="str">
        <f>IF(一覧!AH105="","",一覧!AH105)</f>
        <v>井ノ口</v>
      </c>
    </row>
    <row r="81" spans="1:36" ht="15" thickBot="1">
      <c r="A81" s="330" t="str">
        <f>一覧!AI105</f>
        <v>hensyu</v>
      </c>
      <c r="B81" s="331" t="str">
        <f>一覧!AJ105</f>
        <v>b</v>
      </c>
      <c r="C81" s="332"/>
      <c r="D81" s="333"/>
      <c r="E81" s="331" t="str">
        <f>IF(一覧!C106="","",一覧!C106)</f>
        <v xml:space="preserve"> </v>
      </c>
      <c r="F81" s="331" t="str">
        <f>IF(一覧!D106="","",一覧!D106)</f>
        <v xml:space="preserve"> </v>
      </c>
      <c r="G81" s="331" t="str">
        <f>IF(一覧!E106="","",一覧!E106)</f>
        <v>SP編集1</v>
      </c>
      <c r="H81" s="331" t="str">
        <f>IF(一覧!F106="","",一覧!F106)</f>
        <v>音道楽√</v>
      </c>
      <c r="I81" s="331" t="str">
        <f>IF(一覧!G106="","",一覧!G106)</f>
        <v>編集1</v>
      </c>
      <c r="J81" s="331" t="str">
        <f>IF(一覧!H106="","",一覧!H106)</f>
        <v xml:space="preserve"> </v>
      </c>
      <c r="K81" s="331" t="str">
        <f>IF(一覧!I106="","",一覧!I106)</f>
        <v xml:space="preserve"> </v>
      </c>
      <c r="L81" s="331" t="str">
        <f>IF(一覧!J106="","",一覧!J106)</f>
        <v xml:space="preserve"> </v>
      </c>
      <c r="M81" s="331" t="str">
        <f>IF(一覧!K106="","",一覧!K106)</f>
        <v xml:space="preserve"> </v>
      </c>
      <c r="N81" s="331" t="str">
        <f>IF(一覧!L106="","",一覧!L106)</f>
        <v xml:space="preserve"> </v>
      </c>
      <c r="O81" s="331" t="str">
        <f>IF(一覧!M106="","",一覧!M106)</f>
        <v>音道楽√</v>
      </c>
      <c r="P81" s="331" t="str">
        <f>IF(一覧!N106="","",一覧!N106)</f>
        <v xml:space="preserve"> </v>
      </c>
      <c r="Q81" s="331" t="str">
        <f>IF(一覧!O106="","",一覧!O106)</f>
        <v>編集1</v>
      </c>
      <c r="R81" s="331" t="str">
        <f>IF(一覧!P106="","",一覧!P106)</f>
        <v xml:space="preserve"> </v>
      </c>
      <c r="S81" s="331" t="str">
        <f>IF(一覧!Q106="","",一覧!Q106)</f>
        <v xml:space="preserve"> </v>
      </c>
      <c r="T81" s="331" t="str">
        <f>IF(一覧!R106="","",一覧!R106)</f>
        <v xml:space="preserve"> </v>
      </c>
      <c r="U81" s="331" t="str">
        <f>IF(一覧!S106="","",一覧!S106)</f>
        <v>フェスタ</v>
      </c>
      <c r="V81" s="331" t="str">
        <f>IF(一覧!T106="","",一覧!T106)</f>
        <v>フェスタ</v>
      </c>
      <c r="W81" s="331" t="str">
        <f>IF(一覧!U106="","",一覧!U106)</f>
        <v xml:space="preserve"> </v>
      </c>
      <c r="X81" s="331" t="str">
        <f>IF(一覧!V106="","",一覧!V106)</f>
        <v xml:space="preserve"> </v>
      </c>
      <c r="Y81" s="331" t="str">
        <f>IF(一覧!W106="","",一覧!W106)</f>
        <v xml:space="preserve"> </v>
      </c>
      <c r="Z81" s="331" t="str">
        <f>IF(一覧!X106="","",一覧!X106)</f>
        <v xml:space="preserve"> </v>
      </c>
      <c r="AA81" s="331" t="str">
        <f>IF(一覧!Y106="","",一覧!Y106)</f>
        <v xml:space="preserve"> </v>
      </c>
      <c r="AB81" s="331" t="str">
        <f>IF(一覧!Z106="","",一覧!Z106)</f>
        <v>5/30</v>
      </c>
      <c r="AC81" s="331" t="str">
        <f>IF(一覧!AA106="","",一覧!AA106)</f>
        <v>音道楽√</v>
      </c>
      <c r="AD81" s="331" t="str">
        <f>IF(一覧!AB106="","",一覧!AB106)</f>
        <v>イベント</v>
      </c>
      <c r="AE81" s="331" t="str">
        <f>IF(一覧!AC106="","",一覧!AC106)</f>
        <v>編集1</v>
      </c>
      <c r="AF81" s="331" t="str">
        <f>IF(一覧!AD106="","",一覧!AD106)</f>
        <v xml:space="preserve"> </v>
      </c>
      <c r="AG81" s="331" t="str">
        <f>IF(一覧!AE106="","",一覧!AE106)</f>
        <v>編集1</v>
      </c>
      <c r="AH81" s="331" t="str">
        <f>IF(一覧!AF106="","",一覧!AF106)</f>
        <v xml:space="preserve"> </v>
      </c>
      <c r="AI81" s="331" t="str">
        <f>IF(一覧!AG106="","",一覧!AG106)</f>
        <v xml:space="preserve"> </v>
      </c>
      <c r="AJ81" s="334" t="str">
        <f>IF(一覧!AH106="","",一覧!AH106)</f>
        <v/>
      </c>
    </row>
    <row r="82" spans="1:36" ht="14.5">
      <c r="A82" s="325" t="str">
        <f>一覧!AI107</f>
        <v>hensyu</v>
      </c>
      <c r="B82" s="326" t="str">
        <f>一覧!AJ107</f>
        <v>b</v>
      </c>
      <c r="C82" s="327"/>
      <c r="D82" s="328" t="str">
        <f>一覧!B107</f>
        <v>西山　貴宣</v>
      </c>
      <c r="E82" s="326" t="str">
        <f>IF(一覧!C107="","",一覧!C107)</f>
        <v>ほんわか２</v>
      </c>
      <c r="F82" s="326" t="str">
        <f>IF(一覧!D107="","",一覧!D107)</f>
        <v>ほんわか２</v>
      </c>
      <c r="G82" s="326" t="str">
        <f>IF(一覧!E107="","",一覧!E107)</f>
        <v>あけ</v>
      </c>
      <c r="H82" s="326" t="str">
        <f>IF(一覧!F107="","",一覧!F107)</f>
        <v>5/6</v>
      </c>
      <c r="I82" s="326" t="str">
        <f>IF(一覧!G107="","",一覧!G107)</f>
        <v>イベント</v>
      </c>
      <c r="J82" s="326" t="str">
        <f>IF(一覧!H107="","",一覧!H107)</f>
        <v>★</v>
      </c>
      <c r="K82" s="326" t="str">
        <f>IF(一覧!I107="","",一覧!I107)</f>
        <v>★★</v>
      </c>
      <c r="L82" s="326" t="str">
        <f>IF(一覧!J107="","",一覧!J107)</f>
        <v>ほんわか１</v>
      </c>
      <c r="M82" s="326" t="str">
        <f>IF(一覧!K107="","",一覧!K107)</f>
        <v>A/D</v>
      </c>
      <c r="N82" s="326" t="str">
        <f>IF(一覧!L107="","",一覧!L107)</f>
        <v>声</v>
      </c>
      <c r="O82" s="326" t="str">
        <f>IF(一覧!M107="","",一覧!M107)</f>
        <v>検証機</v>
      </c>
      <c r="P82" s="326" t="str">
        <f>IF(一覧!N107="","",一覧!N107)</f>
        <v>年休</v>
      </c>
      <c r="Q82" s="326" t="str">
        <f>IF(一覧!O107="","",一覧!O107)</f>
        <v>委員会'</v>
      </c>
      <c r="R82" s="326" t="str">
        <f>IF(一覧!P107="","",一覧!P107)</f>
        <v>★★</v>
      </c>
      <c r="S82" s="326" t="str">
        <f>IF(一覧!Q107="","",一覧!Q107)</f>
        <v>★</v>
      </c>
      <c r="T82" s="326" t="str">
        <f>IF(一覧!R107="","",一覧!R107)</f>
        <v>地球便</v>
      </c>
      <c r="U82" s="326" t="str">
        <f>IF(一覧!S107="","",一覧!S107)</f>
        <v>XAVC</v>
      </c>
      <c r="V82" s="326" t="str">
        <f>IF(一覧!T107="","",一覧!T107)</f>
        <v>ｺﾝﾃﾝﾂ</v>
      </c>
      <c r="W82" s="326" t="str">
        <f>IF(一覧!U107="","",一覧!U107)</f>
        <v>委員会２</v>
      </c>
      <c r="X82" s="326" t="str">
        <f>IF(一覧!V107="","",一覧!V107)</f>
        <v>★</v>
      </c>
      <c r="Y82" s="326" t="str">
        <f>IF(一覧!W107="","",一覧!W107)</f>
        <v>★★</v>
      </c>
      <c r="Z82" s="326" t="str">
        <f>IF(一覧!X107="","",一覧!X107)</f>
        <v>ほんわか２</v>
      </c>
      <c r="AA82" s="326" t="str">
        <f>IF(一覧!Y107="","",一覧!Y107)</f>
        <v>ほんわか２</v>
      </c>
      <c r="AB82" s="326" t="str">
        <f>IF(一覧!Z107="","",一覧!Z107)</f>
        <v>年休</v>
      </c>
      <c r="AC82" s="326" t="str">
        <f>IF(一覧!AA107="","",一覧!AA107)</f>
        <v>XAVC</v>
      </c>
      <c r="AD82" s="326" t="str">
        <f>IF(一覧!AB107="","",一覧!AB107)</f>
        <v>編集G会議</v>
      </c>
      <c r="AE82" s="326" t="str">
        <f>IF(一覧!AC107="","",一覧!AC107)</f>
        <v>★</v>
      </c>
      <c r="AF82" s="326" t="str">
        <f>IF(一覧!AD107="","",一覧!AD107)</f>
        <v>★★</v>
      </c>
      <c r="AG82" s="326" t="str">
        <f>IF(一覧!AE107="","",一覧!AE107)</f>
        <v>ほんわか２</v>
      </c>
      <c r="AH82" s="326" t="str">
        <f>IF(一覧!AF107="","",一覧!AF107)</f>
        <v>ほんわか２</v>
      </c>
      <c r="AI82" s="326" t="str">
        <f>IF(一覧!AG107="","",一覧!AG107)</f>
        <v xml:space="preserve"> </v>
      </c>
      <c r="AJ82" s="329" t="str">
        <f>IF(一覧!AH107="","",一覧!AH107)</f>
        <v>西山</v>
      </c>
    </row>
    <row r="83" spans="1:36" ht="15" thickBot="1">
      <c r="A83" s="330" t="str">
        <f>一覧!AI107</f>
        <v>hensyu</v>
      </c>
      <c r="B83" s="331" t="str">
        <f>一覧!AJ107</f>
        <v>b</v>
      </c>
      <c r="C83" s="332"/>
      <c r="D83" s="333"/>
      <c r="E83" s="331" t="str">
        <f>IF(一覧!C108="","",一覧!C108)</f>
        <v>堀さんPG</v>
      </c>
      <c r="F83" s="331" t="str">
        <f>IF(一覧!D108="","",一覧!D108)</f>
        <v>堀さんPG</v>
      </c>
      <c r="G83" s="331" t="str">
        <f>IF(一覧!E108="","",一覧!E108)</f>
        <v xml:space="preserve"> </v>
      </c>
      <c r="H83" s="331" t="str">
        <f>IF(一覧!F108="","",一覧!F108)</f>
        <v>代休</v>
      </c>
      <c r="I83" s="331" t="str">
        <f>IF(一覧!G108="","",一覧!G108)</f>
        <v>A/D</v>
      </c>
      <c r="J83" s="331" t="str">
        <f>IF(一覧!H108="","",一覧!H108)</f>
        <v xml:space="preserve"> </v>
      </c>
      <c r="K83" s="331" t="str">
        <f>IF(一覧!I108="","",一覧!I108)</f>
        <v xml:space="preserve"> </v>
      </c>
      <c r="L83" s="331" t="str">
        <f>IF(一覧!J108="","",一覧!J108)</f>
        <v>編集1</v>
      </c>
      <c r="M83" s="331" t="str">
        <f>IF(一覧!K108="","",一覧!K108)</f>
        <v xml:space="preserve"> </v>
      </c>
      <c r="N83" s="331" t="str">
        <f>IF(一覧!L108="","",一覧!L108)</f>
        <v>telop</v>
      </c>
      <c r="O83" s="331" t="str">
        <f>IF(一覧!M108="","",一覧!M108)</f>
        <v>設定</v>
      </c>
      <c r="P83" s="331" t="str">
        <f>IF(一覧!N108="","",一覧!N108)</f>
        <v/>
      </c>
      <c r="Q83" s="331" t="str">
        <f>IF(一覧!O108="","",一覧!O108)</f>
        <v>XAVC</v>
      </c>
      <c r="R83" s="331" t="str">
        <f>IF(一覧!P108="","",一覧!P108)</f>
        <v xml:space="preserve"> </v>
      </c>
      <c r="S83" s="331" t="str">
        <f>IF(一覧!Q108="","",一覧!Q108)</f>
        <v xml:space="preserve"> </v>
      </c>
      <c r="T83" s="331" t="str">
        <f>IF(一覧!R108="","",一覧!R108)</f>
        <v xml:space="preserve"> </v>
      </c>
      <c r="U83" s="331" t="str">
        <f>IF(一覧!S108="","",一覧!S108)</f>
        <v>検証</v>
      </c>
      <c r="V83" s="331" t="str">
        <f>IF(一覧!T108="","",一覧!T108)</f>
        <v>音道楽√</v>
      </c>
      <c r="W83" s="331" t="str">
        <f>IF(一覧!U108="","",一覧!U108)</f>
        <v>編集2</v>
      </c>
      <c r="X83" s="331" t="str">
        <f>IF(一覧!V108="","",一覧!V108)</f>
        <v xml:space="preserve"> </v>
      </c>
      <c r="Y83" s="331" t="str">
        <f>IF(一覧!W108="","",一覧!W108)</f>
        <v xml:space="preserve"> </v>
      </c>
      <c r="Z83" s="331" t="str">
        <f>IF(一覧!X108="","",一覧!X108)</f>
        <v>編集2</v>
      </c>
      <c r="AA83" s="331" t="str">
        <f>IF(一覧!Y108="","",一覧!Y108)</f>
        <v>編集2</v>
      </c>
      <c r="AB83" s="331" t="str">
        <f>IF(一覧!Z108="","",一覧!Z108)</f>
        <v xml:space="preserve"> </v>
      </c>
      <c r="AC83" s="331" t="str">
        <f>IF(一覧!AA108="","",一覧!AA108)</f>
        <v>検証</v>
      </c>
      <c r="AD83" s="331" t="str">
        <f>IF(一覧!AB108="","",一覧!AB108)</f>
        <v/>
      </c>
      <c r="AE83" s="331" t="str">
        <f>IF(一覧!AC108="","",一覧!AC108)</f>
        <v xml:space="preserve"> </v>
      </c>
      <c r="AF83" s="331" t="str">
        <f>IF(一覧!AD108="","",一覧!AD108)</f>
        <v xml:space="preserve"> </v>
      </c>
      <c r="AG83" s="331" t="str">
        <f>IF(一覧!AE108="","",一覧!AE108)</f>
        <v>編集2</v>
      </c>
      <c r="AH83" s="331" t="str">
        <f>IF(一覧!AF108="","",一覧!AF108)</f>
        <v>編集2</v>
      </c>
      <c r="AI83" s="331" t="str">
        <f>IF(一覧!AG108="","",一覧!AG108)</f>
        <v xml:space="preserve"> </v>
      </c>
      <c r="AJ83" s="334" t="str">
        <f>IF(一覧!AH108="","",一覧!AH108)</f>
        <v/>
      </c>
    </row>
    <row r="84" spans="1:36" ht="14.5">
      <c r="A84" s="325" t="str">
        <f>一覧!AI109</f>
        <v>hensyu</v>
      </c>
      <c r="B84" s="326" t="str">
        <f>一覧!AJ109</f>
        <v>b</v>
      </c>
      <c r="C84" s="327"/>
      <c r="D84" s="328" t="str">
        <f>一覧!B109</f>
        <v>松久保雄哉</v>
      </c>
      <c r="E84" s="326" t="str">
        <f>IF(一覧!C109="","",一覧!C109)</f>
        <v/>
      </c>
      <c r="F84" s="326" t="str">
        <f>IF(一覧!D109="","",一覧!D109)</f>
        <v/>
      </c>
      <c r="G84" s="326" t="str">
        <f>IF(一覧!E109="","",一覧!E109)</f>
        <v/>
      </c>
      <c r="H84" s="326" t="str">
        <f>IF(一覧!F109="","",一覧!F109)</f>
        <v/>
      </c>
      <c r="I84" s="326" t="str">
        <f>IF(一覧!G109="","",一覧!G109)</f>
        <v/>
      </c>
      <c r="J84" s="326" t="str">
        <f>IF(一覧!H109="","",一覧!H109)</f>
        <v>★</v>
      </c>
      <c r="K84" s="326" t="str">
        <f>IF(一覧!I109="","",一覧!I109)</f>
        <v>★★</v>
      </c>
      <c r="L84" s="326" t="str">
        <f>IF(一覧!J109="","",一覧!J109)</f>
        <v/>
      </c>
      <c r="M84" s="326" t="str">
        <f>IF(一覧!K109="","",一覧!K109)</f>
        <v/>
      </c>
      <c r="N84" s="326" t="str">
        <f>IF(一覧!L109="","",一覧!L109)</f>
        <v/>
      </c>
      <c r="O84" s="326" t="str">
        <f>IF(一覧!M109="","",一覧!M109)</f>
        <v/>
      </c>
      <c r="P84" s="326" t="str">
        <f>IF(一覧!N109="","",一覧!N109)</f>
        <v/>
      </c>
      <c r="Q84" s="326" t="str">
        <f>IF(一覧!O109="","",一覧!O109)</f>
        <v>★</v>
      </c>
      <c r="R84" s="326" t="str">
        <f>IF(一覧!P109="","",一覧!P109)</f>
        <v>★★</v>
      </c>
      <c r="S84" s="326" t="str">
        <f>IF(一覧!Q109="","",一覧!Q109)</f>
        <v/>
      </c>
      <c r="T84" s="326" t="str">
        <f>IF(一覧!R109="","",一覧!R109)</f>
        <v/>
      </c>
      <c r="U84" s="326" t="str">
        <f>IF(一覧!S109="","",一覧!S109)</f>
        <v/>
      </c>
      <c r="V84" s="326" t="str">
        <f>IF(一覧!T109="","",一覧!T109)</f>
        <v/>
      </c>
      <c r="W84" s="326" t="str">
        <f>IF(一覧!U109="","",一覧!U109)</f>
        <v/>
      </c>
      <c r="X84" s="326" t="str">
        <f>IF(一覧!V109="","",一覧!V109)</f>
        <v>★</v>
      </c>
      <c r="Y84" s="326" t="str">
        <f>IF(一覧!W109="","",一覧!W109)</f>
        <v>★★</v>
      </c>
      <c r="Z84" s="326" t="str">
        <f>IF(一覧!X109="","",一覧!X109)</f>
        <v/>
      </c>
      <c r="AA84" s="326" t="str">
        <f>IF(一覧!Y109="","",一覧!Y109)</f>
        <v/>
      </c>
      <c r="AB84" s="326" t="str">
        <f>IF(一覧!Z109="","",一覧!Z109)</f>
        <v/>
      </c>
      <c r="AC84" s="326" t="str">
        <f>IF(一覧!AA109="","",一覧!AA109)</f>
        <v/>
      </c>
      <c r="AD84" s="326" t="str">
        <f>IF(一覧!AB109="","",一覧!AB109)</f>
        <v/>
      </c>
      <c r="AE84" s="326" t="str">
        <f>IF(一覧!AC109="","",一覧!AC109)</f>
        <v>★</v>
      </c>
      <c r="AF84" s="326" t="str">
        <f>IF(一覧!AD109="","",一覧!AD109)</f>
        <v>★★</v>
      </c>
      <c r="AG84" s="326" t="str">
        <f>IF(一覧!AE109="","",一覧!AE109)</f>
        <v/>
      </c>
      <c r="AH84" s="326" t="str">
        <f>IF(一覧!AF109="","",一覧!AF109)</f>
        <v/>
      </c>
      <c r="AI84" s="326" t="str">
        <f>IF(一覧!AG109="","",一覧!AG109)</f>
        <v/>
      </c>
      <c r="AJ84" s="329" t="str">
        <f>IF(一覧!AH109="","",一覧!AH109)</f>
        <v>松久保</v>
      </c>
    </row>
    <row r="85" spans="1:36" ht="15" thickBot="1">
      <c r="A85" s="330" t="str">
        <f>一覧!AI109</f>
        <v>hensyu</v>
      </c>
      <c r="B85" s="331" t="str">
        <f>一覧!AJ109</f>
        <v>b</v>
      </c>
      <c r="C85" s="332"/>
      <c r="D85" s="333"/>
      <c r="E85" s="331" t="str">
        <f>IF(一覧!C110="","",一覧!C110)</f>
        <v/>
      </c>
      <c r="F85" s="331" t="str">
        <f>IF(一覧!D110="","",一覧!D110)</f>
        <v/>
      </c>
      <c r="G85" s="331" t="str">
        <f>IF(一覧!E110="","",一覧!E110)</f>
        <v/>
      </c>
      <c r="H85" s="331" t="str">
        <f>IF(一覧!F110="","",一覧!F110)</f>
        <v/>
      </c>
      <c r="I85" s="331" t="str">
        <f>IF(一覧!G110="","",一覧!G110)</f>
        <v/>
      </c>
      <c r="J85" s="331" t="str">
        <f>IF(一覧!H110="","",一覧!H110)</f>
        <v/>
      </c>
      <c r="K85" s="331" t="str">
        <f>IF(一覧!I110="","",一覧!I110)</f>
        <v/>
      </c>
      <c r="L85" s="331" t="str">
        <f>IF(一覧!J110="","",一覧!J110)</f>
        <v/>
      </c>
      <c r="M85" s="331" t="str">
        <f>IF(一覧!K110="","",一覧!K110)</f>
        <v/>
      </c>
      <c r="N85" s="331" t="str">
        <f>IF(一覧!L110="","",一覧!L110)</f>
        <v/>
      </c>
      <c r="O85" s="331" t="str">
        <f>IF(一覧!M110="","",一覧!M110)</f>
        <v/>
      </c>
      <c r="P85" s="331" t="str">
        <f>IF(一覧!N110="","",一覧!N110)</f>
        <v/>
      </c>
      <c r="Q85" s="331" t="str">
        <f>IF(一覧!O110="","",一覧!O110)</f>
        <v/>
      </c>
      <c r="R85" s="331" t="str">
        <f>IF(一覧!P110="","",一覧!P110)</f>
        <v/>
      </c>
      <c r="S85" s="331" t="str">
        <f>IF(一覧!Q110="","",一覧!Q110)</f>
        <v/>
      </c>
      <c r="T85" s="331" t="str">
        <f>IF(一覧!R110="","",一覧!R110)</f>
        <v/>
      </c>
      <c r="U85" s="331" t="str">
        <f>IF(一覧!S110="","",一覧!S110)</f>
        <v/>
      </c>
      <c r="V85" s="331" t="str">
        <f>IF(一覧!T110="","",一覧!T110)</f>
        <v/>
      </c>
      <c r="W85" s="331" t="str">
        <f>IF(一覧!U110="","",一覧!U110)</f>
        <v/>
      </c>
      <c r="X85" s="331" t="str">
        <f>IF(一覧!V110="","",一覧!V110)</f>
        <v/>
      </c>
      <c r="Y85" s="331" t="str">
        <f>IF(一覧!W110="","",一覧!W110)</f>
        <v/>
      </c>
      <c r="Z85" s="331" t="str">
        <f>IF(一覧!X110="","",一覧!X110)</f>
        <v/>
      </c>
      <c r="AA85" s="331" t="str">
        <f>IF(一覧!Y110="","",一覧!Y110)</f>
        <v/>
      </c>
      <c r="AB85" s="331" t="str">
        <f>IF(一覧!Z110="","",一覧!Z110)</f>
        <v/>
      </c>
      <c r="AC85" s="331" t="str">
        <f>IF(一覧!AA110="","",一覧!AA110)</f>
        <v/>
      </c>
      <c r="AD85" s="331" t="str">
        <f>IF(一覧!AB110="","",一覧!AB110)</f>
        <v/>
      </c>
      <c r="AE85" s="331" t="str">
        <f>IF(一覧!AC110="","",一覧!AC110)</f>
        <v/>
      </c>
      <c r="AF85" s="331" t="str">
        <f>IF(一覧!AD110="","",一覧!AD110)</f>
        <v/>
      </c>
      <c r="AG85" s="331" t="str">
        <f>IF(一覧!AE110="","",一覧!AE110)</f>
        <v/>
      </c>
      <c r="AH85" s="331" t="str">
        <f>IF(一覧!AF110="","",一覧!AF110)</f>
        <v/>
      </c>
      <c r="AI85" s="331" t="str">
        <f>IF(一覧!AG110="","",一覧!AG110)</f>
        <v/>
      </c>
      <c r="AJ85" s="334" t="str">
        <f>IF(一覧!AH110="","",一覧!AH110)</f>
        <v/>
      </c>
    </row>
    <row r="86" spans="1:36" ht="14.5">
      <c r="A86" s="325" t="str">
        <f>一覧!AI111</f>
        <v>camera</v>
      </c>
      <c r="B86" s="326" t="str">
        <f>一覧!AJ111</f>
        <v>a</v>
      </c>
      <c r="C86" s="327"/>
      <c r="D86" s="328" t="str">
        <f>一覧!B111</f>
        <v>杉本　麻也</v>
      </c>
      <c r="E86" s="326" t="str">
        <f>IF(一覧!C111="","",一覧!C111)</f>
        <v/>
      </c>
      <c r="F86" s="326" t="str">
        <f>IF(一覧!D111="","",一覧!D111)</f>
        <v/>
      </c>
      <c r="G86" s="326" t="str">
        <f>IF(一覧!E111="","",一覧!E111)</f>
        <v/>
      </c>
      <c r="H86" s="326" t="str">
        <f>IF(一覧!F111="","",一覧!F111)</f>
        <v/>
      </c>
      <c r="I86" s="326" t="str">
        <f>IF(一覧!G111="","",一覧!G111)</f>
        <v/>
      </c>
      <c r="J86" s="326" t="str">
        <f>IF(一覧!H111="","",一覧!H111)</f>
        <v>★</v>
      </c>
      <c r="K86" s="326" t="str">
        <f>IF(一覧!I111="","",一覧!I111)</f>
        <v>★★</v>
      </c>
      <c r="L86" s="326" t="str">
        <f>IF(一覧!J111="","",一覧!J111)</f>
        <v/>
      </c>
      <c r="M86" s="326" t="str">
        <f>IF(一覧!K111="","",一覧!K111)</f>
        <v/>
      </c>
      <c r="N86" s="326" t="str">
        <f>IF(一覧!L111="","",一覧!L111)</f>
        <v>年</v>
      </c>
      <c r="O86" s="326" t="str">
        <f>IF(一覧!M111="","",一覧!M111)</f>
        <v/>
      </c>
      <c r="P86" s="326" t="str">
        <f>IF(一覧!N111="","",一覧!N111)</f>
        <v>委員会</v>
      </c>
      <c r="Q86" s="326" t="str">
        <f>IF(一覧!O111="","",一覧!O111)</f>
        <v>ジグザグ</v>
      </c>
      <c r="R86" s="326" t="str">
        <f>IF(一覧!P111="","",一覧!P111)</f>
        <v>★★</v>
      </c>
      <c r="S86" s="326" t="str">
        <f>IF(一覧!Q111="","",一覧!Q111)</f>
        <v/>
      </c>
      <c r="T86" s="326" t="str">
        <f>IF(一覧!R111="","",一覧!R111)</f>
        <v/>
      </c>
      <c r="U86" s="326" t="str">
        <f>IF(一覧!S111="","",一覧!S111)</f>
        <v/>
      </c>
      <c r="V86" s="326" t="str">
        <f>IF(一覧!T111="","",一覧!T111)</f>
        <v>年</v>
      </c>
      <c r="W86" s="326" t="str">
        <f>IF(一覧!U111="","",一覧!U111)</f>
        <v>★</v>
      </c>
      <c r="X86" s="326" t="str">
        <f>IF(一覧!V111="","",一覧!V111)</f>
        <v>★</v>
      </c>
      <c r="Y86" s="326" t="str">
        <f>IF(一覧!W111="","",一覧!W111)</f>
        <v>★★</v>
      </c>
      <c r="Z86" s="326" t="str">
        <f>IF(一覧!X111="","",一覧!X111)</f>
        <v/>
      </c>
      <c r="AA86" s="326" t="str">
        <f>IF(一覧!Y111="","",一覧!Y111)</f>
        <v>ほんわか</v>
      </c>
      <c r="AB86" s="326" t="str">
        <f>IF(一覧!Z111="","",一覧!Z111)</f>
        <v/>
      </c>
      <c r="AC86" s="326" t="str">
        <f>IF(一覧!AA111="","",一覧!AA111)</f>
        <v/>
      </c>
      <c r="AD86" s="326" t="str">
        <f>IF(一覧!AB111="","",一覧!AB111)</f>
        <v/>
      </c>
      <c r="AE86" s="326" t="str">
        <f>IF(一覧!AC111="","",一覧!AC111)</f>
        <v>★</v>
      </c>
      <c r="AF86" s="326" t="str">
        <f>IF(一覧!AD111="","",一覧!AD111)</f>
        <v>★★</v>
      </c>
      <c r="AG86" s="326" t="str">
        <f>IF(一覧!AE111="","",一覧!AE111)</f>
        <v/>
      </c>
      <c r="AH86" s="326" t="str">
        <f>IF(一覧!AF111="","",一覧!AF111)</f>
        <v>年</v>
      </c>
      <c r="AI86" s="326" t="str">
        <f>IF(一覧!AG111="","",一覧!AG111)</f>
        <v/>
      </c>
      <c r="AJ86" s="329" t="str">
        <f>IF(一覧!AH111="","",一覧!AH111)</f>
        <v>杉本</v>
      </c>
    </row>
    <row r="87" spans="1:36" ht="15" thickBot="1">
      <c r="A87" s="330" t="str">
        <f>一覧!AI111</f>
        <v>camera</v>
      </c>
      <c r="B87" s="331" t="str">
        <f>一覧!AJ111</f>
        <v>a</v>
      </c>
      <c r="C87" s="332"/>
      <c r="D87" s="333"/>
      <c r="E87" s="331" t="str">
        <f>IF(一覧!C112="","",一覧!C112)</f>
        <v>局会</v>
      </c>
      <c r="F87" s="331" t="str">
        <f>IF(一覧!D112="","",一覧!D112)</f>
        <v>進行G会</v>
      </c>
      <c r="G87" s="331" t="str">
        <f>IF(一覧!E112="","",一覧!E112)</f>
        <v/>
      </c>
      <c r="H87" s="331" t="str">
        <f>IF(一覧!F112="","",一覧!F112)</f>
        <v/>
      </c>
      <c r="I87" s="331" t="str">
        <f>IF(一覧!G112="","",一覧!G112)</f>
        <v/>
      </c>
      <c r="J87" s="331" t="str">
        <f>IF(一覧!H112="","",一覧!H112)</f>
        <v/>
      </c>
      <c r="K87" s="331" t="str">
        <f>IF(一覧!I112="","",一覧!I112)</f>
        <v/>
      </c>
      <c r="L87" s="331" t="str">
        <f>IF(一覧!J112="","",一覧!J112)</f>
        <v/>
      </c>
      <c r="M87" s="331" t="str">
        <f>IF(一覧!K112="","",一覧!K112)</f>
        <v/>
      </c>
      <c r="N87" s="331" t="str">
        <f>IF(一覧!L112="","",一覧!L112)</f>
        <v>※</v>
      </c>
      <c r="O87" s="331" t="str">
        <f>IF(一覧!M112="","",一覧!M112)</f>
        <v/>
      </c>
      <c r="P87" s="331" t="str">
        <f>IF(一覧!N112="","",一覧!N112)</f>
        <v>ＣＡＭ</v>
      </c>
      <c r="Q87" s="331" t="str">
        <f>IF(一覧!O112="","",一覧!O112)</f>
        <v>ＳＷ</v>
      </c>
      <c r="R87" s="331" t="str">
        <f>IF(一覧!P112="","",一覧!P112)</f>
        <v>※</v>
      </c>
      <c r="S87" s="331" t="str">
        <f>IF(一覧!Q112="","",一覧!Q112)</f>
        <v/>
      </c>
      <c r="T87" s="331" t="str">
        <f>IF(一覧!R112="","",一覧!R112)</f>
        <v>進行G会</v>
      </c>
      <c r="U87" s="331" t="str">
        <f>IF(一覧!S112="","",一覧!S112)</f>
        <v>ﾏｽﾀｰG会</v>
      </c>
      <c r="V87" s="331" t="str">
        <f>IF(一覧!T112="","",一覧!T112)</f>
        <v>※</v>
      </c>
      <c r="W87" s="331" t="str">
        <f>IF(一覧!U112="","",一覧!U112)</f>
        <v>※</v>
      </c>
      <c r="X87" s="331" t="str">
        <f>IF(一覧!V112="","",一覧!V112)</f>
        <v>※</v>
      </c>
      <c r="Y87" s="331" t="str">
        <f>IF(一覧!W112="","",一覧!W112)</f>
        <v>※</v>
      </c>
      <c r="Z87" s="331" t="str">
        <f>IF(一覧!X112="","",一覧!X112)</f>
        <v/>
      </c>
      <c r="AA87" s="331" t="str">
        <f>IF(一覧!Y112="","",一覧!Y112)</f>
        <v>ＣＡＭ</v>
      </c>
      <c r="AB87" s="331" t="str">
        <f>IF(一覧!Z112="","",一覧!Z112)</f>
        <v/>
      </c>
      <c r="AC87" s="331" t="str">
        <f>IF(一覧!AA112="","",一覧!AA112)</f>
        <v/>
      </c>
      <c r="AD87" s="331" t="str">
        <f>IF(一覧!AB112="","",一覧!AB112)</f>
        <v/>
      </c>
      <c r="AE87" s="331" t="str">
        <f>IF(一覧!AC112="","",一覧!AC112)</f>
        <v/>
      </c>
      <c r="AF87" s="331" t="str">
        <f>IF(一覧!AD112="","",一覧!AD112)</f>
        <v/>
      </c>
      <c r="AG87" s="331" t="str">
        <f>IF(一覧!AE112="","",一覧!AE112)</f>
        <v/>
      </c>
      <c r="AH87" s="331" t="str">
        <f>IF(一覧!AF112="","",一覧!AF112)</f>
        <v>※</v>
      </c>
      <c r="AI87" s="331" t="str">
        <f>IF(一覧!AG112="","",一覧!AG112)</f>
        <v/>
      </c>
      <c r="AJ87" s="334" t="str">
        <f>IF(一覧!AH112="","",一覧!AH112)</f>
        <v/>
      </c>
    </row>
    <row r="88" spans="1:36" ht="14.5">
      <c r="A88" s="325" t="str">
        <f>一覧!AI113</f>
        <v>VE</v>
      </c>
      <c r="B88" s="326" t="str">
        <f>一覧!AJ113</f>
        <v>a</v>
      </c>
      <c r="C88" s="327"/>
      <c r="D88" s="328" t="str">
        <f>一覧!B113</f>
        <v>池見　憲一</v>
      </c>
      <c r="E88" s="326" t="str">
        <f>IF(一覧!C113="","",一覧!C113)</f>
        <v/>
      </c>
      <c r="F88" s="326" t="str">
        <f>IF(一覧!D113="","",一覧!D113)</f>
        <v/>
      </c>
      <c r="G88" s="326" t="str">
        <f>IF(一覧!E113="","",一覧!E113)</f>
        <v/>
      </c>
      <c r="H88" s="326" t="str">
        <f>IF(一覧!F113="","",一覧!F113)</f>
        <v/>
      </c>
      <c r="I88" s="326" t="str">
        <f>IF(一覧!G113="","",一覧!G113)</f>
        <v/>
      </c>
      <c r="J88" s="326" t="str">
        <f>IF(一覧!H113="","",一覧!H113)</f>
        <v>ジグザグ</v>
      </c>
      <c r="K88" s="326" t="str">
        <f>IF(一覧!I113="","",一覧!I113)</f>
        <v/>
      </c>
      <c r="L88" s="326" t="str">
        <f>IF(一覧!J113="","",一覧!J113)</f>
        <v/>
      </c>
      <c r="M88" s="326" t="str">
        <f>IF(一覧!K113="","",一覧!K113)</f>
        <v/>
      </c>
      <c r="N88" s="326" t="str">
        <f>IF(一覧!L113="","",一覧!L113)</f>
        <v/>
      </c>
      <c r="O88" s="326" t="str">
        <f>IF(一覧!M113="","",一覧!M113)</f>
        <v/>
      </c>
      <c r="P88" s="326" t="str">
        <f>IF(一覧!N113="","",一覧!N113)</f>
        <v/>
      </c>
      <c r="Q88" s="326" t="str">
        <f>IF(一覧!O113="","",一覧!O113)</f>
        <v/>
      </c>
      <c r="R88" s="326" t="str">
        <f>IF(一覧!P113="","",一覧!P113)</f>
        <v/>
      </c>
      <c r="S88" s="326" t="str">
        <f>IF(一覧!Q113="","",一覧!Q113)</f>
        <v/>
      </c>
      <c r="T88" s="326" t="str">
        <f>IF(一覧!R113="","",一覧!R113)</f>
        <v/>
      </c>
      <c r="U88" s="326" t="str">
        <f>IF(一覧!S113="","",一覧!S113)</f>
        <v/>
      </c>
      <c r="V88" s="326" t="str">
        <f>IF(一覧!T113="","",一覧!T113)</f>
        <v/>
      </c>
      <c r="W88" s="326" t="str">
        <f>IF(一覧!U113="","",一覧!U113)</f>
        <v/>
      </c>
      <c r="X88" s="326" t="str">
        <f>IF(一覧!V113="","",一覧!V113)</f>
        <v/>
      </c>
      <c r="Y88" s="326" t="str">
        <f>IF(一覧!W113="","",一覧!W113)</f>
        <v/>
      </c>
      <c r="Z88" s="326" t="str">
        <f>IF(一覧!X113="","",一覧!X113)</f>
        <v/>
      </c>
      <c r="AA88" s="326" t="str">
        <f>IF(一覧!Y113="","",一覧!Y113)</f>
        <v/>
      </c>
      <c r="AB88" s="326" t="str">
        <f>IF(一覧!Z113="","",一覧!Z113)</f>
        <v/>
      </c>
      <c r="AC88" s="326" t="str">
        <f>IF(一覧!AA113="","",一覧!AA113)</f>
        <v/>
      </c>
      <c r="AD88" s="326" t="str">
        <f>IF(一覧!AB113="","",一覧!AB113)</f>
        <v/>
      </c>
      <c r="AE88" s="326" t="str">
        <f>IF(一覧!AC113="","",一覧!AC113)</f>
        <v/>
      </c>
      <c r="AF88" s="326" t="str">
        <f>IF(一覧!AD113="","",一覧!AD113)</f>
        <v/>
      </c>
      <c r="AG88" s="326" t="str">
        <f>IF(一覧!AE113="","",一覧!AE113)</f>
        <v/>
      </c>
      <c r="AH88" s="326" t="str">
        <f>IF(一覧!AF113="","",一覧!AF113)</f>
        <v/>
      </c>
      <c r="AI88" s="326" t="str">
        <f>IF(一覧!AG113="","",一覧!AG113)</f>
        <v/>
      </c>
      <c r="AJ88" s="329" t="str">
        <f>IF(一覧!AH113="","",一覧!AH113)</f>
        <v>池見</v>
      </c>
    </row>
    <row r="89" spans="1:36" ht="15" thickBot="1">
      <c r="A89" s="330" t="str">
        <f>一覧!AI113</f>
        <v>VE</v>
      </c>
      <c r="B89" s="331" t="str">
        <f>一覧!AJ113</f>
        <v>a</v>
      </c>
      <c r="C89" s="332"/>
      <c r="D89" s="333"/>
      <c r="E89" s="331" t="str">
        <f>IF(一覧!C114="","",一覧!C114)</f>
        <v/>
      </c>
      <c r="F89" s="331" t="str">
        <f>IF(一覧!D114="","",一覧!D114)</f>
        <v/>
      </c>
      <c r="G89" s="331" t="str">
        <f>IF(一覧!E114="","",一覧!E114)</f>
        <v/>
      </c>
      <c r="H89" s="331" t="str">
        <f>IF(一覧!F114="","",一覧!F114)</f>
        <v/>
      </c>
      <c r="I89" s="331" t="str">
        <f>IF(一覧!G114="","",一覧!G114)</f>
        <v/>
      </c>
      <c r="J89" s="331" t="str">
        <f>IF(一覧!H114="","",一覧!H114)</f>
        <v>ＶＥ</v>
      </c>
      <c r="K89" s="331" t="str">
        <f>IF(一覧!I114="","",一覧!I114)</f>
        <v/>
      </c>
      <c r="L89" s="331" t="str">
        <f>IF(一覧!J114="","",一覧!J114)</f>
        <v/>
      </c>
      <c r="M89" s="331" t="str">
        <f>IF(一覧!K114="","",一覧!K114)</f>
        <v/>
      </c>
      <c r="N89" s="331" t="str">
        <f>IF(一覧!L114="","",一覧!L114)</f>
        <v/>
      </c>
      <c r="O89" s="331" t="str">
        <f>IF(一覧!M114="","",一覧!M114)</f>
        <v/>
      </c>
      <c r="P89" s="331" t="str">
        <f>IF(一覧!N114="","",一覧!N114)</f>
        <v/>
      </c>
      <c r="Q89" s="331" t="str">
        <f>IF(一覧!O114="","",一覧!O114)</f>
        <v/>
      </c>
      <c r="R89" s="331" t="str">
        <f>IF(一覧!P114="","",一覧!P114)</f>
        <v/>
      </c>
      <c r="S89" s="331" t="str">
        <f>IF(一覧!Q114="","",一覧!Q114)</f>
        <v/>
      </c>
      <c r="T89" s="331" t="str">
        <f>IF(一覧!R114="","",一覧!R114)</f>
        <v/>
      </c>
      <c r="U89" s="331" t="str">
        <f>IF(一覧!S114="","",一覧!S114)</f>
        <v/>
      </c>
      <c r="V89" s="331" t="str">
        <f>IF(一覧!T114="","",一覧!T114)</f>
        <v/>
      </c>
      <c r="W89" s="331" t="str">
        <f>IF(一覧!U114="","",一覧!U114)</f>
        <v/>
      </c>
      <c r="X89" s="331" t="str">
        <f>IF(一覧!V114="","",一覧!V114)</f>
        <v/>
      </c>
      <c r="Y89" s="331" t="str">
        <f>IF(一覧!W114="","",一覧!W114)</f>
        <v/>
      </c>
      <c r="Z89" s="331" t="str">
        <f>IF(一覧!X114="","",一覧!X114)</f>
        <v/>
      </c>
      <c r="AA89" s="331" t="str">
        <f>IF(一覧!Y114="","",一覧!Y114)</f>
        <v/>
      </c>
      <c r="AB89" s="331" t="str">
        <f>IF(一覧!Z114="","",一覧!Z114)</f>
        <v/>
      </c>
      <c r="AC89" s="331" t="str">
        <f>IF(一覧!AA114="","",一覧!AA114)</f>
        <v/>
      </c>
      <c r="AD89" s="331" t="str">
        <f>IF(一覧!AB114="","",一覧!AB114)</f>
        <v/>
      </c>
      <c r="AE89" s="331" t="str">
        <f>IF(一覧!AC114="","",一覧!AC114)</f>
        <v/>
      </c>
      <c r="AF89" s="331" t="str">
        <f>IF(一覧!AD114="","",一覧!AD114)</f>
        <v/>
      </c>
      <c r="AG89" s="331" t="str">
        <f>IF(一覧!AE114="","",一覧!AE114)</f>
        <v/>
      </c>
      <c r="AH89" s="331" t="str">
        <f>IF(一覧!AF114="","",一覧!AF114)</f>
        <v/>
      </c>
      <c r="AI89" s="331" t="str">
        <f>IF(一覧!AG114="","",一覧!AG114)</f>
        <v/>
      </c>
      <c r="AJ89" s="334" t="str">
        <f>IF(一覧!AH114="","",一覧!AH114)</f>
        <v/>
      </c>
    </row>
    <row r="90" spans="1:36" ht="14.5">
      <c r="A90" s="325" t="str">
        <f>一覧!AI115</f>
        <v>houdou</v>
      </c>
      <c r="B90" s="326" t="str">
        <f>一覧!AJ115</f>
        <v>b</v>
      </c>
      <c r="C90" s="327"/>
      <c r="D90" s="328" t="str">
        <f>一覧!B115</f>
        <v>籠池　由浩</v>
      </c>
      <c r="E90" s="326" t="str">
        <f>IF(一覧!C115="","",一覧!C115)</f>
        <v/>
      </c>
      <c r="F90" s="326" t="str">
        <f>IF(一覧!D115="","",一覧!D115)</f>
        <v/>
      </c>
      <c r="G90" s="326" t="str">
        <f>IF(一覧!E115="","",一覧!E115)</f>
        <v/>
      </c>
      <c r="H90" s="326" t="str">
        <f>IF(一覧!F115="","",一覧!F115)</f>
        <v/>
      </c>
      <c r="I90" s="326" t="str">
        <f>IF(一覧!G115="","",一覧!G115)</f>
        <v/>
      </c>
      <c r="J90" s="326" t="str">
        <f>IF(一覧!H115="","",一覧!H115)</f>
        <v>★</v>
      </c>
      <c r="K90" s="326" t="str">
        <f>IF(一覧!I115="","",一覧!I115)</f>
        <v>★★</v>
      </c>
      <c r="L90" s="326" t="str">
        <f>IF(一覧!J115="","",一覧!J115)</f>
        <v/>
      </c>
      <c r="M90" s="326" t="str">
        <f>IF(一覧!K115="","",一覧!K115)</f>
        <v/>
      </c>
      <c r="N90" s="326" t="str">
        <f>IF(一覧!L115="","",一覧!L115)</f>
        <v/>
      </c>
      <c r="O90" s="326" t="str">
        <f>IF(一覧!M115="","",一覧!M115)</f>
        <v/>
      </c>
      <c r="P90" s="326" t="str">
        <f>IF(一覧!N115="","",一覧!N115)</f>
        <v/>
      </c>
      <c r="Q90" s="326" t="str">
        <f>IF(一覧!O115="","",一覧!O115)</f>
        <v>★</v>
      </c>
      <c r="R90" s="326" t="str">
        <f>IF(一覧!P115="","",一覧!P115)</f>
        <v>★★</v>
      </c>
      <c r="S90" s="326" t="str">
        <f>IF(一覧!Q115="","",一覧!Q115)</f>
        <v/>
      </c>
      <c r="T90" s="326" t="str">
        <f>IF(一覧!R115="","",一覧!R115)</f>
        <v/>
      </c>
      <c r="U90" s="326" t="str">
        <f>IF(一覧!S115="","",一覧!S115)</f>
        <v/>
      </c>
      <c r="V90" s="326" t="str">
        <f>IF(一覧!T115="","",一覧!T115)</f>
        <v/>
      </c>
      <c r="W90" s="326" t="str">
        <f>IF(一覧!U115="","",一覧!U115)</f>
        <v/>
      </c>
      <c r="X90" s="326" t="str">
        <f>IF(一覧!V115="","",一覧!V115)</f>
        <v>★</v>
      </c>
      <c r="Y90" s="326" t="str">
        <f>IF(一覧!W115="","",一覧!W115)</f>
        <v>★★</v>
      </c>
      <c r="Z90" s="326" t="str">
        <f>IF(一覧!X115="","",一覧!X115)</f>
        <v/>
      </c>
      <c r="AA90" s="326" t="str">
        <f>IF(一覧!Y115="","",一覧!Y115)</f>
        <v/>
      </c>
      <c r="AB90" s="326" t="str">
        <f>IF(一覧!Z115="","",一覧!Z115)</f>
        <v/>
      </c>
      <c r="AC90" s="326" t="str">
        <f>IF(一覧!AA115="","",一覧!AA115)</f>
        <v/>
      </c>
      <c r="AD90" s="326" t="str">
        <f>IF(一覧!AB115="","",一覧!AB115)</f>
        <v/>
      </c>
      <c r="AE90" s="326" t="str">
        <f>IF(一覧!AC115="","",一覧!AC115)</f>
        <v>★</v>
      </c>
      <c r="AF90" s="326" t="str">
        <f>IF(一覧!AD115="","",一覧!AD115)</f>
        <v>★★</v>
      </c>
      <c r="AG90" s="326" t="str">
        <f>IF(一覧!AE115="","",一覧!AE115)</f>
        <v/>
      </c>
      <c r="AH90" s="326" t="str">
        <f>IF(一覧!AF115="","",一覧!AF115)</f>
        <v/>
      </c>
      <c r="AI90" s="326" t="str">
        <f>IF(一覧!AG115="","",一覧!AG115)</f>
        <v/>
      </c>
      <c r="AJ90" s="329" t="str">
        <f>IF(一覧!AH115="","",一覧!AH115)</f>
        <v>籠池</v>
      </c>
    </row>
    <row r="91" spans="1:36" ht="15" thickBot="1">
      <c r="A91" s="330" t="str">
        <f>一覧!AI115</f>
        <v>houdou</v>
      </c>
      <c r="B91" s="331" t="str">
        <f>一覧!AJ115</f>
        <v>b</v>
      </c>
      <c r="C91" s="332"/>
      <c r="D91" s="333"/>
      <c r="E91" s="331" t="str">
        <f>IF(一覧!C116="","",一覧!C116)</f>
        <v>局会</v>
      </c>
      <c r="F91" s="331" t="str">
        <f>IF(一覧!D116="","",一覧!D116)</f>
        <v/>
      </c>
      <c r="G91" s="331" t="str">
        <f>IF(一覧!E116="","",一覧!E116)</f>
        <v/>
      </c>
      <c r="H91" s="331" t="str">
        <f>IF(一覧!F116="","",一覧!F116)</f>
        <v/>
      </c>
      <c r="I91" s="331" t="str">
        <f>IF(一覧!G116="","",一覧!G116)</f>
        <v/>
      </c>
      <c r="J91" s="331" t="str">
        <f>IF(一覧!H116="","",一覧!H116)</f>
        <v/>
      </c>
      <c r="K91" s="331" t="str">
        <f>IF(一覧!I116="","",一覧!I116)</f>
        <v/>
      </c>
      <c r="L91" s="331" t="str">
        <f>IF(一覧!J116="","",一覧!J116)</f>
        <v/>
      </c>
      <c r="M91" s="331" t="str">
        <f>IF(一覧!K116="","",一覧!K116)</f>
        <v/>
      </c>
      <c r="N91" s="331" t="str">
        <f>IF(一覧!L116="","",一覧!L116)</f>
        <v/>
      </c>
      <c r="O91" s="331" t="str">
        <f>IF(一覧!M116="","",一覧!M116)</f>
        <v/>
      </c>
      <c r="P91" s="331" t="str">
        <f>IF(一覧!N116="","",一覧!N116)</f>
        <v/>
      </c>
      <c r="Q91" s="331" t="str">
        <f>IF(一覧!O116="","",一覧!O116)</f>
        <v/>
      </c>
      <c r="R91" s="331" t="str">
        <f>IF(一覧!P116="","",一覧!P116)</f>
        <v/>
      </c>
      <c r="S91" s="331" t="str">
        <f>IF(一覧!Q116="","",一覧!Q116)</f>
        <v/>
      </c>
      <c r="T91" s="331" t="str">
        <f>IF(一覧!R116="","",一覧!R116)</f>
        <v/>
      </c>
      <c r="U91" s="331" t="str">
        <f>IF(一覧!S116="","",一覧!S116)</f>
        <v/>
      </c>
      <c r="V91" s="331" t="str">
        <f>IF(一覧!T116="","",一覧!T116)</f>
        <v/>
      </c>
      <c r="W91" s="331" t="str">
        <f>IF(一覧!U116="","",一覧!U116)</f>
        <v/>
      </c>
      <c r="X91" s="331" t="str">
        <f>IF(一覧!V116="","",一覧!V116)</f>
        <v/>
      </c>
      <c r="Y91" s="331" t="str">
        <f>IF(一覧!W116="","",一覧!W116)</f>
        <v/>
      </c>
      <c r="Z91" s="331" t="str">
        <f>IF(一覧!X116="","",一覧!X116)</f>
        <v/>
      </c>
      <c r="AA91" s="331" t="str">
        <f>IF(一覧!Y116="","",一覧!Y116)</f>
        <v/>
      </c>
      <c r="AB91" s="331" t="str">
        <f>IF(一覧!Z116="","",一覧!Z116)</f>
        <v/>
      </c>
      <c r="AC91" s="331" t="str">
        <f>IF(一覧!AA116="","",一覧!AA116)</f>
        <v/>
      </c>
      <c r="AD91" s="331" t="str">
        <f>IF(一覧!AB116="","",一覧!AB116)</f>
        <v/>
      </c>
      <c r="AE91" s="331" t="str">
        <f>IF(一覧!AC116="","",一覧!AC116)</f>
        <v/>
      </c>
      <c r="AF91" s="331" t="str">
        <f>IF(一覧!AD116="","",一覧!AD116)</f>
        <v/>
      </c>
      <c r="AG91" s="331" t="str">
        <f>IF(一覧!AE116="","",一覧!AE116)</f>
        <v/>
      </c>
      <c r="AH91" s="331" t="str">
        <f>IF(一覧!AF116="","",一覧!AF116)</f>
        <v/>
      </c>
      <c r="AI91" s="331" t="str">
        <f>IF(一覧!AG116="","",一覧!AG116)</f>
        <v/>
      </c>
      <c r="AJ91" s="334" t="str">
        <f>IF(一覧!AH116="","",一覧!AH116)</f>
        <v/>
      </c>
    </row>
    <row r="92" spans="1:36" ht="14.5">
      <c r="A92" s="325" t="str">
        <f>一覧!AI117</f>
        <v>onsei</v>
      </c>
      <c r="B92" s="326" t="str">
        <f>一覧!AJ117</f>
        <v>b</v>
      </c>
      <c r="C92" s="327"/>
      <c r="D92" s="328" t="str">
        <f>一覧!B117</f>
        <v>小野木　晋</v>
      </c>
      <c r="E92" s="326" t="str">
        <f>IF(一覧!C117="","",一覧!C117)</f>
        <v/>
      </c>
      <c r="F92" s="326" t="str">
        <f>IF(一覧!D117="","",一覧!D117)</f>
        <v/>
      </c>
      <c r="G92" s="326" t="str">
        <f>IF(一覧!E117="","",一覧!E117)</f>
        <v/>
      </c>
      <c r="H92" s="326" t="str">
        <f>IF(一覧!F117="","",一覧!F117)</f>
        <v/>
      </c>
      <c r="I92" s="326" t="str">
        <f>IF(一覧!G117="","",一覧!G117)</f>
        <v/>
      </c>
      <c r="J92" s="326" t="str">
        <f>IF(一覧!H117="","",一覧!H117)</f>
        <v>★</v>
      </c>
      <c r="K92" s="326" t="str">
        <f>IF(一覧!I117="","",一覧!I117)</f>
        <v>★★</v>
      </c>
      <c r="L92" s="326" t="str">
        <f>IF(一覧!J117="","",一覧!J117)</f>
        <v/>
      </c>
      <c r="M92" s="326" t="str">
        <f>IF(一覧!K117="","",一覧!K117)</f>
        <v/>
      </c>
      <c r="N92" s="326" t="str">
        <f>IF(一覧!L117="","",一覧!L117)</f>
        <v/>
      </c>
      <c r="O92" s="326" t="str">
        <f>IF(一覧!M117="","",一覧!M117)</f>
        <v/>
      </c>
      <c r="P92" s="326" t="str">
        <f>IF(一覧!N117="","",一覧!N117)</f>
        <v/>
      </c>
      <c r="Q92" s="326" t="str">
        <f>IF(一覧!O117="","",一覧!O117)</f>
        <v>★</v>
      </c>
      <c r="R92" s="326" t="str">
        <f>IF(一覧!P117="","",一覧!P117)</f>
        <v>★★</v>
      </c>
      <c r="S92" s="326" t="str">
        <f>IF(一覧!Q117="","",一覧!Q117)</f>
        <v/>
      </c>
      <c r="T92" s="326" t="str">
        <f>IF(一覧!R117="","",一覧!R117)</f>
        <v/>
      </c>
      <c r="U92" s="326" t="str">
        <f>IF(一覧!S117="","",一覧!S117)</f>
        <v/>
      </c>
      <c r="V92" s="326" t="str">
        <f>IF(一覧!T117="","",一覧!T117)</f>
        <v/>
      </c>
      <c r="W92" s="326" t="str">
        <f>IF(一覧!U117="","",一覧!U117)</f>
        <v/>
      </c>
      <c r="X92" s="326" t="str">
        <f>IF(一覧!V117="","",一覧!V117)</f>
        <v>★</v>
      </c>
      <c r="Y92" s="326" t="str">
        <f>IF(一覧!W117="","",一覧!W117)</f>
        <v>★★</v>
      </c>
      <c r="Z92" s="326" t="str">
        <f>IF(一覧!X117="","",一覧!X117)</f>
        <v/>
      </c>
      <c r="AA92" s="326" t="str">
        <f>IF(一覧!Y117="","",一覧!Y117)</f>
        <v/>
      </c>
      <c r="AB92" s="326" t="str">
        <f>IF(一覧!Z117="","",一覧!Z117)</f>
        <v/>
      </c>
      <c r="AC92" s="326" t="str">
        <f>IF(一覧!AA117="","",一覧!AA117)</f>
        <v/>
      </c>
      <c r="AD92" s="326" t="str">
        <f>IF(一覧!AB117="","",一覧!AB117)</f>
        <v/>
      </c>
      <c r="AE92" s="326" t="str">
        <f>IF(一覧!AC117="","",一覧!AC117)</f>
        <v>★</v>
      </c>
      <c r="AF92" s="326" t="str">
        <f>IF(一覧!AD117="","",一覧!AD117)</f>
        <v>★★</v>
      </c>
      <c r="AG92" s="326" t="str">
        <f>IF(一覧!AE117="","",一覧!AE117)</f>
        <v/>
      </c>
      <c r="AH92" s="326" t="str">
        <f>IF(一覧!AF117="","",一覧!AF117)</f>
        <v/>
      </c>
      <c r="AI92" s="326" t="str">
        <f>IF(一覧!AG117="","",一覧!AG117)</f>
        <v/>
      </c>
      <c r="AJ92" s="329" t="str">
        <f>IF(一覧!AH117="","",一覧!AH117)</f>
        <v>小野木</v>
      </c>
    </row>
    <row r="93" spans="1:36" ht="15" thickBot="1">
      <c r="A93" s="330" t="str">
        <f>一覧!AI117</f>
        <v>onsei</v>
      </c>
      <c r="B93" s="331" t="str">
        <f>一覧!AJ117</f>
        <v>b</v>
      </c>
      <c r="C93" s="332"/>
      <c r="D93" s="333"/>
      <c r="E93" s="331" t="str">
        <f>IF(一覧!C118="","",一覧!C118)</f>
        <v>局会</v>
      </c>
      <c r="F93" s="331" t="str">
        <f>IF(一覧!D118="","",一覧!D118)</f>
        <v/>
      </c>
      <c r="G93" s="331" t="str">
        <f>IF(一覧!E118="","",一覧!E118)</f>
        <v/>
      </c>
      <c r="H93" s="331" t="str">
        <f>IF(一覧!F118="","",一覧!F118)</f>
        <v/>
      </c>
      <c r="I93" s="331" t="str">
        <f>IF(一覧!G118="","",一覧!G118)</f>
        <v/>
      </c>
      <c r="J93" s="331" t="str">
        <f>IF(一覧!H118="","",一覧!H118)</f>
        <v/>
      </c>
      <c r="K93" s="331" t="str">
        <f>IF(一覧!I118="","",一覧!I118)</f>
        <v/>
      </c>
      <c r="L93" s="331" t="str">
        <f>IF(一覧!J118="","",一覧!J118)</f>
        <v/>
      </c>
      <c r="M93" s="331" t="str">
        <f>IF(一覧!K118="","",一覧!K118)</f>
        <v/>
      </c>
      <c r="N93" s="331" t="str">
        <f>IF(一覧!L118="","",一覧!L118)</f>
        <v/>
      </c>
      <c r="O93" s="331" t="str">
        <f>IF(一覧!M118="","",一覧!M118)</f>
        <v/>
      </c>
      <c r="P93" s="331" t="str">
        <f>IF(一覧!N118="","",一覧!N118)</f>
        <v/>
      </c>
      <c r="Q93" s="331" t="str">
        <f>IF(一覧!O118="","",一覧!O118)</f>
        <v/>
      </c>
      <c r="R93" s="331" t="str">
        <f>IF(一覧!P118="","",一覧!P118)</f>
        <v/>
      </c>
      <c r="S93" s="331" t="str">
        <f>IF(一覧!Q118="","",一覧!Q118)</f>
        <v/>
      </c>
      <c r="T93" s="331" t="str">
        <f>IF(一覧!R118="","",一覧!R118)</f>
        <v/>
      </c>
      <c r="U93" s="331" t="str">
        <f>IF(一覧!S118="","",一覧!S118)</f>
        <v/>
      </c>
      <c r="V93" s="331" t="str">
        <f>IF(一覧!T118="","",一覧!T118)</f>
        <v/>
      </c>
      <c r="W93" s="331" t="str">
        <f>IF(一覧!U118="","",一覧!U118)</f>
        <v/>
      </c>
      <c r="X93" s="331" t="str">
        <f>IF(一覧!V118="","",一覧!V118)</f>
        <v/>
      </c>
      <c r="Y93" s="331" t="str">
        <f>IF(一覧!W118="","",一覧!W118)</f>
        <v/>
      </c>
      <c r="Z93" s="331" t="str">
        <f>IF(一覧!X118="","",一覧!X118)</f>
        <v/>
      </c>
      <c r="AA93" s="331" t="str">
        <f>IF(一覧!Y118="","",一覧!Y118)</f>
        <v/>
      </c>
      <c r="AB93" s="331" t="str">
        <f>IF(一覧!Z118="","",一覧!Z118)</f>
        <v/>
      </c>
      <c r="AC93" s="331" t="str">
        <f>IF(一覧!AA118="","",一覧!AA118)</f>
        <v/>
      </c>
      <c r="AD93" s="331" t="str">
        <f>IF(一覧!AB118="","",一覧!AB118)</f>
        <v/>
      </c>
      <c r="AE93" s="331" t="str">
        <f>IF(一覧!AC118="","",一覧!AC118)</f>
        <v/>
      </c>
      <c r="AF93" s="331" t="str">
        <f>IF(一覧!AD118="","",一覧!AD118)</f>
        <v/>
      </c>
      <c r="AG93" s="331" t="str">
        <f>IF(一覧!AE118="","",一覧!AE118)</f>
        <v/>
      </c>
      <c r="AH93" s="331" t="str">
        <f>IF(一覧!AF118="","",一覧!AF118)</f>
        <v/>
      </c>
      <c r="AI93" s="331" t="str">
        <f>IF(一覧!AG118="","",一覧!AG118)</f>
        <v/>
      </c>
      <c r="AJ93" s="334" t="str">
        <f>IF(一覧!AH118="","",一覧!AH118)</f>
        <v/>
      </c>
    </row>
  </sheetData>
  <phoneticPr fontId="27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1"/>
  <dimension ref="A1:BR96"/>
  <sheetViews>
    <sheetView workbookViewId="0">
      <selection activeCell="Q16" sqref="Q16"/>
    </sheetView>
  </sheetViews>
  <sheetFormatPr defaultColWidth="9" defaultRowHeight="11.25" customHeight="1"/>
  <cols>
    <col min="1" max="1" width="2.453125" style="5" customWidth="1"/>
    <col min="2" max="2" width="2.453125" style="11" customWidth="1"/>
    <col min="3" max="3" width="8.453125" style="6" customWidth="1"/>
    <col min="4" max="30" width="4.453125" style="5" customWidth="1"/>
    <col min="31" max="70" width="3.453125" style="5" customWidth="1"/>
    <col min="71" max="71" width="2.453125" style="5" customWidth="1"/>
    <col min="72" max="16384" width="9" style="5"/>
  </cols>
  <sheetData>
    <row r="1" spans="1:70" ht="21" customHeight="1">
      <c r="A1" s="22" t="s">
        <v>516</v>
      </c>
      <c r="B1" s="39">
        <f>WEEKDAY(DATE(C1,E1,1))</f>
        <v>2</v>
      </c>
      <c r="C1" s="40">
        <f>月間設定!C1</f>
        <v>2026</v>
      </c>
      <c r="D1" s="41" t="s">
        <v>0</v>
      </c>
      <c r="E1" s="40">
        <f>月間設定!E1</f>
        <v>6</v>
      </c>
      <c r="F1" s="41" t="s">
        <v>489</v>
      </c>
      <c r="G1" s="22"/>
      <c r="H1" s="42" t="s">
        <v>17</v>
      </c>
      <c r="I1" s="40">
        <f>月間設定!I1</f>
        <v>8</v>
      </c>
      <c r="J1" s="41" t="s">
        <v>18</v>
      </c>
      <c r="K1" s="43">
        <f>IF(AND(E1=2,MOD(C1,4)&lt;&gt;0),28,IF(AND(E1=2,MOD(C1,4)=0),29,IF(OR(E1=4,E1=6,E1=9,E1=11),30,31)))</f>
        <v>30</v>
      </c>
      <c r="L1" s="44"/>
      <c r="AE1" s="536" t="s">
        <v>517</v>
      </c>
      <c r="AF1" s="536"/>
      <c r="AG1" s="536"/>
      <c r="AH1" s="536"/>
      <c r="AI1" s="536"/>
      <c r="AJ1" s="536"/>
      <c r="AK1" s="536"/>
      <c r="AL1" s="536"/>
      <c r="AM1" s="536"/>
      <c r="AN1" s="536"/>
      <c r="AO1" s="536" t="s">
        <v>518</v>
      </c>
      <c r="AP1" s="536"/>
      <c r="AQ1" s="536"/>
      <c r="AR1" s="536"/>
      <c r="AS1" s="536"/>
      <c r="AT1" s="536"/>
      <c r="AU1" s="536"/>
      <c r="AV1" s="536"/>
      <c r="AW1" s="536"/>
      <c r="AX1" s="536"/>
      <c r="AY1" s="536" t="s">
        <v>519</v>
      </c>
      <c r="AZ1" s="536"/>
      <c r="BA1" s="536"/>
      <c r="BB1" s="536"/>
      <c r="BC1" s="536"/>
      <c r="BD1" s="536"/>
      <c r="BE1" s="536"/>
      <c r="BF1" s="536"/>
      <c r="BG1" s="536"/>
      <c r="BH1" s="536"/>
      <c r="BI1" s="536" t="s">
        <v>520</v>
      </c>
      <c r="BJ1" s="536"/>
      <c r="BK1" s="536"/>
      <c r="BL1" s="536"/>
      <c r="BM1" s="536"/>
      <c r="BN1" s="536"/>
      <c r="BO1" s="536"/>
      <c r="BP1" s="536"/>
      <c r="BQ1" s="536"/>
      <c r="BR1" s="536"/>
    </row>
    <row r="2" spans="1:70" ht="11.25" customHeight="1">
      <c r="A2" s="520" t="s">
        <v>18</v>
      </c>
      <c r="B2" s="8" t="s">
        <v>490</v>
      </c>
      <c r="C2" s="521" t="s">
        <v>521</v>
      </c>
      <c r="D2" s="538" t="s">
        <v>522</v>
      </c>
      <c r="E2" s="538"/>
      <c r="F2" s="520" t="s">
        <v>523</v>
      </c>
      <c r="G2" s="538" t="s">
        <v>524</v>
      </c>
      <c r="H2" s="538"/>
      <c r="I2" s="538"/>
      <c r="J2" s="538"/>
      <c r="K2" s="538"/>
      <c r="L2" s="538"/>
      <c r="M2" s="538" t="s">
        <v>206</v>
      </c>
      <c r="N2" s="538"/>
      <c r="O2" s="538"/>
      <c r="P2" s="520" t="s">
        <v>525</v>
      </c>
      <c r="Q2" s="538" t="s">
        <v>526</v>
      </c>
      <c r="R2" s="538"/>
      <c r="S2" s="538" t="s">
        <v>527</v>
      </c>
      <c r="T2" s="538"/>
      <c r="U2" s="520" t="s">
        <v>528</v>
      </c>
      <c r="V2" s="520" t="s">
        <v>529</v>
      </c>
      <c r="W2" s="520" t="s">
        <v>530</v>
      </c>
      <c r="X2" s="537" t="s">
        <v>42</v>
      </c>
      <c r="Y2" s="537"/>
      <c r="Z2" s="537"/>
      <c r="AA2" s="537"/>
      <c r="AB2" s="537"/>
      <c r="AC2" s="537"/>
      <c r="AD2" s="537"/>
      <c r="AE2" s="526" t="s">
        <v>531</v>
      </c>
      <c r="AF2" s="526" t="s">
        <v>532</v>
      </c>
      <c r="AG2" s="526" t="s">
        <v>533</v>
      </c>
      <c r="AH2" s="526" t="s">
        <v>534</v>
      </c>
      <c r="AI2" s="526" t="s">
        <v>535</v>
      </c>
      <c r="AJ2" s="526" t="s">
        <v>536</v>
      </c>
      <c r="AK2" s="526" t="s">
        <v>537</v>
      </c>
      <c r="AL2" s="526" t="s">
        <v>538</v>
      </c>
      <c r="AM2" s="526" t="s">
        <v>539</v>
      </c>
      <c r="AN2" s="520"/>
      <c r="AO2" s="526" t="s">
        <v>531</v>
      </c>
      <c r="AP2" s="526" t="s">
        <v>532</v>
      </c>
      <c r="AQ2" s="526" t="s">
        <v>533</v>
      </c>
      <c r="AR2" s="526" t="s">
        <v>534</v>
      </c>
      <c r="AS2" s="526" t="s">
        <v>535</v>
      </c>
      <c r="AT2" s="526" t="s">
        <v>536</v>
      </c>
      <c r="AU2" s="526" t="s">
        <v>537</v>
      </c>
      <c r="AV2" s="526" t="s">
        <v>538</v>
      </c>
      <c r="AW2" s="526" t="s">
        <v>539</v>
      </c>
      <c r="AX2" s="520"/>
      <c r="AY2" s="526" t="s">
        <v>531</v>
      </c>
      <c r="AZ2" s="526" t="s">
        <v>532</v>
      </c>
      <c r="BA2" s="526" t="s">
        <v>533</v>
      </c>
      <c r="BB2" s="526" t="s">
        <v>534</v>
      </c>
      <c r="BC2" s="526" t="s">
        <v>535</v>
      </c>
      <c r="BD2" s="526" t="s">
        <v>536</v>
      </c>
      <c r="BE2" s="526" t="s">
        <v>537</v>
      </c>
      <c r="BF2" s="526" t="s">
        <v>538</v>
      </c>
      <c r="BG2" s="526" t="s">
        <v>539</v>
      </c>
      <c r="BH2" s="520"/>
      <c r="BI2" s="526" t="s">
        <v>531</v>
      </c>
      <c r="BJ2" s="526" t="s">
        <v>532</v>
      </c>
      <c r="BK2" s="526" t="s">
        <v>533</v>
      </c>
      <c r="BL2" s="526" t="s">
        <v>534</v>
      </c>
      <c r="BM2" s="526" t="s">
        <v>535</v>
      </c>
      <c r="BN2" s="526" t="s">
        <v>536</v>
      </c>
      <c r="BO2" s="526" t="s">
        <v>537</v>
      </c>
      <c r="BP2" s="526" t="s">
        <v>538</v>
      </c>
      <c r="BQ2" s="526" t="s">
        <v>539</v>
      </c>
      <c r="BR2" s="520"/>
    </row>
    <row r="3" spans="1:70" ht="11.25" customHeight="1">
      <c r="A3" s="522">
        <v>1</v>
      </c>
      <c r="B3" s="9">
        <v>2</v>
      </c>
      <c r="C3" s="10" t="s">
        <v>4</v>
      </c>
      <c r="D3" s="5" t="s">
        <v>506</v>
      </c>
      <c r="E3" s="522"/>
      <c r="F3" s="522"/>
      <c r="L3" s="522"/>
      <c r="O3" s="522"/>
      <c r="P3" s="522"/>
      <c r="R3" s="522"/>
      <c r="T3" s="522"/>
      <c r="U3" s="522" t="s">
        <v>270</v>
      </c>
      <c r="V3" s="522"/>
      <c r="W3" s="522"/>
      <c r="AD3" s="522"/>
      <c r="AE3" s="5">
        <v>1</v>
      </c>
      <c r="AF3" s="5">
        <v>5</v>
      </c>
      <c r="AG3" s="5">
        <v>0</v>
      </c>
      <c r="AH3" s="5">
        <v>1</v>
      </c>
      <c r="AI3" s="5">
        <v>1</v>
      </c>
      <c r="AJ3" s="5">
        <v>2</v>
      </c>
      <c r="AK3" s="5">
        <v>0</v>
      </c>
      <c r="AL3" s="5">
        <v>0</v>
      </c>
      <c r="AM3" s="5">
        <v>0</v>
      </c>
      <c r="AN3" s="522">
        <v>0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22">
        <v>0</v>
      </c>
      <c r="AY3" s="5">
        <v>0</v>
      </c>
      <c r="AZ3" s="5">
        <v>0</v>
      </c>
      <c r="BA3" s="5">
        <v>0</v>
      </c>
      <c r="BB3" s="5">
        <v>0</v>
      </c>
      <c r="BC3" s="5">
        <v>0</v>
      </c>
      <c r="BD3" s="5">
        <v>0</v>
      </c>
      <c r="BE3" s="5">
        <v>0</v>
      </c>
      <c r="BF3" s="5">
        <v>0</v>
      </c>
      <c r="BG3" s="5">
        <v>0</v>
      </c>
      <c r="BH3" s="522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5">
        <v>0</v>
      </c>
      <c r="BR3" s="522">
        <v>0</v>
      </c>
    </row>
    <row r="4" spans="1:70" ht="11.25" customHeight="1">
      <c r="C4" s="6" t="s">
        <v>20</v>
      </c>
      <c r="D4" s="5" t="s">
        <v>511</v>
      </c>
      <c r="M4" s="5" t="s">
        <v>514</v>
      </c>
      <c r="U4" s="5" t="s">
        <v>540</v>
      </c>
      <c r="X4" s="5" t="s">
        <v>902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1</v>
      </c>
      <c r="AP4" s="5">
        <v>4</v>
      </c>
      <c r="AQ4" s="5">
        <v>0</v>
      </c>
      <c r="AR4" s="5">
        <v>0</v>
      </c>
      <c r="AS4" s="5">
        <v>1</v>
      </c>
      <c r="AT4" s="5">
        <v>2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C4" s="5">
        <v>0</v>
      </c>
      <c r="BD4" s="5">
        <v>0</v>
      </c>
      <c r="BE4" s="5">
        <v>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5">
        <v>0</v>
      </c>
      <c r="BR4" s="5">
        <v>0</v>
      </c>
    </row>
    <row r="5" spans="1:70" ht="11.25" customHeight="1">
      <c r="C5" s="6" t="s">
        <v>16</v>
      </c>
      <c r="D5" s="5" t="s">
        <v>498</v>
      </c>
      <c r="F5" s="5" t="s">
        <v>554</v>
      </c>
      <c r="AE5" s="5">
        <v>0</v>
      </c>
      <c r="AF5" s="5">
        <v>4</v>
      </c>
      <c r="AG5" s="5">
        <v>0</v>
      </c>
      <c r="AH5" s="5">
        <v>1</v>
      </c>
      <c r="AI5" s="5">
        <v>1</v>
      </c>
      <c r="AJ5" s="5">
        <v>2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</row>
    <row r="6" spans="1:70" ht="11.25" customHeight="1">
      <c r="A6" s="5">
        <v>2</v>
      </c>
      <c r="B6" s="11">
        <v>3</v>
      </c>
      <c r="C6" s="6" t="s">
        <v>4</v>
      </c>
      <c r="D6" s="5" t="s">
        <v>509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1</v>
      </c>
      <c r="AP6" s="5">
        <v>5</v>
      </c>
      <c r="AQ6" s="5">
        <v>0</v>
      </c>
      <c r="AR6" s="5">
        <v>1</v>
      </c>
      <c r="AS6" s="5">
        <v>1</v>
      </c>
      <c r="AT6" s="5">
        <v>2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</row>
    <row r="7" spans="1:70" ht="11.25" customHeight="1">
      <c r="C7" s="6" t="s">
        <v>20</v>
      </c>
      <c r="D7" s="5" t="s">
        <v>507</v>
      </c>
      <c r="F7" s="5" t="s">
        <v>506</v>
      </c>
      <c r="G7" s="5" t="s">
        <v>541</v>
      </c>
      <c r="H7" s="5" t="s">
        <v>542</v>
      </c>
      <c r="I7" s="5" t="s">
        <v>543</v>
      </c>
      <c r="J7" s="5" t="s">
        <v>554</v>
      </c>
      <c r="M7" s="5" t="s">
        <v>514</v>
      </c>
      <c r="U7" s="5" t="s">
        <v>270</v>
      </c>
      <c r="AE7" s="5">
        <v>0</v>
      </c>
      <c r="AF7" s="5">
        <v>0</v>
      </c>
      <c r="AG7" s="5">
        <v>0</v>
      </c>
      <c r="AH7" s="5">
        <v>0</v>
      </c>
      <c r="AI7" s="5">
        <v>1</v>
      </c>
      <c r="AJ7" s="5">
        <v>2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</row>
    <row r="8" spans="1:70" ht="11.25" customHeight="1">
      <c r="C8" s="6" t="s">
        <v>16</v>
      </c>
      <c r="D8" s="5" t="s">
        <v>498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4</v>
      </c>
      <c r="AQ8" s="5">
        <v>0</v>
      </c>
      <c r="AR8" s="5">
        <v>1</v>
      </c>
      <c r="AS8" s="5">
        <v>1</v>
      </c>
      <c r="AT8" s="5">
        <v>2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</row>
    <row r="9" spans="1:70" ht="11.25" customHeight="1">
      <c r="A9" s="5">
        <v>3</v>
      </c>
      <c r="B9" s="11">
        <v>4</v>
      </c>
      <c r="C9" s="6" t="s">
        <v>4</v>
      </c>
      <c r="D9" s="5" t="s">
        <v>499</v>
      </c>
      <c r="M9" s="5" t="s">
        <v>507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5</v>
      </c>
      <c r="BA9" s="5">
        <v>0</v>
      </c>
      <c r="BB9" s="5">
        <v>0</v>
      </c>
      <c r="BC9" s="5">
        <v>1</v>
      </c>
      <c r="BD9" s="5">
        <v>2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</row>
    <row r="10" spans="1:70" ht="11.25" customHeight="1">
      <c r="C10" s="6" t="s">
        <v>20</v>
      </c>
      <c r="D10" s="5" t="s">
        <v>496</v>
      </c>
      <c r="F10" s="5" t="s">
        <v>554</v>
      </c>
      <c r="U10" s="5" t="s">
        <v>270</v>
      </c>
      <c r="AE10" s="5">
        <v>0</v>
      </c>
      <c r="AF10" s="5">
        <v>4</v>
      </c>
      <c r="AG10" s="5">
        <v>0</v>
      </c>
      <c r="AH10" s="5">
        <v>1</v>
      </c>
      <c r="AI10" s="5">
        <v>1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</row>
    <row r="11" spans="1:70" ht="11.25" customHeight="1">
      <c r="C11" s="6" t="s">
        <v>16</v>
      </c>
      <c r="D11" s="5" t="s">
        <v>497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4</v>
      </c>
      <c r="BA11" s="5">
        <v>0</v>
      </c>
      <c r="BB11" s="5">
        <v>1</v>
      </c>
      <c r="BC11" s="5">
        <v>1</v>
      </c>
      <c r="BD11" s="5">
        <v>2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</row>
    <row r="12" spans="1:70" ht="11.25" customHeight="1">
      <c r="C12" s="6" t="s">
        <v>25</v>
      </c>
      <c r="D12" s="5" t="s">
        <v>513</v>
      </c>
      <c r="F12" s="5" t="s">
        <v>547</v>
      </c>
      <c r="G12" s="5" t="s">
        <v>541</v>
      </c>
      <c r="H12" s="5" t="s">
        <v>543</v>
      </c>
      <c r="M12" s="5" t="s">
        <v>511</v>
      </c>
      <c r="Q12" s="5" t="s">
        <v>546</v>
      </c>
      <c r="U12" s="5" t="s">
        <v>540</v>
      </c>
      <c r="X12" s="5" t="s">
        <v>548</v>
      </c>
      <c r="AE12" s="5">
        <v>0</v>
      </c>
      <c r="AF12" s="5">
        <v>2</v>
      </c>
      <c r="AG12" s="5">
        <v>0</v>
      </c>
      <c r="AH12" s="5">
        <v>0</v>
      </c>
      <c r="AI12" s="5">
        <v>0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</row>
    <row r="13" spans="1:70" ht="11.25" customHeight="1">
      <c r="A13" s="5">
        <v>4</v>
      </c>
      <c r="B13" s="11">
        <v>5</v>
      </c>
      <c r="C13" s="6" t="s">
        <v>4</v>
      </c>
      <c r="D13" s="5" t="s">
        <v>505</v>
      </c>
      <c r="AE13" s="5">
        <v>1</v>
      </c>
      <c r="AF13" s="5">
        <v>5</v>
      </c>
      <c r="AG13" s="5">
        <v>0</v>
      </c>
      <c r="AH13" s="5">
        <v>1</v>
      </c>
      <c r="AI13" s="5">
        <v>1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</row>
    <row r="14" spans="1:70" ht="11.25" customHeight="1">
      <c r="C14" s="6" t="s">
        <v>20</v>
      </c>
      <c r="D14" s="5" t="s">
        <v>512</v>
      </c>
      <c r="M14" s="5" t="s">
        <v>514</v>
      </c>
      <c r="Q14" s="5" t="s">
        <v>509</v>
      </c>
      <c r="U14" s="5" t="s">
        <v>540</v>
      </c>
      <c r="X14" s="5" t="s">
        <v>902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</v>
      </c>
      <c r="AZ14" s="5">
        <v>4</v>
      </c>
      <c r="BA14" s="5">
        <v>0</v>
      </c>
      <c r="BB14" s="5">
        <v>0</v>
      </c>
      <c r="BC14" s="5">
        <v>0</v>
      </c>
      <c r="BD14" s="5">
        <v>2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</row>
    <row r="15" spans="1:70" ht="11.25" customHeight="1">
      <c r="C15" s="6" t="s">
        <v>16</v>
      </c>
      <c r="D15" s="5" t="s">
        <v>498</v>
      </c>
      <c r="F15" s="5" t="s">
        <v>506</v>
      </c>
      <c r="G15" s="5" t="s">
        <v>542</v>
      </c>
      <c r="H15" s="5" t="s">
        <v>543</v>
      </c>
      <c r="M15" s="5" t="s">
        <v>549</v>
      </c>
      <c r="Q15" s="5" t="s">
        <v>545</v>
      </c>
      <c r="X15" s="5" t="s">
        <v>513</v>
      </c>
      <c r="Y15" s="5" t="s">
        <v>550</v>
      </c>
      <c r="AE15" s="5">
        <v>0</v>
      </c>
      <c r="AF15" s="5">
        <v>2</v>
      </c>
      <c r="AG15" s="5">
        <v>0</v>
      </c>
      <c r="AH15" s="5">
        <v>0</v>
      </c>
      <c r="AI15" s="5">
        <v>0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</row>
    <row r="16" spans="1:70" ht="11.25" customHeight="1">
      <c r="C16" s="6" t="s">
        <v>251</v>
      </c>
      <c r="D16" s="5" t="s">
        <v>500</v>
      </c>
      <c r="Q16" s="5" t="s">
        <v>544</v>
      </c>
      <c r="S16" s="5" t="s">
        <v>546</v>
      </c>
      <c r="AE16" s="5">
        <v>0</v>
      </c>
      <c r="AF16" s="5">
        <v>2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</row>
    <row r="17" spans="1:70" ht="11.25" customHeight="1">
      <c r="A17" s="5">
        <v>5</v>
      </c>
      <c r="B17" s="11">
        <v>6</v>
      </c>
      <c r="C17" s="6" t="s">
        <v>4</v>
      </c>
      <c r="D17" s="5" t="s">
        <v>512</v>
      </c>
      <c r="U17" s="5" t="s">
        <v>540</v>
      </c>
      <c r="X17" s="5" t="s">
        <v>551</v>
      </c>
      <c r="AE17" s="5">
        <v>1</v>
      </c>
      <c r="AF17" s="5">
        <v>5</v>
      </c>
      <c r="AG17" s="5">
        <v>0</v>
      </c>
      <c r="AH17" s="5">
        <v>1</v>
      </c>
      <c r="AI17" s="5">
        <v>1</v>
      </c>
      <c r="AJ17" s="5">
        <v>2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</row>
    <row r="18" spans="1:70" ht="11.25" customHeight="1">
      <c r="C18" s="6" t="s">
        <v>20</v>
      </c>
      <c r="D18" s="5" t="s">
        <v>514</v>
      </c>
      <c r="M18" s="5" t="s">
        <v>549</v>
      </c>
      <c r="Q18" s="5" t="s">
        <v>545</v>
      </c>
      <c r="S18" s="5" t="s">
        <v>544</v>
      </c>
      <c r="U18" s="5" t="s">
        <v>552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1</v>
      </c>
      <c r="AP18" s="5">
        <v>4</v>
      </c>
      <c r="AQ18" s="5">
        <v>0</v>
      </c>
      <c r="AR18" s="5">
        <v>0</v>
      </c>
      <c r="AS18" s="5">
        <v>0</v>
      </c>
      <c r="AT18" s="5">
        <v>1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</row>
    <row r="19" spans="1:70" ht="11.25" customHeight="1">
      <c r="C19" s="6" t="s">
        <v>16</v>
      </c>
      <c r="D19" s="5" t="s">
        <v>498</v>
      </c>
      <c r="AE19" s="5">
        <v>1</v>
      </c>
      <c r="AF19" s="5">
        <v>4</v>
      </c>
      <c r="AG19" s="5">
        <v>0</v>
      </c>
      <c r="AH19" s="5">
        <v>1</v>
      </c>
      <c r="AI19" s="5">
        <v>1</v>
      </c>
      <c r="AJ19" s="5">
        <v>2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</row>
    <row r="20" spans="1:70" ht="11.25" customHeight="1">
      <c r="C20" s="6" t="s">
        <v>152</v>
      </c>
      <c r="D20" s="5" t="s">
        <v>506</v>
      </c>
      <c r="F20" s="5" t="s">
        <v>541</v>
      </c>
      <c r="G20" s="5" t="s">
        <v>513</v>
      </c>
      <c r="H20" s="5" t="s">
        <v>543</v>
      </c>
      <c r="M20" s="5" t="s">
        <v>511</v>
      </c>
      <c r="Q20" s="5" t="s">
        <v>546</v>
      </c>
      <c r="U20" s="5" t="s">
        <v>553</v>
      </c>
      <c r="X20" s="5" t="s">
        <v>550</v>
      </c>
      <c r="AE20" s="5">
        <v>0</v>
      </c>
      <c r="AF20" s="5">
        <v>3</v>
      </c>
      <c r="AG20" s="5">
        <v>0</v>
      </c>
      <c r="AH20" s="5">
        <v>0</v>
      </c>
      <c r="AI20" s="5">
        <v>0</v>
      </c>
      <c r="AJ20" s="5">
        <v>1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</row>
    <row r="21" spans="1:70" ht="11.25" customHeight="1">
      <c r="A21" s="5">
        <v>6</v>
      </c>
      <c r="B21" s="11">
        <v>7</v>
      </c>
      <c r="C21" s="6" t="s">
        <v>26</v>
      </c>
      <c r="D21" s="5" t="s">
        <v>512</v>
      </c>
      <c r="F21" s="5" t="s">
        <v>554</v>
      </c>
      <c r="M21" s="5" t="s">
        <v>555</v>
      </c>
      <c r="U21" s="5" t="s">
        <v>553</v>
      </c>
      <c r="AE21" s="5">
        <v>0</v>
      </c>
      <c r="AF21" s="5">
        <v>5</v>
      </c>
      <c r="AG21" s="5">
        <v>0</v>
      </c>
      <c r="AH21" s="5">
        <v>0</v>
      </c>
      <c r="AI21" s="5">
        <v>1</v>
      </c>
      <c r="AJ21" s="5">
        <v>2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</row>
    <row r="22" spans="1:70" ht="11.25" customHeight="1">
      <c r="A22" s="5">
        <v>7</v>
      </c>
      <c r="B22" s="11">
        <v>1</v>
      </c>
      <c r="C22" s="6" t="s">
        <v>241</v>
      </c>
      <c r="G22" s="5" t="s">
        <v>541</v>
      </c>
      <c r="H22" s="5" t="s">
        <v>542</v>
      </c>
      <c r="U22" s="5" t="s">
        <v>552</v>
      </c>
      <c r="AE22" s="5">
        <v>0</v>
      </c>
      <c r="AF22" s="5">
        <v>0</v>
      </c>
      <c r="AG22" s="5">
        <v>0</v>
      </c>
      <c r="AH22" s="5">
        <v>0</v>
      </c>
      <c r="AI22" s="5">
        <v>1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</row>
    <row r="23" spans="1:70" ht="11.25" customHeight="1">
      <c r="A23" s="5">
        <v>8</v>
      </c>
      <c r="B23" s="11">
        <v>2</v>
      </c>
      <c r="C23" s="6" t="s">
        <v>4</v>
      </c>
      <c r="D23" s="5" t="s">
        <v>505</v>
      </c>
      <c r="U23" s="5" t="s">
        <v>552</v>
      </c>
      <c r="AE23" s="5">
        <v>1</v>
      </c>
      <c r="AF23" s="5">
        <v>5</v>
      </c>
      <c r="AG23" s="5">
        <v>0</v>
      </c>
      <c r="AH23" s="5">
        <v>1</v>
      </c>
      <c r="AI23" s="5">
        <v>1</v>
      </c>
      <c r="AJ23" s="5">
        <v>2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</row>
    <row r="24" spans="1:70" ht="11.25" customHeight="1">
      <c r="C24" s="6" t="s">
        <v>20</v>
      </c>
      <c r="D24" s="5" t="s">
        <v>551</v>
      </c>
      <c r="U24" s="5" t="s">
        <v>540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1</v>
      </c>
      <c r="AP24" s="5">
        <v>4</v>
      </c>
      <c r="AQ24" s="5">
        <v>0</v>
      </c>
      <c r="AR24" s="5">
        <v>1</v>
      </c>
      <c r="AS24" s="5">
        <v>1</v>
      </c>
      <c r="AT24" s="5">
        <v>2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</row>
    <row r="25" spans="1:70" ht="11.25" customHeight="1">
      <c r="C25" s="6" t="s">
        <v>16</v>
      </c>
      <c r="D25" s="5" t="s">
        <v>501</v>
      </c>
      <c r="G25" s="5" t="s">
        <v>554</v>
      </c>
      <c r="AE25" s="5">
        <v>1</v>
      </c>
      <c r="AF25" s="5">
        <v>3</v>
      </c>
      <c r="AG25" s="5">
        <v>0</v>
      </c>
      <c r="AH25" s="5">
        <v>1</v>
      </c>
      <c r="AI25" s="5">
        <v>1</v>
      </c>
      <c r="AJ25" s="5">
        <v>2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</row>
    <row r="26" spans="1:70" ht="11.25" customHeight="1">
      <c r="A26" s="5">
        <v>9</v>
      </c>
      <c r="B26" s="11">
        <v>3</v>
      </c>
      <c r="C26" s="6" t="s">
        <v>4</v>
      </c>
      <c r="D26" s="5" t="s">
        <v>554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1</v>
      </c>
      <c r="AP26" s="5">
        <v>5</v>
      </c>
      <c r="AQ26" s="5">
        <v>0</v>
      </c>
      <c r="AR26" s="5">
        <v>1</v>
      </c>
      <c r="AS26" s="5">
        <v>1</v>
      </c>
      <c r="AT26" s="5">
        <v>2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</row>
    <row r="27" spans="1:70" ht="11.25" customHeight="1">
      <c r="C27" s="6" t="s">
        <v>20</v>
      </c>
      <c r="D27" s="5" t="s">
        <v>514</v>
      </c>
      <c r="F27" s="5" t="s">
        <v>496</v>
      </c>
      <c r="G27" s="5" t="s">
        <v>542</v>
      </c>
      <c r="Q27" s="5" t="s">
        <v>544</v>
      </c>
      <c r="U27" s="5" t="s">
        <v>540</v>
      </c>
      <c r="AE27" s="5">
        <v>0</v>
      </c>
      <c r="AF27" s="5">
        <v>3</v>
      </c>
      <c r="AG27" s="5">
        <v>0</v>
      </c>
      <c r="AH27" s="5">
        <v>1</v>
      </c>
      <c r="AI27" s="5">
        <v>0</v>
      </c>
      <c r="AJ27" s="5">
        <v>2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</row>
    <row r="28" spans="1:70" ht="11.25" customHeight="1">
      <c r="C28" s="6" t="s">
        <v>16</v>
      </c>
      <c r="D28" s="5" t="s">
        <v>501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1</v>
      </c>
      <c r="AP28" s="5">
        <v>4</v>
      </c>
      <c r="AQ28" s="5">
        <v>0</v>
      </c>
      <c r="AR28" s="5">
        <v>1</v>
      </c>
      <c r="AS28" s="5">
        <v>1</v>
      </c>
      <c r="AT28" s="5">
        <v>2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</row>
    <row r="29" spans="1:70" ht="11.25" customHeight="1">
      <c r="C29" s="6" t="s">
        <v>27</v>
      </c>
      <c r="D29" s="5" t="s">
        <v>545</v>
      </c>
      <c r="F29" s="5" t="s">
        <v>541</v>
      </c>
      <c r="G29" s="5" t="s">
        <v>551</v>
      </c>
      <c r="H29" s="5" t="s">
        <v>543</v>
      </c>
      <c r="Q29" s="5" t="s">
        <v>546</v>
      </c>
      <c r="U29" s="5" t="s">
        <v>270</v>
      </c>
      <c r="X29" s="5" t="s">
        <v>512</v>
      </c>
      <c r="Y29" s="5" t="s">
        <v>902</v>
      </c>
      <c r="Z29" s="5" t="s">
        <v>548</v>
      </c>
      <c r="AE29" s="5">
        <v>0</v>
      </c>
      <c r="AF29" s="5">
        <v>3</v>
      </c>
      <c r="AG29" s="5">
        <v>0</v>
      </c>
      <c r="AH29" s="5">
        <v>1</v>
      </c>
      <c r="AI29" s="5">
        <v>0</v>
      </c>
      <c r="AJ29" s="5">
        <v>2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</row>
    <row r="30" spans="1:70" ht="11.25" customHeight="1">
      <c r="A30" s="5">
        <v>10</v>
      </c>
      <c r="B30" s="11">
        <v>4</v>
      </c>
      <c r="C30" s="6" t="s">
        <v>4</v>
      </c>
      <c r="D30" s="5" t="s">
        <v>514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1</v>
      </c>
      <c r="AZ30" s="5">
        <v>5</v>
      </c>
      <c r="BA30" s="5">
        <v>0</v>
      </c>
      <c r="BB30" s="5">
        <v>1</v>
      </c>
      <c r="BC30" s="5">
        <v>1</v>
      </c>
      <c r="BD30" s="5">
        <v>2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</row>
    <row r="31" spans="1:70" ht="11.25" customHeight="1">
      <c r="C31" s="6" t="s">
        <v>20</v>
      </c>
      <c r="D31" s="5" t="s">
        <v>512</v>
      </c>
      <c r="U31" s="5" t="s">
        <v>270</v>
      </c>
      <c r="AE31" s="5">
        <v>1</v>
      </c>
      <c r="AF31" s="5">
        <v>4</v>
      </c>
      <c r="AG31" s="5">
        <v>0</v>
      </c>
      <c r="AH31" s="5">
        <v>1</v>
      </c>
      <c r="AI31" s="5">
        <v>1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</row>
    <row r="32" spans="1:70" ht="11.25" customHeight="1">
      <c r="C32" s="6" t="s">
        <v>16</v>
      </c>
      <c r="D32" s="5" t="s">
        <v>497</v>
      </c>
      <c r="Q32" s="5" t="s">
        <v>544</v>
      </c>
      <c r="X32" s="5" t="s">
        <v>817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1</v>
      </c>
      <c r="AZ32" s="5">
        <v>4</v>
      </c>
      <c r="BA32" s="5">
        <v>0</v>
      </c>
      <c r="BB32" s="5">
        <v>1</v>
      </c>
      <c r="BC32" s="5">
        <v>0</v>
      </c>
      <c r="BD32" s="5">
        <v>2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</row>
    <row r="33" spans="1:70" ht="11.25" customHeight="1">
      <c r="C33" s="6" t="s">
        <v>202</v>
      </c>
      <c r="D33" s="5" t="s">
        <v>553</v>
      </c>
      <c r="F33" s="5" t="s">
        <v>541</v>
      </c>
      <c r="G33" s="5" t="s">
        <v>551</v>
      </c>
      <c r="H33" s="5" t="s">
        <v>543</v>
      </c>
      <c r="M33" s="5" t="s">
        <v>511</v>
      </c>
      <c r="Q33" s="5" t="s">
        <v>546</v>
      </c>
      <c r="U33" s="5" t="s">
        <v>547</v>
      </c>
      <c r="X33" s="5" t="s">
        <v>550</v>
      </c>
      <c r="Y33" s="5" t="s">
        <v>548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</row>
    <row r="34" spans="1:70" ht="11.25" customHeight="1">
      <c r="A34" s="5">
        <v>11</v>
      </c>
      <c r="B34" s="11">
        <v>5</v>
      </c>
      <c r="C34" s="6" t="s">
        <v>4</v>
      </c>
      <c r="D34" s="5" t="s">
        <v>504</v>
      </c>
      <c r="X34" s="5" t="s">
        <v>551</v>
      </c>
      <c r="AE34" s="5">
        <v>1</v>
      </c>
      <c r="AF34" s="5">
        <v>5</v>
      </c>
      <c r="AG34" s="5">
        <v>0</v>
      </c>
      <c r="AH34" s="5">
        <v>1</v>
      </c>
      <c r="AI34" s="5">
        <v>1</v>
      </c>
      <c r="AJ34" s="5">
        <v>2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</row>
    <row r="35" spans="1:70" ht="11.25" customHeight="1">
      <c r="C35" s="6" t="s">
        <v>20</v>
      </c>
      <c r="D35" s="5" t="s">
        <v>511</v>
      </c>
      <c r="U35" s="5" t="s">
        <v>553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1</v>
      </c>
      <c r="AZ35" s="5">
        <v>4</v>
      </c>
      <c r="BA35" s="5">
        <v>0</v>
      </c>
      <c r="BB35" s="5">
        <v>1</v>
      </c>
      <c r="BC35" s="5">
        <v>1</v>
      </c>
      <c r="BD35" s="5">
        <v>2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</row>
    <row r="36" spans="1:70" ht="11.25" customHeight="1">
      <c r="C36" s="6" t="s">
        <v>16</v>
      </c>
      <c r="D36" s="5" t="s">
        <v>497</v>
      </c>
      <c r="M36" s="5" t="s">
        <v>514</v>
      </c>
      <c r="AE36" s="5">
        <v>1</v>
      </c>
      <c r="AF36" s="5">
        <v>4</v>
      </c>
      <c r="AG36" s="5">
        <v>0</v>
      </c>
      <c r="AH36" s="5">
        <v>0</v>
      </c>
      <c r="AI36" s="5">
        <v>1</v>
      </c>
      <c r="AJ36" s="5">
        <v>2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  <c r="BC36" s="5">
        <v>0</v>
      </c>
      <c r="BD36" s="5">
        <v>0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</row>
    <row r="37" spans="1:70" ht="11.25" customHeight="1">
      <c r="C37" s="6" t="s">
        <v>167</v>
      </c>
      <c r="D37" s="5" t="s">
        <v>513</v>
      </c>
      <c r="F37" s="5" t="s">
        <v>547</v>
      </c>
      <c r="G37" s="5" t="s">
        <v>541</v>
      </c>
      <c r="H37" s="5" t="s">
        <v>542</v>
      </c>
      <c r="I37" s="5" t="s">
        <v>543</v>
      </c>
      <c r="M37" s="5" t="s">
        <v>507</v>
      </c>
      <c r="U37" s="5" t="s">
        <v>552</v>
      </c>
      <c r="X37" s="5" t="s">
        <v>902</v>
      </c>
      <c r="Y37" s="5" t="s">
        <v>545</v>
      </c>
      <c r="Z37" s="5" t="s">
        <v>544</v>
      </c>
      <c r="AA37" s="5" t="s">
        <v>270</v>
      </c>
      <c r="AB37" s="5" t="s">
        <v>550</v>
      </c>
      <c r="AC37" s="5" t="s">
        <v>546</v>
      </c>
      <c r="AD37" s="5" t="s">
        <v>548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</row>
    <row r="38" spans="1:70" ht="11.25" customHeight="1">
      <c r="C38" s="6" t="s">
        <v>251</v>
      </c>
      <c r="D38" s="5" t="s">
        <v>496</v>
      </c>
      <c r="X38" s="5" t="s">
        <v>503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2</v>
      </c>
      <c r="AQ38" s="5">
        <v>0</v>
      </c>
      <c r="AR38" s="5">
        <v>1</v>
      </c>
      <c r="AS38" s="5">
        <v>1</v>
      </c>
      <c r="AT38" s="5">
        <v>1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</row>
    <row r="39" spans="1:70" ht="11.25" customHeight="1">
      <c r="A39" s="5">
        <v>12</v>
      </c>
      <c r="B39" s="11">
        <v>6</v>
      </c>
      <c r="C39" s="6" t="s">
        <v>4</v>
      </c>
      <c r="D39" s="5" t="s">
        <v>500</v>
      </c>
      <c r="U39" s="5" t="s">
        <v>553</v>
      </c>
      <c r="AE39" s="5">
        <v>1</v>
      </c>
      <c r="AF39" s="5">
        <v>5</v>
      </c>
      <c r="AG39" s="5">
        <v>0</v>
      </c>
      <c r="AH39" s="5">
        <v>1</v>
      </c>
      <c r="AI39" s="5">
        <v>1</v>
      </c>
      <c r="AJ39" s="5">
        <v>2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</row>
    <row r="40" spans="1:70" ht="11.25" customHeight="1">
      <c r="C40" s="6" t="s">
        <v>20</v>
      </c>
      <c r="D40" s="5" t="s">
        <v>514</v>
      </c>
      <c r="M40" s="5" t="s">
        <v>511</v>
      </c>
      <c r="Q40" s="5" t="s">
        <v>544</v>
      </c>
      <c r="S40" s="5" t="s">
        <v>546</v>
      </c>
      <c r="U40" s="5" t="s">
        <v>540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1</v>
      </c>
      <c r="AP40" s="5">
        <v>4</v>
      </c>
      <c r="AQ40" s="5">
        <v>0</v>
      </c>
      <c r="AR40" s="5">
        <v>0</v>
      </c>
      <c r="AS40" s="5">
        <v>0</v>
      </c>
      <c r="AT40" s="5">
        <v>1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</row>
    <row r="41" spans="1:70" ht="11.25" customHeight="1">
      <c r="C41" s="6" t="s">
        <v>16</v>
      </c>
      <c r="D41" s="5" t="s">
        <v>496</v>
      </c>
      <c r="AE41" s="5">
        <v>1</v>
      </c>
      <c r="AF41" s="5">
        <v>4</v>
      </c>
      <c r="AG41" s="5">
        <v>0</v>
      </c>
      <c r="AH41" s="5">
        <v>1</v>
      </c>
      <c r="AI41" s="5">
        <v>1</v>
      </c>
      <c r="AJ41" s="5">
        <v>2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</row>
    <row r="42" spans="1:70" ht="11.25" customHeight="1">
      <c r="C42" s="6" t="s">
        <v>29</v>
      </c>
      <c r="D42" s="5" t="s">
        <v>551</v>
      </c>
      <c r="F42" s="5" t="s">
        <v>547</v>
      </c>
      <c r="G42" s="5" t="s">
        <v>541</v>
      </c>
      <c r="H42" s="5" t="s">
        <v>542</v>
      </c>
      <c r="I42" s="5" t="s">
        <v>543</v>
      </c>
      <c r="J42" s="5" t="s">
        <v>554</v>
      </c>
      <c r="K42" s="5" t="s">
        <v>556</v>
      </c>
      <c r="M42" s="5" t="s">
        <v>507</v>
      </c>
      <c r="Q42" s="5" t="s">
        <v>545</v>
      </c>
      <c r="U42" s="5" t="s">
        <v>552</v>
      </c>
      <c r="X42" s="5" t="s">
        <v>902</v>
      </c>
      <c r="Y42" s="5" t="s">
        <v>550</v>
      </c>
      <c r="Z42" s="5" t="s">
        <v>548</v>
      </c>
      <c r="AE42" s="5">
        <v>0</v>
      </c>
      <c r="AF42" s="5">
        <v>0</v>
      </c>
      <c r="AG42" s="5">
        <v>0</v>
      </c>
      <c r="AH42" s="5">
        <v>0</v>
      </c>
      <c r="AI42" s="5">
        <v>1</v>
      </c>
      <c r="AJ42" s="5">
        <v>1</v>
      </c>
      <c r="AK42" s="5">
        <v>1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5">
        <v>0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</row>
    <row r="43" spans="1:70" ht="11.25" customHeight="1">
      <c r="A43" s="5">
        <v>13</v>
      </c>
      <c r="B43" s="11">
        <v>7</v>
      </c>
      <c r="C43" s="6" t="s">
        <v>26</v>
      </c>
      <c r="D43" s="5" t="s">
        <v>512</v>
      </c>
      <c r="F43" s="5" t="s">
        <v>556</v>
      </c>
      <c r="M43" s="5" t="s">
        <v>511</v>
      </c>
      <c r="Q43" s="5" t="s">
        <v>544</v>
      </c>
      <c r="U43" s="5" t="s">
        <v>553</v>
      </c>
      <c r="AE43" s="5">
        <v>0</v>
      </c>
      <c r="AF43" s="5">
        <v>5</v>
      </c>
      <c r="AG43" s="5">
        <v>0</v>
      </c>
      <c r="AH43" s="5">
        <v>0</v>
      </c>
      <c r="AI43" s="5">
        <v>0</v>
      </c>
      <c r="AJ43" s="5">
        <v>2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</row>
    <row r="44" spans="1:70" ht="11.25" customHeight="1">
      <c r="C44" s="6" t="s">
        <v>19</v>
      </c>
      <c r="D44" s="5" t="s">
        <v>540</v>
      </c>
      <c r="U44" s="5" t="s">
        <v>547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1</v>
      </c>
      <c r="AZ44" s="5">
        <v>5</v>
      </c>
      <c r="BA44" s="5">
        <v>0</v>
      </c>
      <c r="BB44" s="5">
        <v>1</v>
      </c>
      <c r="BC44" s="5">
        <v>1</v>
      </c>
      <c r="BD44" s="5">
        <v>2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</row>
    <row r="45" spans="1:70" ht="11.25" customHeight="1">
      <c r="A45" s="5">
        <v>15</v>
      </c>
      <c r="B45" s="11">
        <v>2</v>
      </c>
      <c r="C45" s="6" t="s">
        <v>4</v>
      </c>
      <c r="D45" s="5" t="s">
        <v>499</v>
      </c>
      <c r="U45" s="5" t="s">
        <v>270</v>
      </c>
      <c r="AE45" s="5">
        <v>1</v>
      </c>
      <c r="AF45" s="5">
        <v>5</v>
      </c>
      <c r="AG45" s="5">
        <v>0</v>
      </c>
      <c r="AH45" s="5">
        <v>1</v>
      </c>
      <c r="AI45" s="5">
        <v>1</v>
      </c>
      <c r="AJ45" s="5">
        <v>2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0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</row>
    <row r="46" spans="1:70" ht="11.25" customHeight="1">
      <c r="C46" s="6" t="s">
        <v>20</v>
      </c>
      <c r="D46" s="5" t="s">
        <v>500</v>
      </c>
      <c r="M46" s="5" t="s">
        <v>557</v>
      </c>
      <c r="Q46" s="5" t="s">
        <v>545</v>
      </c>
      <c r="U46" s="5" t="s">
        <v>553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1</v>
      </c>
      <c r="AP46" s="5">
        <v>4</v>
      </c>
      <c r="AQ46" s="5">
        <v>0</v>
      </c>
      <c r="AR46" s="5">
        <v>0</v>
      </c>
      <c r="AS46" s="5">
        <v>0</v>
      </c>
      <c r="AT46" s="5">
        <v>2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">
        <v>0</v>
      </c>
    </row>
    <row r="47" spans="1:70" ht="11.25" customHeight="1">
      <c r="C47" s="6" t="s">
        <v>16</v>
      </c>
      <c r="D47" s="5" t="s">
        <v>496</v>
      </c>
      <c r="F47" s="5" t="s">
        <v>554</v>
      </c>
      <c r="AE47" s="5">
        <v>0</v>
      </c>
      <c r="AF47" s="5">
        <v>4</v>
      </c>
      <c r="AG47" s="5">
        <v>0</v>
      </c>
      <c r="AH47" s="5">
        <v>1</v>
      </c>
      <c r="AI47" s="5">
        <v>1</v>
      </c>
      <c r="AJ47" s="5">
        <v>2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5">
        <v>0</v>
      </c>
    </row>
    <row r="48" spans="1:70" ht="11.25" customHeight="1">
      <c r="C48" s="6" t="s">
        <v>30</v>
      </c>
      <c r="D48" s="5" t="s">
        <v>540</v>
      </c>
      <c r="F48" s="5" t="s">
        <v>551</v>
      </c>
      <c r="G48" s="5" t="s">
        <v>543</v>
      </c>
      <c r="M48" s="5" t="s">
        <v>549</v>
      </c>
      <c r="Q48" s="5" t="s">
        <v>546</v>
      </c>
      <c r="U48" s="5" t="s">
        <v>547</v>
      </c>
      <c r="X48" s="5" t="s">
        <v>550</v>
      </c>
      <c r="Y48" s="5" t="s">
        <v>548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4</v>
      </c>
      <c r="AQ48" s="5">
        <v>0</v>
      </c>
      <c r="AR48" s="5">
        <v>0</v>
      </c>
      <c r="AS48" s="5">
        <v>0</v>
      </c>
      <c r="AT48" s="5">
        <v>2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">
        <v>0</v>
      </c>
    </row>
    <row r="49" spans="1:70" ht="11.25" customHeight="1">
      <c r="A49" s="5">
        <v>16</v>
      </c>
      <c r="B49" s="11">
        <v>3</v>
      </c>
      <c r="C49" s="6" t="s">
        <v>4</v>
      </c>
      <c r="D49" s="5" t="s">
        <v>514</v>
      </c>
      <c r="M49" s="5" t="s">
        <v>557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1</v>
      </c>
      <c r="AP49" s="5">
        <v>5</v>
      </c>
      <c r="AQ49" s="5">
        <v>0</v>
      </c>
      <c r="AR49" s="5">
        <v>0</v>
      </c>
      <c r="AS49" s="5">
        <v>1</v>
      </c>
      <c r="AT49" s="5">
        <v>2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5">
        <v>0</v>
      </c>
    </row>
    <row r="50" spans="1:70" ht="11.25" customHeight="1">
      <c r="C50" s="6" t="s">
        <v>20</v>
      </c>
      <c r="D50" s="5" t="s">
        <v>511</v>
      </c>
      <c r="F50" s="5" t="s">
        <v>512</v>
      </c>
      <c r="G50" s="5" t="s">
        <v>542</v>
      </c>
      <c r="H50" s="5" t="s">
        <v>543</v>
      </c>
      <c r="I50" s="5" t="s">
        <v>554</v>
      </c>
      <c r="U50" s="5" t="s">
        <v>553</v>
      </c>
      <c r="X50" s="5" t="s">
        <v>550</v>
      </c>
      <c r="Y50" s="5" t="s">
        <v>817</v>
      </c>
      <c r="AE50" s="5">
        <v>0</v>
      </c>
      <c r="AF50" s="5">
        <v>1</v>
      </c>
      <c r="AG50" s="5">
        <v>0</v>
      </c>
      <c r="AH50" s="5">
        <v>1</v>
      </c>
      <c r="AI50" s="5">
        <v>1</v>
      </c>
      <c r="AJ50" s="5">
        <v>2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5">
        <v>0</v>
      </c>
    </row>
    <row r="51" spans="1:70" ht="11.25" customHeight="1">
      <c r="C51" s="6" t="s">
        <v>16</v>
      </c>
      <c r="D51" s="5" t="s">
        <v>500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1</v>
      </c>
      <c r="AP51" s="5">
        <v>4</v>
      </c>
      <c r="AQ51" s="5">
        <v>0</v>
      </c>
      <c r="AR51" s="5">
        <v>1</v>
      </c>
      <c r="AS51" s="5">
        <v>1</v>
      </c>
      <c r="AT51" s="5">
        <v>2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0</v>
      </c>
      <c r="BJ51" s="5">
        <v>0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5">
        <v>0</v>
      </c>
    </row>
    <row r="52" spans="1:70" ht="11.25" customHeight="1">
      <c r="C52" s="6" t="s">
        <v>384</v>
      </c>
      <c r="D52" s="5" t="s">
        <v>909</v>
      </c>
      <c r="G52" s="5" t="s">
        <v>547</v>
      </c>
      <c r="AE52" s="5">
        <v>0</v>
      </c>
      <c r="AF52" s="5">
        <v>1</v>
      </c>
      <c r="AG52" s="5">
        <v>0</v>
      </c>
      <c r="AH52" s="5">
        <v>0</v>
      </c>
      <c r="AI52" s="5">
        <v>1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5">
        <v>0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5">
        <v>0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5">
        <v>0</v>
      </c>
    </row>
    <row r="53" spans="1:70" ht="11.25" customHeight="1">
      <c r="A53" s="5">
        <v>17</v>
      </c>
      <c r="B53" s="11">
        <v>4</v>
      </c>
      <c r="C53" s="6" t="s">
        <v>4</v>
      </c>
      <c r="D53" s="5" t="s">
        <v>554</v>
      </c>
      <c r="M53" s="5" t="s">
        <v>549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1</v>
      </c>
      <c r="AZ53" s="5">
        <v>5</v>
      </c>
      <c r="BA53" s="5">
        <v>0</v>
      </c>
      <c r="BB53" s="5">
        <v>0</v>
      </c>
      <c r="BC53" s="5">
        <v>1</v>
      </c>
      <c r="BD53" s="5">
        <v>2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5">
        <v>0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5">
        <v>0</v>
      </c>
    </row>
    <row r="54" spans="1:70" ht="11.25" customHeight="1">
      <c r="C54" s="6" t="s">
        <v>20</v>
      </c>
      <c r="D54" s="5" t="s">
        <v>507</v>
      </c>
      <c r="U54" s="5" t="s">
        <v>553</v>
      </c>
      <c r="AE54" s="5">
        <v>1</v>
      </c>
      <c r="AF54" s="5">
        <v>4</v>
      </c>
      <c r="AG54" s="5">
        <v>0</v>
      </c>
      <c r="AH54" s="5">
        <v>1</v>
      </c>
      <c r="AI54" s="5">
        <v>1</v>
      </c>
      <c r="AJ54" s="5">
        <v>2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5">
        <v>0</v>
      </c>
      <c r="BR54" s="5">
        <v>0</v>
      </c>
    </row>
    <row r="55" spans="1:70" ht="11.25" customHeight="1">
      <c r="C55" s="6" t="s">
        <v>16</v>
      </c>
      <c r="D55" s="5" t="s">
        <v>511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1</v>
      </c>
      <c r="AZ55" s="5">
        <v>4</v>
      </c>
      <c r="BA55" s="5">
        <v>0</v>
      </c>
      <c r="BB55" s="5">
        <v>1</v>
      </c>
      <c r="BC55" s="5">
        <v>1</v>
      </c>
      <c r="BD55" s="5">
        <v>2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5">
        <v>0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5">
        <v>0</v>
      </c>
      <c r="BR55" s="5">
        <v>0</v>
      </c>
    </row>
    <row r="56" spans="1:70" ht="11.25" customHeight="1">
      <c r="C56" s="6" t="s">
        <v>25</v>
      </c>
      <c r="D56" s="5" t="s">
        <v>906</v>
      </c>
      <c r="U56" s="5" t="s">
        <v>270</v>
      </c>
      <c r="AE56" s="5">
        <v>1</v>
      </c>
      <c r="AF56" s="5">
        <v>4</v>
      </c>
      <c r="AG56" s="5">
        <v>0</v>
      </c>
      <c r="AH56" s="5">
        <v>1</v>
      </c>
      <c r="AI56" s="5">
        <v>1</v>
      </c>
      <c r="AJ56" s="5">
        <v>2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5">
        <v>0</v>
      </c>
      <c r="BR56" s="5">
        <v>0</v>
      </c>
    </row>
    <row r="57" spans="1:70" ht="11.25" customHeight="1">
      <c r="C57" s="6" t="s">
        <v>177</v>
      </c>
      <c r="D57" s="5" t="s">
        <v>497</v>
      </c>
      <c r="F57" s="5" t="s">
        <v>551</v>
      </c>
      <c r="G57" s="5" t="s">
        <v>512</v>
      </c>
      <c r="H57" s="5" t="s">
        <v>513</v>
      </c>
      <c r="I57" s="5" t="s">
        <v>541</v>
      </c>
      <c r="J57" s="5" t="s">
        <v>542</v>
      </c>
      <c r="K57" s="5" t="s">
        <v>543</v>
      </c>
      <c r="M57" s="5" t="s">
        <v>557</v>
      </c>
      <c r="Q57" s="5" t="s">
        <v>545</v>
      </c>
      <c r="S57" s="5" t="s">
        <v>546</v>
      </c>
      <c r="U57" s="5" t="s">
        <v>540</v>
      </c>
      <c r="X57" s="5" t="s">
        <v>509</v>
      </c>
      <c r="Y57" s="5" t="s">
        <v>544</v>
      </c>
      <c r="Z57" s="5" t="s">
        <v>550</v>
      </c>
      <c r="AA57" s="5" t="s">
        <v>552</v>
      </c>
      <c r="AB57" s="5" t="s">
        <v>548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2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0</v>
      </c>
      <c r="BM57" s="5">
        <v>0</v>
      </c>
      <c r="BN57" s="5">
        <v>0</v>
      </c>
      <c r="BO57" s="5">
        <v>0</v>
      </c>
      <c r="BP57" s="5">
        <v>0</v>
      </c>
      <c r="BQ57" s="5">
        <v>0</v>
      </c>
      <c r="BR57" s="5">
        <v>0</v>
      </c>
    </row>
    <row r="58" spans="1:70" ht="11.25" customHeight="1">
      <c r="A58" s="5">
        <v>18</v>
      </c>
      <c r="B58" s="11">
        <v>5</v>
      </c>
      <c r="C58" s="6" t="s">
        <v>4</v>
      </c>
      <c r="D58" s="5" t="s">
        <v>504</v>
      </c>
      <c r="AE58" s="5">
        <v>1</v>
      </c>
      <c r="AF58" s="5">
        <v>5</v>
      </c>
      <c r="AG58" s="5">
        <v>0</v>
      </c>
      <c r="AH58" s="5">
        <v>1</v>
      </c>
      <c r="AI58" s="5">
        <v>1</v>
      </c>
      <c r="AJ58" s="5">
        <v>2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5">
        <v>0</v>
      </c>
      <c r="BR58" s="5">
        <v>0</v>
      </c>
    </row>
    <row r="59" spans="1:70" ht="11.25" customHeight="1">
      <c r="C59" s="6" t="s">
        <v>20</v>
      </c>
      <c r="D59" s="5" t="s">
        <v>554</v>
      </c>
      <c r="M59" s="5" t="s">
        <v>557</v>
      </c>
      <c r="U59" s="5" t="s">
        <v>552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1</v>
      </c>
      <c r="AZ59" s="5">
        <v>4</v>
      </c>
      <c r="BA59" s="5">
        <v>0</v>
      </c>
      <c r="BB59" s="5">
        <v>0</v>
      </c>
      <c r="BC59" s="5">
        <v>1</v>
      </c>
      <c r="BD59" s="5">
        <v>2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5">
        <v>0</v>
      </c>
      <c r="BR59" s="5">
        <v>0</v>
      </c>
    </row>
    <row r="60" spans="1:70" ht="11.25" customHeight="1">
      <c r="C60" s="6" t="s">
        <v>16</v>
      </c>
      <c r="D60" s="5" t="s">
        <v>501</v>
      </c>
      <c r="M60" s="5" t="s">
        <v>514</v>
      </c>
      <c r="X60" s="5" t="s">
        <v>817</v>
      </c>
      <c r="AE60" s="5">
        <v>1</v>
      </c>
      <c r="AF60" s="5">
        <v>4</v>
      </c>
      <c r="AG60" s="5">
        <v>0</v>
      </c>
      <c r="AH60" s="5">
        <v>0</v>
      </c>
      <c r="AI60" s="5">
        <v>1</v>
      </c>
      <c r="AJ60" s="5">
        <v>2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5">
        <v>0</v>
      </c>
    </row>
    <row r="61" spans="1:70" ht="11.25" customHeight="1">
      <c r="C61" s="6" t="s">
        <v>152</v>
      </c>
      <c r="D61" s="5" t="s">
        <v>507</v>
      </c>
      <c r="F61" s="5" t="s">
        <v>506</v>
      </c>
      <c r="G61" s="5" t="s">
        <v>541</v>
      </c>
      <c r="H61" s="5" t="s">
        <v>542</v>
      </c>
      <c r="M61" s="5" t="s">
        <v>511</v>
      </c>
      <c r="Q61" s="5" t="s">
        <v>546</v>
      </c>
      <c r="S61" s="5" t="s">
        <v>509</v>
      </c>
      <c r="U61" s="5" t="s">
        <v>553</v>
      </c>
      <c r="X61" s="5" t="s">
        <v>548</v>
      </c>
      <c r="AE61" s="5">
        <v>0</v>
      </c>
      <c r="AF61" s="5">
        <v>3</v>
      </c>
      <c r="AG61" s="5">
        <v>0</v>
      </c>
      <c r="AH61" s="5">
        <v>0</v>
      </c>
      <c r="AI61" s="5">
        <v>0</v>
      </c>
      <c r="AJ61" s="5">
        <v>1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5">
        <v>0</v>
      </c>
    </row>
    <row r="62" spans="1:70" ht="11.25" customHeight="1">
      <c r="C62" s="6" t="s">
        <v>251</v>
      </c>
      <c r="D62" s="5" t="s">
        <v>513</v>
      </c>
      <c r="X62" s="5" t="s">
        <v>543</v>
      </c>
      <c r="Y62" s="5" t="s">
        <v>550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2</v>
      </c>
      <c r="BA62" s="5">
        <v>0</v>
      </c>
      <c r="BB62" s="5">
        <v>1</v>
      </c>
      <c r="BC62" s="5">
        <v>1</v>
      </c>
      <c r="BD62" s="5">
        <v>1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5">
        <v>0</v>
      </c>
    </row>
    <row r="63" spans="1:70" ht="11.25" customHeight="1">
      <c r="A63" s="5">
        <v>19</v>
      </c>
      <c r="B63" s="11">
        <v>6</v>
      </c>
      <c r="C63" s="6" t="s">
        <v>4</v>
      </c>
      <c r="D63" s="5" t="s">
        <v>551</v>
      </c>
      <c r="U63" s="5" t="s">
        <v>552</v>
      </c>
      <c r="AE63" s="5">
        <v>1</v>
      </c>
      <c r="AF63" s="5">
        <v>5</v>
      </c>
      <c r="AG63" s="5">
        <v>0</v>
      </c>
      <c r="AH63" s="5">
        <v>1</v>
      </c>
      <c r="AI63" s="5">
        <v>1</v>
      </c>
      <c r="AJ63" s="5">
        <v>2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5">
        <v>0</v>
      </c>
    </row>
    <row r="64" spans="1:70" ht="11.25" customHeight="1">
      <c r="C64" s="6" t="s">
        <v>20</v>
      </c>
      <c r="D64" s="5" t="s">
        <v>903</v>
      </c>
      <c r="U64" s="5" t="s">
        <v>540</v>
      </c>
      <c r="X64" s="5" t="s">
        <v>902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1</v>
      </c>
      <c r="AP64" s="5">
        <v>4</v>
      </c>
      <c r="AQ64" s="5">
        <v>0</v>
      </c>
      <c r="AR64" s="5">
        <v>1</v>
      </c>
      <c r="AS64" s="5">
        <v>1</v>
      </c>
      <c r="AT64" s="5">
        <v>2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  <c r="BC64" s="5">
        <v>0</v>
      </c>
      <c r="BD64" s="5">
        <v>0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5">
        <v>0</v>
      </c>
    </row>
    <row r="65" spans="1:70" ht="11.25" customHeight="1">
      <c r="C65" s="6" t="s">
        <v>16</v>
      </c>
      <c r="D65" s="5" t="s">
        <v>514</v>
      </c>
      <c r="AE65" s="5">
        <v>1</v>
      </c>
      <c r="AF65" s="5">
        <v>4</v>
      </c>
      <c r="AG65" s="5">
        <v>0</v>
      </c>
      <c r="AH65" s="5">
        <v>1</v>
      </c>
      <c r="AI65" s="5">
        <v>1</v>
      </c>
      <c r="AJ65" s="5">
        <v>2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5">
        <v>0</v>
      </c>
    </row>
    <row r="66" spans="1:70" ht="11.25" customHeight="1">
      <c r="A66" s="5">
        <v>20</v>
      </c>
      <c r="B66" s="11">
        <v>7</v>
      </c>
      <c r="C66" s="6" t="s">
        <v>26</v>
      </c>
      <c r="D66" s="5" t="s">
        <v>506</v>
      </c>
      <c r="F66" s="5" t="s">
        <v>551</v>
      </c>
      <c r="G66" s="5" t="s">
        <v>541</v>
      </c>
      <c r="U66" s="5" t="s">
        <v>553</v>
      </c>
      <c r="X66" s="5" t="s">
        <v>552</v>
      </c>
      <c r="AE66" s="5">
        <v>0</v>
      </c>
      <c r="AF66" s="5">
        <v>4</v>
      </c>
      <c r="AG66" s="5">
        <v>0</v>
      </c>
      <c r="AH66" s="5">
        <v>1</v>
      </c>
      <c r="AI66" s="5">
        <v>1</v>
      </c>
      <c r="AJ66" s="5">
        <v>2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0</v>
      </c>
      <c r="BA66" s="5">
        <v>0</v>
      </c>
      <c r="BB66" s="5">
        <v>0</v>
      </c>
      <c r="BC66" s="5">
        <v>0</v>
      </c>
      <c r="BD66" s="5">
        <v>0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5">
        <v>0</v>
      </c>
    </row>
    <row r="67" spans="1:70" ht="11.25" customHeight="1">
      <c r="A67" s="5">
        <v>22</v>
      </c>
      <c r="B67" s="11">
        <v>2</v>
      </c>
      <c r="C67" s="6" t="s">
        <v>4</v>
      </c>
      <c r="D67" s="5" t="s">
        <v>512</v>
      </c>
      <c r="U67" s="5" t="s">
        <v>540</v>
      </c>
      <c r="AE67" s="5">
        <v>1</v>
      </c>
      <c r="AF67" s="5">
        <v>5</v>
      </c>
      <c r="AG67" s="5">
        <v>0</v>
      </c>
      <c r="AH67" s="5">
        <v>1</v>
      </c>
      <c r="AI67" s="5">
        <v>1</v>
      </c>
      <c r="AJ67" s="5">
        <v>2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5">
        <v>0</v>
      </c>
      <c r="BR67" s="5">
        <v>0</v>
      </c>
    </row>
    <row r="68" spans="1:70" ht="11.25" customHeight="1">
      <c r="C68" s="6" t="s">
        <v>20</v>
      </c>
      <c r="D68" s="5" t="s">
        <v>500</v>
      </c>
      <c r="U68" s="5" t="s">
        <v>507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0</v>
      </c>
      <c r="AO68" s="5">
        <v>1</v>
      </c>
      <c r="AP68" s="5">
        <v>4</v>
      </c>
      <c r="AQ68" s="5">
        <v>0</v>
      </c>
      <c r="AR68" s="5">
        <v>1</v>
      </c>
      <c r="AS68" s="5">
        <v>1</v>
      </c>
      <c r="AT68" s="5">
        <v>2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  <c r="BA68" s="5">
        <v>0</v>
      </c>
      <c r="BB68" s="5">
        <v>0</v>
      </c>
      <c r="BC68" s="5">
        <v>0</v>
      </c>
      <c r="BD68" s="5">
        <v>0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5">
        <v>0</v>
      </c>
      <c r="BR68" s="5">
        <v>0</v>
      </c>
    </row>
    <row r="69" spans="1:70" ht="11.25" customHeight="1">
      <c r="C69" s="6" t="s">
        <v>16</v>
      </c>
      <c r="D69" s="5" t="s">
        <v>496</v>
      </c>
      <c r="F69" s="5" t="s">
        <v>554</v>
      </c>
      <c r="AE69" s="5">
        <v>0</v>
      </c>
      <c r="AF69" s="5">
        <v>4</v>
      </c>
      <c r="AG69" s="5">
        <v>0</v>
      </c>
      <c r="AH69" s="5">
        <v>1</v>
      </c>
      <c r="AI69" s="5">
        <v>1</v>
      </c>
      <c r="AJ69" s="5">
        <v>2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v>0</v>
      </c>
      <c r="AY69" s="5">
        <v>0</v>
      </c>
      <c r="AZ69" s="5">
        <v>0</v>
      </c>
      <c r="BA69" s="5">
        <v>0</v>
      </c>
      <c r="BB69" s="5">
        <v>0</v>
      </c>
      <c r="BC69" s="5">
        <v>0</v>
      </c>
      <c r="BD69" s="5">
        <v>0</v>
      </c>
      <c r="BE69" s="5">
        <v>0</v>
      </c>
      <c r="BF69" s="5">
        <v>0</v>
      </c>
      <c r="BG69" s="5">
        <v>0</v>
      </c>
      <c r="BH69" s="5">
        <v>0</v>
      </c>
      <c r="BI69" s="5">
        <v>0</v>
      </c>
      <c r="BJ69" s="5">
        <v>0</v>
      </c>
      <c r="BK69" s="5">
        <v>0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5">
        <v>0</v>
      </c>
      <c r="BR69" s="5">
        <v>0</v>
      </c>
    </row>
    <row r="70" spans="1:70" ht="11.25" customHeight="1">
      <c r="C70" s="6" t="s">
        <v>203</v>
      </c>
      <c r="D70" s="5" t="s">
        <v>501</v>
      </c>
      <c r="M70" s="5" t="s">
        <v>511</v>
      </c>
      <c r="U70" s="5" t="s">
        <v>553</v>
      </c>
      <c r="AE70" s="5">
        <v>1</v>
      </c>
      <c r="AF70" s="5">
        <v>3</v>
      </c>
      <c r="AG70" s="5">
        <v>0</v>
      </c>
      <c r="AH70" s="5">
        <v>0</v>
      </c>
      <c r="AI70" s="5">
        <v>1</v>
      </c>
      <c r="AJ70" s="5">
        <v>3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0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 s="5">
        <v>0</v>
      </c>
      <c r="AY70" s="5">
        <v>0</v>
      </c>
      <c r="AZ70" s="5">
        <v>0</v>
      </c>
      <c r="BA70" s="5">
        <v>0</v>
      </c>
      <c r="BB70" s="5">
        <v>0</v>
      </c>
      <c r="BC70" s="5">
        <v>0</v>
      </c>
      <c r="BD70" s="5">
        <v>0</v>
      </c>
      <c r="BE70" s="5">
        <v>0</v>
      </c>
      <c r="BF70" s="5">
        <v>0</v>
      </c>
      <c r="BG70" s="5">
        <v>0</v>
      </c>
      <c r="BH70" s="5">
        <v>0</v>
      </c>
      <c r="BI70" s="5">
        <v>0</v>
      </c>
      <c r="BJ70" s="5">
        <v>0</v>
      </c>
      <c r="BK70" s="5">
        <v>0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5">
        <v>0</v>
      </c>
      <c r="BR70" s="5">
        <v>0</v>
      </c>
    </row>
    <row r="71" spans="1:70" ht="11.25" customHeight="1">
      <c r="C71" s="6" t="s">
        <v>167</v>
      </c>
      <c r="D71" s="5" t="s">
        <v>509</v>
      </c>
      <c r="F71" s="5" t="s">
        <v>551</v>
      </c>
      <c r="G71" s="5" t="s">
        <v>513</v>
      </c>
      <c r="H71" s="5" t="s">
        <v>541</v>
      </c>
      <c r="I71" s="5" t="s">
        <v>542</v>
      </c>
      <c r="M71" s="5" t="s">
        <v>549</v>
      </c>
      <c r="N71" s="5" t="s">
        <v>557</v>
      </c>
      <c r="Q71" s="5" t="s">
        <v>545</v>
      </c>
      <c r="R71" s="5" t="s">
        <v>544</v>
      </c>
      <c r="S71" s="5" t="s">
        <v>546</v>
      </c>
      <c r="U71" s="5" t="s">
        <v>270</v>
      </c>
      <c r="X71" s="5" t="s">
        <v>902</v>
      </c>
      <c r="Y71" s="5" t="s">
        <v>550</v>
      </c>
      <c r="Z71" s="5" t="s">
        <v>552</v>
      </c>
      <c r="AE71" s="5">
        <v>0</v>
      </c>
      <c r="AF71" s="5">
        <v>3</v>
      </c>
      <c r="AG71" s="5">
        <v>0</v>
      </c>
      <c r="AH71" s="5">
        <v>0</v>
      </c>
      <c r="AI71" s="5">
        <v>0</v>
      </c>
      <c r="AJ71" s="5">
        <v>2</v>
      </c>
      <c r="AK71" s="5">
        <v>1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0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 s="5">
        <v>0</v>
      </c>
      <c r="AY71" s="5">
        <v>0</v>
      </c>
      <c r="AZ71" s="5">
        <v>0</v>
      </c>
      <c r="BA71" s="5">
        <v>0</v>
      </c>
      <c r="BB71" s="5">
        <v>0</v>
      </c>
      <c r="BC71" s="5">
        <v>0</v>
      </c>
      <c r="BD71" s="5">
        <v>0</v>
      </c>
      <c r="BE71" s="5">
        <v>0</v>
      </c>
      <c r="BF71" s="5">
        <v>0</v>
      </c>
      <c r="BG71" s="5">
        <v>0</v>
      </c>
      <c r="BH71" s="5">
        <v>0</v>
      </c>
      <c r="BI71" s="5">
        <v>0</v>
      </c>
      <c r="BJ71" s="5">
        <v>0</v>
      </c>
      <c r="BK71" s="5">
        <v>0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5">
        <v>0</v>
      </c>
      <c r="BR71" s="5">
        <v>0</v>
      </c>
    </row>
    <row r="72" spans="1:70" ht="11.25" customHeight="1">
      <c r="A72" s="5">
        <v>23</v>
      </c>
      <c r="B72" s="11">
        <v>3</v>
      </c>
      <c r="C72" s="6" t="s">
        <v>4</v>
      </c>
      <c r="D72" s="5" t="s">
        <v>554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1</v>
      </c>
      <c r="AP72" s="5">
        <v>5</v>
      </c>
      <c r="AQ72" s="5">
        <v>0</v>
      </c>
      <c r="AR72" s="5">
        <v>1</v>
      </c>
      <c r="AS72" s="5">
        <v>1</v>
      </c>
      <c r="AT72" s="5">
        <v>2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>
        <v>0</v>
      </c>
      <c r="BK72" s="5">
        <v>0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5">
        <v>0</v>
      </c>
      <c r="BR72" s="5">
        <v>0</v>
      </c>
    </row>
    <row r="73" spans="1:70" ht="11.25" customHeight="1">
      <c r="C73" s="6" t="s">
        <v>20</v>
      </c>
      <c r="D73" s="5" t="s">
        <v>500</v>
      </c>
      <c r="M73" s="5" t="s">
        <v>511</v>
      </c>
      <c r="U73" s="5" t="s">
        <v>540</v>
      </c>
      <c r="AE73" s="5">
        <v>1</v>
      </c>
      <c r="AF73" s="5">
        <v>4</v>
      </c>
      <c r="AG73" s="5">
        <v>0</v>
      </c>
      <c r="AH73" s="5">
        <v>0</v>
      </c>
      <c r="AI73" s="5">
        <v>1</v>
      </c>
      <c r="AJ73" s="5">
        <v>2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5">
        <v>0</v>
      </c>
      <c r="BR73" s="5">
        <v>0</v>
      </c>
    </row>
    <row r="74" spans="1:70" ht="11.25" customHeight="1">
      <c r="C74" s="6" t="s">
        <v>16</v>
      </c>
      <c r="D74" s="5" t="s">
        <v>514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1</v>
      </c>
      <c r="AP74" s="5">
        <v>4</v>
      </c>
      <c r="AQ74" s="5">
        <v>0</v>
      </c>
      <c r="AR74" s="5">
        <v>1</v>
      </c>
      <c r="AS74" s="5">
        <v>1</v>
      </c>
      <c r="AT74" s="5">
        <v>2</v>
      </c>
      <c r="AU74" s="5">
        <v>0</v>
      </c>
      <c r="AV74" s="5">
        <v>0</v>
      </c>
      <c r="AW74" s="5">
        <v>0</v>
      </c>
      <c r="AX74" s="5">
        <v>0</v>
      </c>
      <c r="AY74" s="5">
        <v>0</v>
      </c>
      <c r="AZ74" s="5">
        <v>0</v>
      </c>
      <c r="BA74" s="5">
        <v>0</v>
      </c>
      <c r="BB74" s="5">
        <v>0</v>
      </c>
      <c r="BC74" s="5">
        <v>0</v>
      </c>
      <c r="BD74" s="5">
        <v>0</v>
      </c>
      <c r="BE74" s="5">
        <v>0</v>
      </c>
      <c r="BF74" s="5">
        <v>0</v>
      </c>
      <c r="BG74" s="5">
        <v>0</v>
      </c>
      <c r="BH74" s="5">
        <v>0</v>
      </c>
      <c r="BI74" s="5">
        <v>0</v>
      </c>
      <c r="BJ74" s="5">
        <v>0</v>
      </c>
      <c r="BK74" s="5">
        <v>0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5">
        <v>0</v>
      </c>
      <c r="BR74" s="5">
        <v>0</v>
      </c>
    </row>
    <row r="75" spans="1:70" ht="11.25" customHeight="1">
      <c r="C75" s="6" t="s">
        <v>27</v>
      </c>
      <c r="D75" s="5" t="s">
        <v>545</v>
      </c>
      <c r="F75" s="5" t="s">
        <v>512</v>
      </c>
      <c r="G75" s="5" t="s">
        <v>542</v>
      </c>
      <c r="H75" s="5" t="s">
        <v>543</v>
      </c>
      <c r="I75" s="5" t="s">
        <v>556</v>
      </c>
      <c r="M75" s="5" t="s">
        <v>507</v>
      </c>
      <c r="Q75" s="5" t="s">
        <v>547</v>
      </c>
      <c r="U75" s="5" t="s">
        <v>270</v>
      </c>
      <c r="X75" s="5" t="s">
        <v>550</v>
      </c>
      <c r="Y75" s="5" t="s">
        <v>548</v>
      </c>
      <c r="AE75" s="5">
        <v>0</v>
      </c>
      <c r="AF75" s="5">
        <v>2</v>
      </c>
      <c r="AG75" s="5">
        <v>0</v>
      </c>
      <c r="AH75" s="5">
        <v>0</v>
      </c>
      <c r="AI75" s="5">
        <v>0</v>
      </c>
      <c r="AJ75" s="5">
        <v>2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0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 s="5">
        <v>0</v>
      </c>
      <c r="AY75" s="5">
        <v>0</v>
      </c>
      <c r="AZ75" s="5">
        <v>0</v>
      </c>
      <c r="BA75" s="5">
        <v>0</v>
      </c>
      <c r="BB75" s="5">
        <v>0</v>
      </c>
      <c r="BC75" s="5">
        <v>0</v>
      </c>
      <c r="BD75" s="5">
        <v>0</v>
      </c>
      <c r="BE75" s="5">
        <v>0</v>
      </c>
      <c r="BF75" s="5">
        <v>0</v>
      </c>
      <c r="BG75" s="5">
        <v>0</v>
      </c>
      <c r="BH75" s="5">
        <v>0</v>
      </c>
      <c r="BI75" s="5">
        <v>0</v>
      </c>
      <c r="BJ75" s="5">
        <v>0</v>
      </c>
      <c r="BK75" s="5">
        <v>0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5">
        <v>0</v>
      </c>
      <c r="BR75" s="5">
        <v>0</v>
      </c>
    </row>
    <row r="76" spans="1:70" ht="11.25" customHeight="1">
      <c r="A76" s="5">
        <v>24</v>
      </c>
      <c r="B76" s="11">
        <v>4</v>
      </c>
      <c r="C76" s="6" t="s">
        <v>4</v>
      </c>
      <c r="D76" s="5" t="s">
        <v>905</v>
      </c>
      <c r="X76" s="5" t="s">
        <v>514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0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 s="5">
        <v>0</v>
      </c>
      <c r="AY76" s="5">
        <v>1</v>
      </c>
      <c r="AZ76" s="5">
        <v>5</v>
      </c>
      <c r="BA76" s="5">
        <v>0</v>
      </c>
      <c r="BB76" s="5">
        <v>1</v>
      </c>
      <c r="BC76" s="5">
        <v>1</v>
      </c>
      <c r="BD76" s="5">
        <v>2</v>
      </c>
      <c r="BE76" s="5">
        <v>0</v>
      </c>
      <c r="BF76" s="5">
        <v>0</v>
      </c>
      <c r="BG76" s="5">
        <v>0</v>
      </c>
      <c r="BH76" s="5">
        <v>0</v>
      </c>
      <c r="BI76" s="5">
        <v>0</v>
      </c>
      <c r="BJ76" s="5">
        <v>0</v>
      </c>
      <c r="BK76" s="5">
        <v>0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5">
        <v>0</v>
      </c>
      <c r="BR76" s="5">
        <v>0</v>
      </c>
    </row>
    <row r="77" spans="1:70" ht="11.25" customHeight="1">
      <c r="C77" s="6" t="s">
        <v>20</v>
      </c>
      <c r="D77" s="5" t="s">
        <v>554</v>
      </c>
      <c r="U77" s="5" t="s">
        <v>540</v>
      </c>
      <c r="AE77" s="5">
        <v>1</v>
      </c>
      <c r="AF77" s="5">
        <v>4</v>
      </c>
      <c r="AG77" s="5">
        <v>0</v>
      </c>
      <c r="AH77" s="5">
        <v>1</v>
      </c>
      <c r="AI77" s="5">
        <v>1</v>
      </c>
      <c r="AJ77" s="5">
        <v>2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0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 s="5">
        <v>0</v>
      </c>
      <c r="AY77" s="5">
        <v>0</v>
      </c>
      <c r="AZ77" s="5">
        <v>0</v>
      </c>
      <c r="BA77" s="5">
        <v>0</v>
      </c>
      <c r="BB77" s="5">
        <v>0</v>
      </c>
      <c r="BC77" s="5">
        <v>0</v>
      </c>
      <c r="BD77" s="5">
        <v>0</v>
      </c>
      <c r="BE77" s="5">
        <v>0</v>
      </c>
      <c r="BF77" s="5">
        <v>0</v>
      </c>
      <c r="BG77" s="5">
        <v>0</v>
      </c>
      <c r="BH77" s="5">
        <v>0</v>
      </c>
      <c r="BI77" s="5">
        <v>0</v>
      </c>
      <c r="BJ77" s="5">
        <v>0</v>
      </c>
      <c r="BK77" s="5">
        <v>0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5">
        <v>0</v>
      </c>
      <c r="BR77" s="5">
        <v>0</v>
      </c>
    </row>
    <row r="78" spans="1:70" ht="11.25" customHeight="1">
      <c r="C78" s="6" t="s">
        <v>16</v>
      </c>
      <c r="D78" s="5" t="s">
        <v>500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0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 s="5">
        <v>0</v>
      </c>
      <c r="AY78" s="5">
        <v>1</v>
      </c>
      <c r="AZ78" s="5">
        <v>4</v>
      </c>
      <c r="BA78" s="5">
        <v>0</v>
      </c>
      <c r="BB78" s="5">
        <v>1</v>
      </c>
      <c r="BC78" s="5">
        <v>1</v>
      </c>
      <c r="BD78" s="5">
        <v>2</v>
      </c>
      <c r="BE78" s="5">
        <v>0</v>
      </c>
      <c r="BF78" s="5">
        <v>0</v>
      </c>
      <c r="BG78" s="5">
        <v>0</v>
      </c>
      <c r="BH78" s="5">
        <v>0</v>
      </c>
      <c r="BI78" s="5">
        <v>0</v>
      </c>
      <c r="BJ78" s="5">
        <v>0</v>
      </c>
      <c r="BK78" s="5">
        <v>0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5">
        <v>0</v>
      </c>
      <c r="BR78" s="5">
        <v>0</v>
      </c>
    </row>
    <row r="79" spans="1:70" ht="11.25" customHeight="1">
      <c r="A79" s="5">
        <v>25</v>
      </c>
      <c r="B79" s="11">
        <v>5</v>
      </c>
      <c r="C79" s="6" t="s">
        <v>4</v>
      </c>
      <c r="D79" s="5" t="s">
        <v>507</v>
      </c>
      <c r="AE79" s="5">
        <v>1</v>
      </c>
      <c r="AF79" s="5">
        <v>5</v>
      </c>
      <c r="AG79" s="5">
        <v>0</v>
      </c>
      <c r="AH79" s="5">
        <v>1</v>
      </c>
      <c r="AI79" s="5">
        <v>1</v>
      </c>
      <c r="AJ79" s="5">
        <v>2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0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 s="5">
        <v>0</v>
      </c>
      <c r="AY79" s="5">
        <v>0</v>
      </c>
      <c r="AZ79" s="5">
        <v>0</v>
      </c>
      <c r="BA79" s="5">
        <v>0</v>
      </c>
      <c r="BB79" s="5">
        <v>0</v>
      </c>
      <c r="BC79" s="5">
        <v>0</v>
      </c>
      <c r="BD79" s="5">
        <v>0</v>
      </c>
      <c r="BE79" s="5">
        <v>0</v>
      </c>
      <c r="BF79" s="5">
        <v>0</v>
      </c>
      <c r="BG79" s="5">
        <v>0</v>
      </c>
      <c r="BH79" s="5">
        <v>0</v>
      </c>
      <c r="BI79" s="5">
        <v>0</v>
      </c>
      <c r="BJ79" s="5">
        <v>0</v>
      </c>
      <c r="BK79" s="5">
        <v>0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5">
        <v>0</v>
      </c>
      <c r="BR79" s="5">
        <v>0</v>
      </c>
    </row>
    <row r="80" spans="1:70" ht="11.25" customHeight="1">
      <c r="C80" s="6" t="s">
        <v>20</v>
      </c>
      <c r="D80" s="5" t="s">
        <v>505</v>
      </c>
      <c r="U80" s="5" t="s">
        <v>540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0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 s="5">
        <v>0</v>
      </c>
      <c r="AY80" s="5">
        <v>1</v>
      </c>
      <c r="AZ80" s="5">
        <v>4</v>
      </c>
      <c r="BA80" s="5">
        <v>0</v>
      </c>
      <c r="BB80" s="5">
        <v>1</v>
      </c>
      <c r="BC80" s="5">
        <v>1</v>
      </c>
      <c r="BD80" s="5">
        <v>2</v>
      </c>
      <c r="BE80" s="5">
        <v>0</v>
      </c>
      <c r="BF80" s="5">
        <v>0</v>
      </c>
      <c r="BG80" s="5">
        <v>0</v>
      </c>
      <c r="BH80" s="5">
        <v>0</v>
      </c>
      <c r="BI80" s="5">
        <v>0</v>
      </c>
      <c r="BJ80" s="5">
        <v>0</v>
      </c>
      <c r="BK80" s="5">
        <v>0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5">
        <v>0</v>
      </c>
      <c r="BR80" s="5">
        <v>0</v>
      </c>
    </row>
    <row r="81" spans="1:70" ht="11.25" customHeight="1">
      <c r="C81" s="6" t="s">
        <v>16</v>
      </c>
      <c r="D81" s="5" t="s">
        <v>506</v>
      </c>
      <c r="F81" s="5" t="s">
        <v>554</v>
      </c>
      <c r="M81" s="5" t="s">
        <v>514</v>
      </c>
      <c r="AE81" s="5">
        <v>0</v>
      </c>
      <c r="AF81" s="5">
        <v>4</v>
      </c>
      <c r="AG81" s="5">
        <v>0</v>
      </c>
      <c r="AH81" s="5">
        <v>0</v>
      </c>
      <c r="AI81" s="5">
        <v>1</v>
      </c>
      <c r="AJ81" s="5">
        <v>2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>
        <v>0</v>
      </c>
      <c r="BK81" s="5">
        <v>0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5">
        <v>0</v>
      </c>
      <c r="BR81" s="5">
        <v>0</v>
      </c>
    </row>
    <row r="82" spans="1:70" ht="11.25" customHeight="1">
      <c r="C82" s="6" t="s">
        <v>251</v>
      </c>
      <c r="D82" s="5" t="s">
        <v>497</v>
      </c>
      <c r="AE82" s="5">
        <v>0</v>
      </c>
      <c r="AF82" s="5">
        <v>2</v>
      </c>
      <c r="AG82" s="5">
        <v>0</v>
      </c>
      <c r="AH82" s="5">
        <v>1</v>
      </c>
      <c r="AI82" s="5">
        <v>1</v>
      </c>
      <c r="AJ82" s="5">
        <v>1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>
        <v>0</v>
      </c>
      <c r="BK82" s="5">
        <v>0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5">
        <v>0</v>
      </c>
      <c r="BR82" s="5">
        <v>0</v>
      </c>
    </row>
    <row r="83" spans="1:70" ht="11.25" customHeight="1">
      <c r="C83" s="6" t="s">
        <v>232</v>
      </c>
      <c r="D83" s="5" t="s">
        <v>544</v>
      </c>
      <c r="G83" s="5" t="s">
        <v>542</v>
      </c>
      <c r="H83" s="5" t="s">
        <v>550</v>
      </c>
      <c r="U83" s="5" t="s">
        <v>552</v>
      </c>
      <c r="X83" s="5" t="s">
        <v>551</v>
      </c>
      <c r="Y83" s="5" t="s">
        <v>902</v>
      </c>
      <c r="Z83" s="5" t="s">
        <v>513</v>
      </c>
      <c r="AA83" s="5" t="s">
        <v>543</v>
      </c>
      <c r="AB83" s="5" t="s">
        <v>557</v>
      </c>
      <c r="AC83" s="5" t="s">
        <v>546</v>
      </c>
      <c r="AD83" s="5" t="s">
        <v>548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0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 s="5">
        <v>0</v>
      </c>
      <c r="AY83" s="5">
        <v>0</v>
      </c>
      <c r="AZ83" s="5">
        <v>0</v>
      </c>
      <c r="BA83" s="5">
        <v>0</v>
      </c>
      <c r="BB83" s="5">
        <v>0</v>
      </c>
      <c r="BC83" s="5">
        <v>0</v>
      </c>
      <c r="BD83" s="5">
        <v>0</v>
      </c>
      <c r="BE83" s="5">
        <v>0</v>
      </c>
      <c r="BF83" s="5">
        <v>0</v>
      </c>
      <c r="BG83" s="5">
        <v>0</v>
      </c>
      <c r="BH83" s="5">
        <v>0</v>
      </c>
      <c r="BI83" s="5">
        <v>0</v>
      </c>
      <c r="BJ83" s="5">
        <v>0</v>
      </c>
      <c r="BK83" s="5">
        <v>0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5">
        <v>0</v>
      </c>
      <c r="BR83" s="5">
        <v>0</v>
      </c>
    </row>
    <row r="84" spans="1:70" ht="11.25" customHeight="1">
      <c r="A84" s="5">
        <v>26</v>
      </c>
      <c r="B84" s="11">
        <v>6</v>
      </c>
      <c r="C84" s="6" t="s">
        <v>4</v>
      </c>
      <c r="D84" s="5" t="s">
        <v>904</v>
      </c>
      <c r="U84" s="5" t="s">
        <v>553</v>
      </c>
      <c r="X84" s="5" t="s">
        <v>509</v>
      </c>
      <c r="AE84" s="5">
        <v>1</v>
      </c>
      <c r="AF84" s="5">
        <v>5</v>
      </c>
      <c r="AG84" s="5">
        <v>0</v>
      </c>
      <c r="AH84" s="5">
        <v>1</v>
      </c>
      <c r="AI84" s="5">
        <v>1</v>
      </c>
      <c r="AJ84" s="5">
        <v>2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0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 s="5">
        <v>0</v>
      </c>
      <c r="AY84" s="5">
        <v>0</v>
      </c>
      <c r="AZ84" s="5">
        <v>0</v>
      </c>
      <c r="BA84" s="5">
        <v>0</v>
      </c>
      <c r="BB84" s="5">
        <v>0</v>
      </c>
      <c r="BC84" s="5">
        <v>0</v>
      </c>
      <c r="BD84" s="5">
        <v>0</v>
      </c>
      <c r="BE84" s="5">
        <v>0</v>
      </c>
      <c r="BF84" s="5">
        <v>0</v>
      </c>
      <c r="BG84" s="5">
        <v>0</v>
      </c>
      <c r="BH84" s="5">
        <v>0</v>
      </c>
      <c r="BI84" s="5">
        <v>0</v>
      </c>
      <c r="BJ84" s="5">
        <v>0</v>
      </c>
      <c r="BK84" s="5">
        <v>0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5">
        <v>0</v>
      </c>
      <c r="BR84" s="5">
        <v>0</v>
      </c>
    </row>
    <row r="85" spans="1:70" ht="11.25" customHeight="1">
      <c r="C85" s="6" t="s">
        <v>20</v>
      </c>
      <c r="D85" s="5" t="s">
        <v>512</v>
      </c>
      <c r="M85" s="5" t="s">
        <v>514</v>
      </c>
      <c r="U85" s="5" t="s">
        <v>270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1</v>
      </c>
      <c r="AP85" s="5">
        <v>4</v>
      </c>
      <c r="AQ85" s="5">
        <v>0</v>
      </c>
      <c r="AR85" s="5">
        <v>0</v>
      </c>
      <c r="AS85" s="5">
        <v>1</v>
      </c>
      <c r="AT85" s="5">
        <v>2</v>
      </c>
      <c r="AU85" s="5">
        <v>0</v>
      </c>
      <c r="AV85" s="5">
        <v>0</v>
      </c>
      <c r="AW85" s="5">
        <v>0</v>
      </c>
      <c r="AX85" s="5">
        <v>0</v>
      </c>
      <c r="AY85" s="5">
        <v>0</v>
      </c>
      <c r="AZ85" s="5">
        <v>0</v>
      </c>
      <c r="BA85" s="5">
        <v>0</v>
      </c>
      <c r="BB85" s="5">
        <v>0</v>
      </c>
      <c r="BC85" s="5">
        <v>0</v>
      </c>
      <c r="BD85" s="5">
        <v>0</v>
      </c>
      <c r="BE85" s="5">
        <v>0</v>
      </c>
      <c r="BF85" s="5">
        <v>0</v>
      </c>
      <c r="BG85" s="5">
        <v>0</v>
      </c>
      <c r="BH85" s="5">
        <v>0</v>
      </c>
      <c r="BI85" s="5">
        <v>0</v>
      </c>
      <c r="BJ85" s="5">
        <v>0</v>
      </c>
      <c r="BK85" s="5">
        <v>0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5">
        <v>0</v>
      </c>
      <c r="BR85" s="5">
        <v>0</v>
      </c>
    </row>
    <row r="86" spans="1:70" ht="11.25" customHeight="1">
      <c r="C86" s="6" t="s">
        <v>16</v>
      </c>
      <c r="D86" s="5" t="s">
        <v>497</v>
      </c>
      <c r="AE86" s="5">
        <v>1</v>
      </c>
      <c r="AF86" s="5">
        <v>4</v>
      </c>
      <c r="AG86" s="5">
        <v>0</v>
      </c>
      <c r="AH86" s="5">
        <v>1</v>
      </c>
      <c r="AI86" s="5">
        <v>1</v>
      </c>
      <c r="AJ86" s="5">
        <v>2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0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 s="5">
        <v>0</v>
      </c>
      <c r="AY86" s="5">
        <v>0</v>
      </c>
      <c r="AZ86" s="5">
        <v>0</v>
      </c>
      <c r="BA86" s="5">
        <v>0</v>
      </c>
      <c r="BB86" s="5">
        <v>0</v>
      </c>
      <c r="BC86" s="5">
        <v>0</v>
      </c>
      <c r="BD86" s="5">
        <v>0</v>
      </c>
      <c r="BE86" s="5">
        <v>0</v>
      </c>
      <c r="BF86" s="5">
        <v>0</v>
      </c>
      <c r="BG86" s="5">
        <v>0</v>
      </c>
      <c r="BH86" s="5">
        <v>0</v>
      </c>
      <c r="BI86" s="5">
        <v>0</v>
      </c>
      <c r="BJ86" s="5">
        <v>0</v>
      </c>
      <c r="BK86" s="5">
        <v>0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5">
        <v>0</v>
      </c>
      <c r="BR86" s="5">
        <v>0</v>
      </c>
    </row>
    <row r="87" spans="1:70" ht="11.25" customHeight="1">
      <c r="C87" s="6" t="s">
        <v>29</v>
      </c>
      <c r="D87" s="5" t="s">
        <v>551</v>
      </c>
      <c r="F87" s="5" t="s">
        <v>547</v>
      </c>
      <c r="G87" s="5" t="s">
        <v>496</v>
      </c>
      <c r="H87" s="5" t="s">
        <v>513</v>
      </c>
      <c r="I87" s="5" t="s">
        <v>542</v>
      </c>
      <c r="J87" s="5" t="s">
        <v>543</v>
      </c>
      <c r="K87" s="5" t="s">
        <v>554</v>
      </c>
      <c r="M87" s="5" t="s">
        <v>549</v>
      </c>
      <c r="Q87" s="5" t="s">
        <v>544</v>
      </c>
      <c r="R87" s="5" t="s">
        <v>546</v>
      </c>
      <c r="U87" s="5" t="s">
        <v>552</v>
      </c>
      <c r="X87" s="5" t="s">
        <v>550</v>
      </c>
      <c r="Y87" s="5" t="s">
        <v>548</v>
      </c>
      <c r="Z87" s="5" t="s">
        <v>817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1</v>
      </c>
      <c r="AK87" s="5">
        <v>1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>
        <v>0</v>
      </c>
      <c r="BK87" s="5">
        <v>0</v>
      </c>
      <c r="BL87" s="5">
        <v>0</v>
      </c>
      <c r="BM87" s="5">
        <v>0</v>
      </c>
      <c r="BN87" s="5">
        <v>0</v>
      </c>
      <c r="BO87" s="5">
        <v>0</v>
      </c>
      <c r="BP87" s="5">
        <v>0</v>
      </c>
      <c r="BQ87" s="5">
        <v>0</v>
      </c>
      <c r="BR87" s="5">
        <v>0</v>
      </c>
    </row>
    <row r="88" spans="1:70" ht="11.25" customHeight="1">
      <c r="A88" s="5">
        <v>27</v>
      </c>
      <c r="B88" s="11">
        <v>7</v>
      </c>
      <c r="C88" s="6" t="s">
        <v>19</v>
      </c>
      <c r="D88" s="5" t="s">
        <v>270</v>
      </c>
      <c r="M88" s="5" t="s">
        <v>557</v>
      </c>
      <c r="U88" s="5" t="s">
        <v>547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1</v>
      </c>
      <c r="AZ88" s="5">
        <v>5</v>
      </c>
      <c r="BA88" s="5">
        <v>0</v>
      </c>
      <c r="BB88" s="5">
        <v>0</v>
      </c>
      <c r="BC88" s="5">
        <v>1</v>
      </c>
      <c r="BD88" s="5">
        <v>2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>
        <v>0</v>
      </c>
      <c r="BK88" s="5">
        <v>0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5">
        <v>0</v>
      </c>
      <c r="BR88" s="5">
        <v>0</v>
      </c>
    </row>
    <row r="89" spans="1:70" ht="11.25" customHeight="1">
      <c r="A89" s="5">
        <v>28</v>
      </c>
      <c r="B89" s="11">
        <v>1</v>
      </c>
      <c r="C89" s="6" t="s">
        <v>241</v>
      </c>
      <c r="G89" s="5" t="s">
        <v>541</v>
      </c>
      <c r="H89" s="5" t="s">
        <v>542</v>
      </c>
      <c r="U89" s="5" t="s">
        <v>552</v>
      </c>
      <c r="X89" s="5" t="s">
        <v>902</v>
      </c>
      <c r="Y89" s="5" t="s">
        <v>550</v>
      </c>
      <c r="AE89" s="5">
        <v>0</v>
      </c>
      <c r="AF89" s="5">
        <v>0</v>
      </c>
      <c r="AG89" s="5">
        <v>0</v>
      </c>
      <c r="AH89" s="5">
        <v>0</v>
      </c>
      <c r="AI89" s="5">
        <v>1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v>0</v>
      </c>
      <c r="AY89" s="5">
        <v>0</v>
      </c>
      <c r="AZ89" s="5">
        <v>0</v>
      </c>
      <c r="BA89" s="5">
        <v>0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0</v>
      </c>
      <c r="BI89" s="5">
        <v>0</v>
      </c>
      <c r="BJ89" s="5">
        <v>0</v>
      </c>
      <c r="BK89" s="5">
        <v>0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5">
        <v>0</v>
      </c>
      <c r="BR89" s="5">
        <v>0</v>
      </c>
    </row>
    <row r="90" spans="1:70" ht="11.25" customHeight="1">
      <c r="A90" s="5">
        <v>29</v>
      </c>
      <c r="B90" s="11">
        <v>2</v>
      </c>
      <c r="C90" s="6" t="s">
        <v>4</v>
      </c>
      <c r="D90" s="5" t="s">
        <v>496</v>
      </c>
      <c r="U90" s="5" t="s">
        <v>270</v>
      </c>
      <c r="X90" s="5" t="s">
        <v>902</v>
      </c>
      <c r="AE90" s="5">
        <v>1</v>
      </c>
      <c r="AF90" s="5">
        <v>5</v>
      </c>
      <c r="AG90" s="5">
        <v>0</v>
      </c>
      <c r="AH90" s="5">
        <v>1</v>
      </c>
      <c r="AI90" s="5">
        <v>1</v>
      </c>
      <c r="AJ90" s="5">
        <v>2</v>
      </c>
      <c r="AK90" s="5">
        <v>0</v>
      </c>
      <c r="AL90" s="5">
        <v>0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>
        <v>0</v>
      </c>
      <c r="BK90" s="5">
        <v>0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5">
        <v>0</v>
      </c>
      <c r="BR90" s="5">
        <v>0</v>
      </c>
    </row>
    <row r="91" spans="1:70" ht="11.25" customHeight="1">
      <c r="C91" s="6" t="s">
        <v>20</v>
      </c>
      <c r="D91" s="5" t="s">
        <v>554</v>
      </c>
      <c r="F91" s="5" t="s">
        <v>506</v>
      </c>
      <c r="G91" s="5" t="s">
        <v>543</v>
      </c>
      <c r="M91" s="5" t="s">
        <v>511</v>
      </c>
      <c r="Q91" s="5" t="s">
        <v>509</v>
      </c>
      <c r="U91" s="5" t="s">
        <v>552</v>
      </c>
      <c r="X91" s="5" t="s">
        <v>550</v>
      </c>
      <c r="Y91" s="5" t="s">
        <v>817</v>
      </c>
      <c r="AE91" s="5">
        <v>0</v>
      </c>
      <c r="AF91" s="5">
        <v>3</v>
      </c>
      <c r="AG91" s="5">
        <v>0</v>
      </c>
      <c r="AH91" s="5">
        <v>0</v>
      </c>
      <c r="AI91" s="5">
        <v>0</v>
      </c>
      <c r="AJ91" s="5">
        <v>0</v>
      </c>
      <c r="AK91" s="5">
        <v>0</v>
      </c>
      <c r="AL91" s="5">
        <v>0</v>
      </c>
      <c r="AM91" s="5">
        <v>0</v>
      </c>
      <c r="AN91" s="5">
        <v>0</v>
      </c>
      <c r="AO91" s="5">
        <v>1</v>
      </c>
      <c r="AP91" s="5">
        <v>4</v>
      </c>
      <c r="AQ91" s="5">
        <v>0</v>
      </c>
      <c r="AR91" s="5">
        <v>0</v>
      </c>
      <c r="AS91" s="5">
        <v>0</v>
      </c>
      <c r="AT91" s="5">
        <v>2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>
        <v>0</v>
      </c>
      <c r="BK91" s="5">
        <v>0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5">
        <v>0</v>
      </c>
      <c r="BR91" s="5">
        <v>0</v>
      </c>
    </row>
    <row r="92" spans="1:70" ht="11.25" customHeight="1">
      <c r="C92" s="6" t="s">
        <v>16</v>
      </c>
      <c r="D92" s="5" t="s">
        <v>498</v>
      </c>
      <c r="AE92" s="5">
        <v>1</v>
      </c>
      <c r="AF92" s="5">
        <v>4</v>
      </c>
      <c r="AG92" s="5">
        <v>0</v>
      </c>
      <c r="AH92" s="5">
        <v>1</v>
      </c>
      <c r="AI92" s="5">
        <v>1</v>
      </c>
      <c r="AJ92" s="5">
        <v>2</v>
      </c>
      <c r="AK92" s="5">
        <v>0</v>
      </c>
      <c r="AL92" s="5">
        <v>0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>
        <v>0</v>
      </c>
      <c r="BK92" s="5">
        <v>0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5">
        <v>0</v>
      </c>
      <c r="BR92" s="5">
        <v>0</v>
      </c>
    </row>
    <row r="93" spans="1:70" ht="11.25" customHeight="1">
      <c r="C93" s="6" t="s">
        <v>30</v>
      </c>
      <c r="D93" s="5" t="s">
        <v>540</v>
      </c>
      <c r="M93" s="5" t="s">
        <v>507</v>
      </c>
      <c r="U93" s="5" t="s">
        <v>547</v>
      </c>
      <c r="X93" s="5" t="s">
        <v>548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5">
        <v>0</v>
      </c>
      <c r="AK93" s="5">
        <v>0</v>
      </c>
      <c r="AL93" s="5">
        <v>0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1</v>
      </c>
      <c r="AT93" s="5">
        <v>2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>
        <v>0</v>
      </c>
      <c r="BK93" s="5">
        <v>0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5">
        <v>0</v>
      </c>
      <c r="BR93" s="5">
        <v>0</v>
      </c>
    </row>
    <row r="94" spans="1:70" ht="11.25" customHeight="1">
      <c r="A94" s="5">
        <v>30</v>
      </c>
      <c r="B94" s="11">
        <v>3</v>
      </c>
      <c r="C94" s="6" t="s">
        <v>4</v>
      </c>
      <c r="D94" s="5" t="s">
        <v>506</v>
      </c>
      <c r="M94" s="5" t="s">
        <v>514</v>
      </c>
      <c r="X94" s="5" t="s">
        <v>817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5">
        <v>0</v>
      </c>
      <c r="AK94" s="5">
        <v>0</v>
      </c>
      <c r="AL94" s="5">
        <v>0</v>
      </c>
      <c r="AM94" s="5">
        <v>0</v>
      </c>
      <c r="AN94" s="5">
        <v>0</v>
      </c>
      <c r="AO94" s="5">
        <v>1</v>
      </c>
      <c r="AP94" s="5">
        <v>5</v>
      </c>
      <c r="AQ94" s="5">
        <v>0</v>
      </c>
      <c r="AR94" s="5">
        <v>0</v>
      </c>
      <c r="AS94" s="5">
        <v>1</v>
      </c>
      <c r="AT94" s="5">
        <v>2</v>
      </c>
      <c r="AU94" s="5">
        <v>0</v>
      </c>
      <c r="AV94" s="5">
        <v>0</v>
      </c>
      <c r="AW94" s="5">
        <v>0</v>
      </c>
      <c r="AX94" s="5">
        <v>0</v>
      </c>
      <c r="AY94" s="5">
        <v>0</v>
      </c>
      <c r="AZ94" s="5">
        <v>0</v>
      </c>
      <c r="BA94" s="5">
        <v>0</v>
      </c>
      <c r="BB94" s="5">
        <v>0</v>
      </c>
      <c r="BC94" s="5">
        <v>0</v>
      </c>
      <c r="BD94" s="5">
        <v>0</v>
      </c>
      <c r="BE94" s="5">
        <v>0</v>
      </c>
      <c r="BF94" s="5">
        <v>0</v>
      </c>
      <c r="BG94" s="5">
        <v>0</v>
      </c>
      <c r="BH94" s="5">
        <v>0</v>
      </c>
      <c r="BI94" s="5">
        <v>0</v>
      </c>
      <c r="BJ94" s="5">
        <v>0</v>
      </c>
      <c r="BK94" s="5">
        <v>0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5">
        <v>0</v>
      </c>
      <c r="BR94" s="5">
        <v>0</v>
      </c>
    </row>
    <row r="95" spans="1:70" ht="11.25" customHeight="1">
      <c r="C95" s="6" t="s">
        <v>20</v>
      </c>
      <c r="D95" s="5" t="s">
        <v>903</v>
      </c>
      <c r="F95" s="5" t="s">
        <v>554</v>
      </c>
      <c r="G95" s="5" t="s">
        <v>543</v>
      </c>
      <c r="U95" s="5" t="s">
        <v>540</v>
      </c>
      <c r="AE95" s="5">
        <v>0</v>
      </c>
      <c r="AF95" s="5">
        <v>3</v>
      </c>
      <c r="AG95" s="5">
        <v>0</v>
      </c>
      <c r="AH95" s="5">
        <v>1</v>
      </c>
      <c r="AI95" s="5">
        <v>1</v>
      </c>
      <c r="AJ95" s="5">
        <v>2</v>
      </c>
      <c r="AK95" s="5">
        <v>0</v>
      </c>
      <c r="AL95" s="5">
        <v>0</v>
      </c>
      <c r="AM95" s="5">
        <v>0</v>
      </c>
      <c r="AN95" s="5">
        <v>0</v>
      </c>
      <c r="AO95" s="5">
        <v>0</v>
      </c>
      <c r="AP95" s="5"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v>0</v>
      </c>
      <c r="AY95" s="5">
        <v>0</v>
      </c>
      <c r="AZ95" s="5">
        <v>0</v>
      </c>
      <c r="BA95" s="5">
        <v>0</v>
      </c>
      <c r="BB95" s="5">
        <v>0</v>
      </c>
      <c r="BC95" s="5">
        <v>0</v>
      </c>
      <c r="BD95" s="5">
        <v>0</v>
      </c>
      <c r="BE95" s="5">
        <v>0</v>
      </c>
      <c r="BF95" s="5">
        <v>0</v>
      </c>
      <c r="BG95" s="5">
        <v>0</v>
      </c>
      <c r="BH95" s="5">
        <v>0</v>
      </c>
      <c r="BI95" s="5">
        <v>0</v>
      </c>
      <c r="BJ95" s="5">
        <v>0</v>
      </c>
      <c r="BK95" s="5">
        <v>0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5">
        <v>0</v>
      </c>
      <c r="BR95" s="5">
        <v>0</v>
      </c>
    </row>
    <row r="96" spans="1:70" ht="11.25" customHeight="1">
      <c r="C96" s="6" t="s">
        <v>16</v>
      </c>
      <c r="D96" s="5" t="s">
        <v>498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5">
        <v>0</v>
      </c>
      <c r="AK96" s="5">
        <v>0</v>
      </c>
      <c r="AL96" s="5">
        <v>0</v>
      </c>
      <c r="AM96" s="5">
        <v>0</v>
      </c>
      <c r="AN96" s="5">
        <v>0</v>
      </c>
      <c r="AO96" s="5">
        <v>1</v>
      </c>
      <c r="AP96" s="5">
        <v>4</v>
      </c>
      <c r="AQ96" s="5">
        <v>0</v>
      </c>
      <c r="AR96" s="5">
        <v>1</v>
      </c>
      <c r="AS96" s="5">
        <v>1</v>
      </c>
      <c r="AT96" s="5">
        <v>2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>
        <v>0</v>
      </c>
      <c r="BK96" s="5">
        <v>0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5">
        <v>0</v>
      </c>
      <c r="BR96" s="5">
        <v>0</v>
      </c>
    </row>
  </sheetData>
  <customSheetViews>
    <customSheetView guid="{48D17560-CF9A-4AC4-87A5-512F1C94B1E6}" showRuler="0">
      <pageMargins left="0" right="0" top="0" bottom="0" header="0" footer="0"/>
      <pageSetup paperSize="8" orientation="portrait" verticalDpi="0" r:id="rId1"/>
      <headerFooter alignWithMargins="0"/>
    </customSheetView>
  </customSheetViews>
  <mergeCells count="10">
    <mergeCell ref="G2:L2"/>
    <mergeCell ref="D2:E2"/>
    <mergeCell ref="M2:O2"/>
    <mergeCell ref="Q2:R2"/>
    <mergeCell ref="S2:T2"/>
    <mergeCell ref="AE1:AN1"/>
    <mergeCell ref="AO1:AX1"/>
    <mergeCell ref="AY1:BH1"/>
    <mergeCell ref="BI1:BR1"/>
    <mergeCell ref="X2:AD2"/>
  </mergeCells>
  <phoneticPr fontId="1"/>
  <pageMargins left="0.39370078740157483" right="0.39370078740157483" top="0.78740157480314965" bottom="0.78740157480314965" header="0" footer="0"/>
  <pageSetup paperSize="8" orientation="portrait" blackAndWhite="1" horizontalDpi="300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pgmchk">
                <anchor>
                  <from>
                    <xdr:col>0</xdr:col>
                    <xdr:colOff>69850</xdr:colOff>
                    <xdr:row>0</xdr:row>
                    <xdr:rowOff>69850</xdr:rowOff>
                  </from>
                  <to>
                    <xdr:col>2</xdr:col>
                    <xdr:colOff>266700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chk罫線">
                <anchor>
                  <from>
                    <xdr:col>10</xdr:col>
                    <xdr:colOff>222250</xdr:colOff>
                    <xdr:row>0</xdr:row>
                    <xdr:rowOff>69850</xdr:rowOff>
                  </from>
                  <to>
                    <xdr:col>12</xdr:col>
                    <xdr:colOff>222250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転写">
                <anchor>
                  <from>
                    <xdr:col>13</xdr:col>
                    <xdr:colOff>69850</xdr:colOff>
                    <xdr:row>0</xdr:row>
                    <xdr:rowOff>31750</xdr:rowOff>
                  </from>
                  <to>
                    <xdr:col>18</xdr:col>
                    <xdr:colOff>260350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stafftable">
                <anchor>
                  <from>
                    <xdr:col>19</xdr:col>
                    <xdr:colOff>107950</xdr:colOff>
                    <xdr:row>0</xdr:row>
                    <xdr:rowOff>38100</xdr:rowOff>
                  </from>
                  <to>
                    <xdr:col>29</xdr:col>
                    <xdr:colOff>184150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897F8-3922-40AC-B581-53D8B560C8C5}">
  <sheetPr codeName="Sheet18"/>
  <dimension ref="A1:BO299"/>
  <sheetViews>
    <sheetView zoomScaleNormal="100" workbookViewId="0">
      <pane ySplit="3" topLeftCell="A53" activePane="bottomLeft" state="frozen"/>
      <selection activeCell="F5" sqref="F5"/>
      <selection pane="bottomLeft" activeCell="Z53" sqref="Z53"/>
    </sheetView>
  </sheetViews>
  <sheetFormatPr defaultColWidth="6.453125" defaultRowHeight="12" customHeight="1"/>
  <cols>
    <col min="1" max="1" width="2.453125" style="203" customWidth="1"/>
    <col min="2" max="2" width="2.453125" style="204" customWidth="1"/>
    <col min="3" max="3" width="8.453125" style="203" customWidth="1"/>
    <col min="4" max="4" width="1.453125" style="205" customWidth="1"/>
    <col min="5" max="5" width="4.453125" style="203" customWidth="1"/>
    <col min="6" max="6" width="4.453125" style="205" customWidth="1"/>
    <col min="7" max="7" width="6.453125" style="203" customWidth="1"/>
    <col min="8" max="8" width="2.453125" style="203" customWidth="1"/>
    <col min="9" max="9" width="10.453125" style="203" customWidth="1"/>
    <col min="10" max="11" width="9.453125" style="203" customWidth="1"/>
    <col min="12" max="12" width="1.453125" style="203" customWidth="1"/>
    <col min="13" max="13" width="9.453125" style="203" customWidth="1"/>
    <col min="14" max="14" width="1.453125" style="205" customWidth="1"/>
    <col min="15" max="15" width="9.453125" style="205" customWidth="1"/>
    <col min="16" max="16" width="1.453125" style="205" customWidth="1"/>
    <col min="17" max="17" width="9.453125" style="203" customWidth="1"/>
    <col min="18" max="18" width="1.453125" style="205" customWidth="1"/>
    <col min="19" max="19" width="9.453125" style="203" customWidth="1"/>
    <col min="20" max="20" width="1.453125" style="205" customWidth="1"/>
    <col min="21" max="21" width="9.453125" style="203" customWidth="1"/>
    <col min="22" max="22" width="1.453125" style="205" customWidth="1"/>
    <col min="23" max="23" width="9.453125" style="203" customWidth="1"/>
    <col min="24" max="24" width="1.453125" style="205" customWidth="1"/>
    <col min="25" max="25" width="1.453125" style="203" customWidth="1"/>
    <col min="26" max="26" width="1.453125" style="205" customWidth="1"/>
    <col min="27" max="27" width="1.453125" style="203" customWidth="1"/>
    <col min="28" max="28" width="1.453125" style="205" customWidth="1"/>
    <col min="29" max="29" width="9.453125" style="203" customWidth="1"/>
    <col min="30" max="30" width="1.453125" style="205" customWidth="1"/>
    <col min="31" max="31" width="9.453125" style="203" customWidth="1"/>
    <col min="32" max="32" width="1.453125" style="203" customWidth="1"/>
    <col min="33" max="33" width="9.453125" style="203" customWidth="1"/>
    <col min="34" max="35" width="1.453125" style="203" customWidth="1"/>
    <col min="36" max="36" width="1.453125" style="205" customWidth="1"/>
    <col min="37" max="37" width="9.453125" style="203" customWidth="1"/>
    <col min="38" max="38" width="1.453125" style="205" customWidth="1"/>
    <col min="39" max="39" width="9.453125" style="203" customWidth="1"/>
    <col min="40" max="40" width="1.453125" style="205" customWidth="1"/>
    <col min="41" max="41" width="9.453125" style="203" customWidth="1"/>
    <col min="42" max="42" width="1.453125" style="203" customWidth="1"/>
    <col min="43" max="43" width="9.453125" style="203" customWidth="1"/>
    <col min="44" max="44" width="1.453125" style="205" customWidth="1"/>
    <col min="45" max="45" width="1.453125" style="203" customWidth="1"/>
    <col min="46" max="46" width="1.453125" style="205" customWidth="1"/>
    <col min="47" max="47" width="9.453125" style="203" customWidth="1"/>
    <col min="48" max="48" width="1.453125" style="205" customWidth="1"/>
    <col min="49" max="49" width="1.453125" style="203" customWidth="1"/>
    <col min="50" max="50" width="4.453125" style="205" customWidth="1"/>
    <col min="51" max="52" width="1.453125" style="203" customWidth="1"/>
    <col min="53" max="53" width="4.453125" style="203" customWidth="1"/>
    <col min="54" max="54" width="1.453125" style="205" customWidth="1"/>
    <col min="55" max="56" width="1.453125" style="203" customWidth="1"/>
    <col min="57" max="57" width="1.453125" style="205" customWidth="1"/>
    <col min="58" max="58" width="1.453125" style="203" customWidth="1"/>
    <col min="59" max="59" width="4.453125" style="203" customWidth="1"/>
    <col min="60" max="60" width="9.453125" style="205" customWidth="1"/>
    <col min="61" max="61" width="9.453125" style="203" customWidth="1"/>
    <col min="62" max="62" width="9.453125" style="205" customWidth="1"/>
    <col min="63" max="65" width="9.453125" style="203" customWidth="1"/>
    <col min="66" max="66" width="1.453125" style="205" customWidth="1"/>
    <col min="67" max="67" width="8.453125" style="205" customWidth="1"/>
    <col min="68" max="71" width="9.453125" style="203" customWidth="1"/>
    <col min="72" max="73" width="1.453125" style="203" customWidth="1"/>
    <col min="74" max="16384" width="6.453125" style="203"/>
  </cols>
  <sheetData>
    <row r="1" spans="1:67" ht="21" customHeight="1" thickBot="1">
      <c r="A1" s="206" t="s">
        <v>516</v>
      </c>
      <c r="B1" s="207">
        <f>WEEKDAY(DATE(C1,E1,1))</f>
        <v>2</v>
      </c>
      <c r="C1" s="208">
        <f>月間設定!C1</f>
        <v>2026</v>
      </c>
      <c r="D1" s="209" t="s">
        <v>0</v>
      </c>
      <c r="E1" s="208">
        <f>月間設定!E1</f>
        <v>6</v>
      </c>
      <c r="F1" s="209" t="s">
        <v>489</v>
      </c>
      <c r="G1" s="206"/>
      <c r="H1" s="210" t="s">
        <v>17</v>
      </c>
      <c r="I1" s="208">
        <f>月間設定!I1</f>
        <v>8</v>
      </c>
      <c r="J1" s="209" t="s">
        <v>18</v>
      </c>
      <c r="K1" s="211">
        <f>IF(AND(E1=2,MOD(C1,4)&lt;&gt;0),28,IF(AND(E1=2,MOD(C1,4)=0),29,IF(OR(E1=4,E1=6,E1=9,E1=11),30,31)))</f>
        <v>30</v>
      </c>
      <c r="L1" s="212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N1" s="203"/>
      <c r="BO1" s="203"/>
    </row>
    <row r="2" spans="1:67" ht="12" customHeight="1">
      <c r="A2" s="216" t="s">
        <v>558</v>
      </c>
      <c r="B2" s="9" t="s">
        <v>559</v>
      </c>
      <c r="C2" s="542" t="s">
        <v>521</v>
      </c>
      <c r="D2" s="542"/>
      <c r="E2" s="522" t="s">
        <v>560</v>
      </c>
      <c r="F2" s="538" t="s">
        <v>561</v>
      </c>
      <c r="G2" s="538"/>
      <c r="H2" s="538"/>
      <c r="I2" s="538"/>
      <c r="J2" s="80" t="s">
        <v>113</v>
      </c>
      <c r="K2" s="542" t="s">
        <v>200</v>
      </c>
      <c r="L2" s="542"/>
      <c r="M2" s="538" t="s">
        <v>562</v>
      </c>
      <c r="N2" s="538"/>
      <c r="O2" s="538"/>
      <c r="P2" s="538"/>
      <c r="Q2" s="538"/>
      <c r="R2" s="538"/>
      <c r="S2" s="538"/>
      <c r="T2" s="538"/>
      <c r="U2" s="538"/>
      <c r="V2" s="538"/>
      <c r="W2" s="538"/>
      <c r="X2" s="538"/>
      <c r="Y2" s="538" t="s">
        <v>563</v>
      </c>
      <c r="Z2" s="538"/>
      <c r="AA2" s="538"/>
      <c r="AB2" s="538"/>
      <c r="AC2" s="538" t="s">
        <v>172</v>
      </c>
      <c r="AD2" s="538"/>
      <c r="AE2" s="538"/>
      <c r="AF2" s="538"/>
      <c r="AG2" s="542" t="s">
        <v>564</v>
      </c>
      <c r="AH2" s="542"/>
      <c r="AI2" s="538" t="s">
        <v>565</v>
      </c>
      <c r="AJ2" s="538"/>
      <c r="AK2" s="538" t="s">
        <v>566</v>
      </c>
      <c r="AL2" s="538"/>
      <c r="AM2" s="538"/>
      <c r="AN2" s="538"/>
      <c r="AO2" s="538" t="s">
        <v>567</v>
      </c>
      <c r="AP2" s="538"/>
      <c r="AQ2" s="538"/>
      <c r="AR2" s="538"/>
      <c r="AS2" s="538" t="s">
        <v>568</v>
      </c>
      <c r="AT2" s="538"/>
      <c r="AU2" s="522" t="s">
        <v>174</v>
      </c>
      <c r="AV2" s="538" t="s">
        <v>569</v>
      </c>
      <c r="AW2" s="538"/>
      <c r="AX2" s="522" t="s">
        <v>570</v>
      </c>
      <c r="AY2" s="538" t="s">
        <v>571</v>
      </c>
      <c r="AZ2" s="538"/>
      <c r="BA2" s="542" t="s">
        <v>572</v>
      </c>
      <c r="BB2" s="542"/>
      <c r="BC2" s="542" t="s">
        <v>573</v>
      </c>
      <c r="BD2" s="542"/>
      <c r="BE2" s="538" t="s">
        <v>574</v>
      </c>
      <c r="BF2" s="538"/>
      <c r="BG2" s="522" t="s">
        <v>575</v>
      </c>
      <c r="BH2" s="538" t="s">
        <v>58</v>
      </c>
      <c r="BI2" s="538"/>
      <c r="BJ2" s="538"/>
      <c r="BK2" s="539"/>
      <c r="BN2" s="203"/>
      <c r="BO2" s="203"/>
    </row>
    <row r="3" spans="1:67" ht="12" customHeight="1" thickBot="1">
      <c r="A3" s="492"/>
      <c r="B3" s="493"/>
      <c r="C3" s="214"/>
      <c r="D3" s="524"/>
      <c r="E3" s="523"/>
      <c r="F3" s="523" t="s">
        <v>576</v>
      </c>
      <c r="G3" s="540" t="s">
        <v>577</v>
      </c>
      <c r="H3" s="540"/>
      <c r="I3" s="540"/>
      <c r="J3" s="494"/>
      <c r="K3" s="540"/>
      <c r="L3" s="540"/>
      <c r="M3" s="540" t="s">
        <v>578</v>
      </c>
      <c r="N3" s="540"/>
      <c r="O3" s="540">
        <v>2</v>
      </c>
      <c r="P3" s="540"/>
      <c r="Q3" s="540">
        <v>3</v>
      </c>
      <c r="R3" s="540"/>
      <c r="S3" s="540">
        <v>4</v>
      </c>
      <c r="T3" s="540"/>
      <c r="U3" s="540">
        <v>5</v>
      </c>
      <c r="V3" s="540"/>
      <c r="W3" s="540">
        <v>6</v>
      </c>
      <c r="X3" s="540"/>
      <c r="Y3" s="215" t="s">
        <v>579</v>
      </c>
      <c r="Z3" s="494" t="s">
        <v>580</v>
      </c>
      <c r="AA3" s="214" t="s">
        <v>579</v>
      </c>
      <c r="AB3" s="523" t="s">
        <v>580</v>
      </c>
      <c r="AC3" s="540">
        <v>1</v>
      </c>
      <c r="AD3" s="540"/>
      <c r="AE3" s="540">
        <v>2</v>
      </c>
      <c r="AF3" s="540"/>
      <c r="AG3" s="215"/>
      <c r="AH3" s="494"/>
      <c r="AI3" s="214" t="s">
        <v>579</v>
      </c>
      <c r="AJ3" s="523" t="s">
        <v>581</v>
      </c>
      <c r="AK3" s="540">
        <v>1</v>
      </c>
      <c r="AL3" s="540"/>
      <c r="AM3" s="540">
        <v>2</v>
      </c>
      <c r="AN3" s="540"/>
      <c r="AO3" s="540">
        <v>1</v>
      </c>
      <c r="AP3" s="540"/>
      <c r="AQ3" s="540">
        <v>2</v>
      </c>
      <c r="AR3" s="540"/>
      <c r="AS3" s="214" t="s">
        <v>582</v>
      </c>
      <c r="AT3" s="523" t="s">
        <v>581</v>
      </c>
      <c r="AU3" s="524"/>
      <c r="AV3" s="214" t="s">
        <v>582</v>
      </c>
      <c r="AW3" s="523" t="s">
        <v>581</v>
      </c>
      <c r="AX3" s="524"/>
      <c r="AY3" s="214" t="s">
        <v>582</v>
      </c>
      <c r="AZ3" s="523" t="s">
        <v>581</v>
      </c>
      <c r="BA3" s="541"/>
      <c r="BB3" s="541"/>
      <c r="BC3" s="541"/>
      <c r="BD3" s="541"/>
      <c r="BE3" s="214" t="s">
        <v>582</v>
      </c>
      <c r="BF3" s="523" t="s">
        <v>581</v>
      </c>
      <c r="BG3" s="524"/>
      <c r="BH3" s="523">
        <v>1</v>
      </c>
      <c r="BI3" s="523">
        <v>2</v>
      </c>
      <c r="BJ3" s="523">
        <v>3</v>
      </c>
      <c r="BK3" s="495">
        <v>4</v>
      </c>
      <c r="BN3" s="203"/>
      <c r="BO3" s="203"/>
    </row>
    <row r="4" spans="1:67" ht="12" customHeight="1">
      <c r="A4" s="221"/>
      <c r="B4" s="219"/>
      <c r="C4" s="217"/>
      <c r="D4" s="218"/>
      <c r="E4" s="218"/>
      <c r="F4" s="218"/>
      <c r="G4" s="217"/>
      <c r="H4" s="217"/>
      <c r="I4" s="218"/>
      <c r="J4" s="218"/>
      <c r="K4" s="217"/>
      <c r="L4" s="218"/>
      <c r="M4" s="217"/>
      <c r="N4" s="218"/>
      <c r="O4" s="217"/>
      <c r="P4" s="218"/>
      <c r="Q4" s="217"/>
      <c r="R4" s="218"/>
      <c r="S4" s="217"/>
      <c r="T4" s="218"/>
      <c r="U4" s="217"/>
      <c r="V4" s="218"/>
      <c r="W4" s="217"/>
      <c r="X4" s="218"/>
      <c r="Y4" s="217"/>
      <c r="Z4" s="218"/>
      <c r="AA4" s="217"/>
      <c r="AB4" s="218"/>
      <c r="AC4" s="217"/>
      <c r="AD4" s="218"/>
      <c r="AE4" s="217"/>
      <c r="AF4" s="218"/>
      <c r="AG4" s="217"/>
      <c r="AH4" s="218"/>
      <c r="AI4" s="217"/>
      <c r="AJ4" s="218"/>
      <c r="AK4" s="217"/>
      <c r="AL4" s="218"/>
      <c r="AM4" s="217"/>
      <c r="AN4" s="218"/>
      <c r="AO4" s="217"/>
      <c r="AP4" s="218"/>
      <c r="AQ4" s="217"/>
      <c r="AR4" s="218"/>
      <c r="AS4" s="217"/>
      <c r="AT4" s="218"/>
      <c r="AU4" s="218"/>
      <c r="AV4" s="217"/>
      <c r="AW4" s="218"/>
      <c r="AX4" s="218"/>
      <c r="AY4" s="217"/>
      <c r="AZ4" s="218"/>
      <c r="BA4" s="217"/>
      <c r="BB4" s="218"/>
      <c r="BC4" s="217"/>
      <c r="BD4" s="218"/>
      <c r="BE4" s="217"/>
      <c r="BF4" s="218"/>
      <c r="BG4" s="218"/>
      <c r="BH4" s="218"/>
      <c r="BI4" s="218"/>
      <c r="BJ4" s="218"/>
      <c r="BK4" s="220"/>
      <c r="BN4" s="203"/>
      <c r="BO4" s="203"/>
    </row>
    <row r="5" spans="1:67" ht="12" customHeight="1">
      <c r="A5" s="221"/>
      <c r="B5" s="219"/>
      <c r="C5" s="217"/>
      <c r="D5" s="218"/>
      <c r="E5" s="218"/>
      <c r="F5" s="218"/>
      <c r="G5" s="217"/>
      <c r="H5" s="217"/>
      <c r="I5" s="218"/>
      <c r="J5" s="218"/>
      <c r="K5" s="217"/>
      <c r="L5" s="218"/>
      <c r="M5" s="217"/>
      <c r="N5" s="218"/>
      <c r="O5" s="217"/>
      <c r="P5" s="218"/>
      <c r="Q5" s="217"/>
      <c r="R5" s="218"/>
      <c r="S5" s="217"/>
      <c r="T5" s="218"/>
      <c r="U5" s="217"/>
      <c r="V5" s="218"/>
      <c r="W5" s="217"/>
      <c r="X5" s="218"/>
      <c r="Y5" s="217"/>
      <c r="Z5" s="218"/>
      <c r="AA5" s="217"/>
      <c r="AB5" s="218"/>
      <c r="AC5" s="217"/>
      <c r="AD5" s="218"/>
      <c r="AE5" s="217"/>
      <c r="AF5" s="218"/>
      <c r="AG5" s="217"/>
      <c r="AH5" s="218"/>
      <c r="AI5" s="217"/>
      <c r="AJ5" s="218"/>
      <c r="AK5" s="217"/>
      <c r="AL5" s="218"/>
      <c r="AM5" s="217"/>
      <c r="AN5" s="218"/>
      <c r="AO5" s="217"/>
      <c r="AP5" s="218"/>
      <c r="AQ5" s="217"/>
      <c r="AR5" s="218"/>
      <c r="AS5" s="217"/>
      <c r="AT5" s="218"/>
      <c r="AU5" s="218"/>
      <c r="AV5" s="217"/>
      <c r="AW5" s="218"/>
      <c r="AX5" s="218"/>
      <c r="AY5" s="217"/>
      <c r="AZ5" s="218"/>
      <c r="BA5" s="217"/>
      <c r="BB5" s="218"/>
      <c r="BC5" s="217"/>
      <c r="BD5" s="218"/>
      <c r="BE5" s="217"/>
      <c r="BF5" s="218"/>
      <c r="BG5" s="218"/>
      <c r="BH5" s="218"/>
      <c r="BI5" s="218"/>
      <c r="BJ5" s="218"/>
      <c r="BK5" s="220"/>
      <c r="BN5" s="203"/>
      <c r="BO5" s="203"/>
    </row>
    <row r="6" spans="1:67" ht="12" customHeight="1">
      <c r="A6" s="221"/>
      <c r="B6" s="219"/>
      <c r="C6" s="217"/>
      <c r="D6" s="218"/>
      <c r="E6" s="218"/>
      <c r="F6" s="218"/>
      <c r="G6" s="217"/>
      <c r="H6" s="217"/>
      <c r="I6" s="218"/>
      <c r="J6" s="218"/>
      <c r="K6" s="217"/>
      <c r="L6" s="218"/>
      <c r="M6" s="217"/>
      <c r="N6" s="218"/>
      <c r="O6" s="217"/>
      <c r="P6" s="218"/>
      <c r="Q6" s="217"/>
      <c r="R6" s="218"/>
      <c r="S6" s="217"/>
      <c r="T6" s="218"/>
      <c r="U6" s="217"/>
      <c r="V6" s="218"/>
      <c r="W6" s="217"/>
      <c r="X6" s="218"/>
      <c r="Y6" s="217"/>
      <c r="Z6" s="218"/>
      <c r="AA6" s="217"/>
      <c r="AB6" s="218"/>
      <c r="AC6" s="217"/>
      <c r="AD6" s="218"/>
      <c r="AE6" s="217"/>
      <c r="AF6" s="218"/>
      <c r="AG6" s="217"/>
      <c r="AH6" s="218"/>
      <c r="AI6" s="217"/>
      <c r="AJ6" s="218"/>
      <c r="AK6" s="217"/>
      <c r="AL6" s="218"/>
      <c r="AM6" s="217"/>
      <c r="AN6" s="218"/>
      <c r="AO6" s="217"/>
      <c r="AP6" s="218"/>
      <c r="AQ6" s="217"/>
      <c r="AR6" s="218"/>
      <c r="AS6" s="217"/>
      <c r="AT6" s="218"/>
      <c r="AU6" s="218"/>
      <c r="AV6" s="217"/>
      <c r="AW6" s="218"/>
      <c r="AX6" s="218"/>
      <c r="AY6" s="217"/>
      <c r="AZ6" s="218"/>
      <c r="BA6" s="217"/>
      <c r="BB6" s="218"/>
      <c r="BC6" s="217"/>
      <c r="BD6" s="218"/>
      <c r="BE6" s="217"/>
      <c r="BF6" s="218"/>
      <c r="BG6" s="218"/>
      <c r="BH6" s="218"/>
      <c r="BI6" s="218"/>
      <c r="BJ6" s="218"/>
      <c r="BK6" s="220"/>
      <c r="BN6" s="203"/>
      <c r="BO6" s="203"/>
    </row>
    <row r="7" spans="1:67" ht="12" customHeight="1">
      <c r="A7" s="221"/>
      <c r="B7" s="219"/>
      <c r="C7" s="217"/>
      <c r="D7" s="218"/>
      <c r="E7" s="218"/>
      <c r="F7" s="218"/>
      <c r="G7" s="217"/>
      <c r="H7" s="217"/>
      <c r="I7" s="218"/>
      <c r="J7" s="218"/>
      <c r="K7" s="217"/>
      <c r="L7" s="218"/>
      <c r="M7" s="217"/>
      <c r="N7" s="218"/>
      <c r="O7" s="217"/>
      <c r="P7" s="218"/>
      <c r="Q7" s="217"/>
      <c r="R7" s="218"/>
      <c r="S7" s="217"/>
      <c r="T7" s="218"/>
      <c r="U7" s="217"/>
      <c r="V7" s="218"/>
      <c r="W7" s="217"/>
      <c r="X7" s="218"/>
      <c r="Y7" s="217"/>
      <c r="Z7" s="218"/>
      <c r="AA7" s="217"/>
      <c r="AB7" s="218"/>
      <c r="AC7" s="217"/>
      <c r="AD7" s="218"/>
      <c r="AE7" s="217"/>
      <c r="AF7" s="218"/>
      <c r="AG7" s="217"/>
      <c r="AH7" s="218"/>
      <c r="AI7" s="217"/>
      <c r="AJ7" s="218"/>
      <c r="AK7" s="217"/>
      <c r="AL7" s="218"/>
      <c r="AM7" s="217"/>
      <c r="AN7" s="218"/>
      <c r="AO7" s="217"/>
      <c r="AP7" s="218"/>
      <c r="AQ7" s="217"/>
      <c r="AR7" s="218"/>
      <c r="AS7" s="217"/>
      <c r="AT7" s="218"/>
      <c r="AU7" s="218"/>
      <c r="AV7" s="217"/>
      <c r="AW7" s="218"/>
      <c r="AX7" s="218"/>
      <c r="AY7" s="217"/>
      <c r="AZ7" s="218"/>
      <c r="BA7" s="217"/>
      <c r="BB7" s="218"/>
      <c r="BC7" s="217"/>
      <c r="BD7" s="218"/>
      <c r="BE7" s="217"/>
      <c r="BF7" s="218"/>
      <c r="BG7" s="218"/>
      <c r="BH7" s="218"/>
      <c r="BI7" s="218"/>
      <c r="BJ7" s="218"/>
      <c r="BK7" s="220"/>
      <c r="BN7" s="203"/>
      <c r="BO7" s="203"/>
    </row>
    <row r="8" spans="1:67" ht="12" customHeight="1">
      <c r="A8" s="221"/>
      <c r="B8" s="219"/>
      <c r="C8" s="217"/>
      <c r="D8" s="218"/>
      <c r="E8" s="218"/>
      <c r="F8" s="218"/>
      <c r="G8" s="217"/>
      <c r="H8" s="217"/>
      <c r="I8" s="218"/>
      <c r="J8" s="218"/>
      <c r="K8" s="217"/>
      <c r="L8" s="218"/>
      <c r="M8" s="217"/>
      <c r="N8" s="218"/>
      <c r="O8" s="217"/>
      <c r="P8" s="218"/>
      <c r="Q8" s="217"/>
      <c r="R8" s="218"/>
      <c r="S8" s="217"/>
      <c r="T8" s="218"/>
      <c r="U8" s="217"/>
      <c r="V8" s="218"/>
      <c r="W8" s="217"/>
      <c r="X8" s="218"/>
      <c r="Y8" s="217"/>
      <c r="Z8" s="218"/>
      <c r="AA8" s="217"/>
      <c r="AB8" s="218"/>
      <c r="AC8" s="217"/>
      <c r="AD8" s="218"/>
      <c r="AE8" s="217"/>
      <c r="AF8" s="218"/>
      <c r="AG8" s="217"/>
      <c r="AH8" s="218"/>
      <c r="AI8" s="217"/>
      <c r="AJ8" s="218"/>
      <c r="AK8" s="217"/>
      <c r="AL8" s="218"/>
      <c r="AM8" s="217"/>
      <c r="AN8" s="218"/>
      <c r="AO8" s="217"/>
      <c r="AP8" s="218"/>
      <c r="AQ8" s="217"/>
      <c r="AR8" s="218"/>
      <c r="AS8" s="217"/>
      <c r="AT8" s="218"/>
      <c r="AU8" s="218"/>
      <c r="AV8" s="217"/>
      <c r="AW8" s="218"/>
      <c r="AX8" s="218"/>
      <c r="AY8" s="217"/>
      <c r="AZ8" s="218"/>
      <c r="BA8" s="217"/>
      <c r="BB8" s="218"/>
      <c r="BC8" s="217"/>
      <c r="BD8" s="218"/>
      <c r="BE8" s="217"/>
      <c r="BF8" s="218"/>
      <c r="BG8" s="218"/>
      <c r="BH8" s="218"/>
      <c r="BI8" s="218"/>
      <c r="BJ8" s="218"/>
      <c r="BK8" s="220"/>
      <c r="BN8" s="203"/>
      <c r="BO8" s="203"/>
    </row>
    <row r="9" spans="1:67" ht="12" customHeight="1">
      <c r="A9" s="221"/>
      <c r="B9" s="219"/>
      <c r="C9" s="217"/>
      <c r="D9" s="218"/>
      <c r="E9" s="218"/>
      <c r="F9" s="218"/>
      <c r="G9" s="217"/>
      <c r="H9" s="217"/>
      <c r="I9" s="218"/>
      <c r="J9" s="218"/>
      <c r="K9" s="217"/>
      <c r="L9" s="218"/>
      <c r="M9" s="217"/>
      <c r="N9" s="218"/>
      <c r="O9" s="217"/>
      <c r="P9" s="218"/>
      <c r="Q9" s="217"/>
      <c r="R9" s="218"/>
      <c r="S9" s="217"/>
      <c r="T9" s="218"/>
      <c r="U9" s="217"/>
      <c r="V9" s="218"/>
      <c r="W9" s="217"/>
      <c r="X9" s="218"/>
      <c r="Y9" s="217"/>
      <c r="Z9" s="218"/>
      <c r="AA9" s="217"/>
      <c r="AB9" s="218"/>
      <c r="AC9" s="217"/>
      <c r="AD9" s="218"/>
      <c r="AE9" s="217"/>
      <c r="AF9" s="218"/>
      <c r="AG9" s="217"/>
      <c r="AH9" s="218"/>
      <c r="AI9" s="217"/>
      <c r="AJ9" s="218"/>
      <c r="AK9" s="217"/>
      <c r="AL9" s="218"/>
      <c r="AM9" s="217"/>
      <c r="AN9" s="218"/>
      <c r="AO9" s="217"/>
      <c r="AP9" s="218"/>
      <c r="AQ9" s="217"/>
      <c r="AR9" s="218"/>
      <c r="AS9" s="217"/>
      <c r="AT9" s="218"/>
      <c r="AU9" s="218"/>
      <c r="AV9" s="217"/>
      <c r="AW9" s="218"/>
      <c r="AX9" s="218"/>
      <c r="AY9" s="217"/>
      <c r="AZ9" s="218"/>
      <c r="BA9" s="217"/>
      <c r="BB9" s="218"/>
      <c r="BC9" s="217"/>
      <c r="BD9" s="218"/>
      <c r="BE9" s="217"/>
      <c r="BF9" s="218"/>
      <c r="BG9" s="218"/>
      <c r="BH9" s="218"/>
      <c r="BI9" s="218"/>
      <c r="BJ9" s="218"/>
      <c r="BK9" s="220"/>
      <c r="BN9" s="203"/>
      <c r="BO9" s="203"/>
    </row>
    <row r="10" spans="1:67" ht="12" customHeight="1" thickBot="1">
      <c r="A10" s="496"/>
      <c r="B10" s="497"/>
      <c r="C10" s="213"/>
      <c r="D10" s="498"/>
      <c r="E10" s="498"/>
      <c r="F10" s="498"/>
      <c r="G10" s="213"/>
      <c r="H10" s="213"/>
      <c r="I10" s="498"/>
      <c r="J10" s="498"/>
      <c r="K10" s="213"/>
      <c r="L10" s="498"/>
      <c r="M10" s="213"/>
      <c r="N10" s="498"/>
      <c r="O10" s="213"/>
      <c r="P10" s="498"/>
      <c r="Q10" s="213"/>
      <c r="R10" s="498"/>
      <c r="S10" s="213"/>
      <c r="T10" s="498"/>
      <c r="U10" s="213"/>
      <c r="V10" s="498"/>
      <c r="W10" s="213"/>
      <c r="X10" s="498"/>
      <c r="Y10" s="213"/>
      <c r="Z10" s="498"/>
      <c r="AA10" s="213"/>
      <c r="AB10" s="498"/>
      <c r="AC10" s="213"/>
      <c r="AD10" s="498"/>
      <c r="AE10" s="213"/>
      <c r="AF10" s="498"/>
      <c r="AG10" s="213"/>
      <c r="AH10" s="498"/>
      <c r="AI10" s="213"/>
      <c r="AJ10" s="498"/>
      <c r="AK10" s="213"/>
      <c r="AL10" s="498"/>
      <c r="AM10" s="213"/>
      <c r="AN10" s="498"/>
      <c r="AO10" s="213"/>
      <c r="AP10" s="498"/>
      <c r="AQ10" s="213"/>
      <c r="AR10" s="498"/>
      <c r="AS10" s="213"/>
      <c r="AT10" s="498"/>
      <c r="AU10" s="498"/>
      <c r="AV10" s="213"/>
      <c r="AW10" s="498"/>
      <c r="AX10" s="498"/>
      <c r="AY10" s="213"/>
      <c r="AZ10" s="498"/>
      <c r="BA10" s="213"/>
      <c r="BB10" s="498"/>
      <c r="BC10" s="213"/>
      <c r="BD10" s="498"/>
      <c r="BE10" s="213"/>
      <c r="BF10" s="498"/>
      <c r="BG10" s="498"/>
      <c r="BH10" s="498"/>
      <c r="BI10" s="498"/>
      <c r="BJ10" s="498"/>
      <c r="BK10" s="499"/>
      <c r="BN10" s="203"/>
      <c r="BO10" s="203"/>
    </row>
    <row r="11" spans="1:67" ht="12" customHeight="1">
      <c r="A11" s="221"/>
      <c r="B11" s="219"/>
      <c r="C11" s="217"/>
      <c r="D11" s="218"/>
      <c r="E11" s="218"/>
      <c r="F11" s="218"/>
      <c r="G11" s="217"/>
      <c r="H11" s="217"/>
      <c r="I11" s="218"/>
      <c r="J11" s="218"/>
      <c r="K11" s="217"/>
      <c r="L11" s="218"/>
      <c r="M11" s="217"/>
      <c r="N11" s="218"/>
      <c r="O11" s="217"/>
      <c r="P11" s="218"/>
      <c r="Q11" s="217"/>
      <c r="R11" s="218"/>
      <c r="S11" s="217"/>
      <c r="T11" s="218"/>
      <c r="U11" s="217"/>
      <c r="V11" s="218"/>
      <c r="W11" s="217"/>
      <c r="X11" s="218"/>
      <c r="Y11" s="217"/>
      <c r="Z11" s="218"/>
      <c r="AA11" s="217"/>
      <c r="AB11" s="218"/>
      <c r="AC11" s="217"/>
      <c r="AD11" s="218"/>
      <c r="AE11" s="217"/>
      <c r="AF11" s="218"/>
      <c r="AG11" s="217"/>
      <c r="AH11" s="218"/>
      <c r="AI11" s="217"/>
      <c r="AJ11" s="218"/>
      <c r="AK11" s="217"/>
      <c r="AL11" s="218"/>
      <c r="AM11" s="217"/>
      <c r="AN11" s="218"/>
      <c r="AO11" s="217"/>
      <c r="AP11" s="218"/>
      <c r="AQ11" s="217"/>
      <c r="AR11" s="218"/>
      <c r="AS11" s="217"/>
      <c r="AT11" s="218"/>
      <c r="AU11" s="218"/>
      <c r="AV11" s="217"/>
      <c r="AW11" s="218"/>
      <c r="AX11" s="218"/>
      <c r="AY11" s="217"/>
      <c r="AZ11" s="218"/>
      <c r="BA11" s="217"/>
      <c r="BB11" s="218"/>
      <c r="BC11" s="217"/>
      <c r="BD11" s="218"/>
      <c r="BE11" s="217"/>
      <c r="BF11" s="218"/>
      <c r="BG11" s="218"/>
      <c r="BH11" s="218"/>
      <c r="BI11" s="218"/>
      <c r="BJ11" s="218"/>
      <c r="BK11" s="220"/>
      <c r="BN11" s="203"/>
      <c r="BO11" s="203"/>
    </row>
    <row r="12" spans="1:67" ht="12" customHeight="1">
      <c r="A12" s="221"/>
      <c r="B12" s="219"/>
      <c r="C12" s="217"/>
      <c r="D12" s="218"/>
      <c r="E12" s="218"/>
      <c r="F12" s="218"/>
      <c r="G12" s="217"/>
      <c r="H12" s="217"/>
      <c r="I12" s="218"/>
      <c r="J12" s="218"/>
      <c r="K12" s="217"/>
      <c r="L12" s="218"/>
      <c r="M12" s="217"/>
      <c r="N12" s="218"/>
      <c r="O12" s="217"/>
      <c r="P12" s="218"/>
      <c r="Q12" s="217"/>
      <c r="R12" s="218"/>
      <c r="S12" s="217"/>
      <c r="T12" s="218"/>
      <c r="U12" s="217"/>
      <c r="V12" s="218"/>
      <c r="W12" s="217"/>
      <c r="X12" s="218"/>
      <c r="Y12" s="217"/>
      <c r="Z12" s="218"/>
      <c r="AA12" s="217"/>
      <c r="AB12" s="218"/>
      <c r="AC12" s="217"/>
      <c r="AD12" s="218"/>
      <c r="AE12" s="217"/>
      <c r="AF12" s="218"/>
      <c r="AG12" s="217"/>
      <c r="AH12" s="218"/>
      <c r="AI12" s="217"/>
      <c r="AJ12" s="218"/>
      <c r="AK12" s="217"/>
      <c r="AL12" s="218"/>
      <c r="AM12" s="217"/>
      <c r="AN12" s="218"/>
      <c r="AO12" s="217"/>
      <c r="AP12" s="218"/>
      <c r="AQ12" s="217"/>
      <c r="AR12" s="218"/>
      <c r="AS12" s="217"/>
      <c r="AT12" s="218"/>
      <c r="AU12" s="218"/>
      <c r="AV12" s="217"/>
      <c r="AW12" s="218"/>
      <c r="AX12" s="218"/>
      <c r="AY12" s="217"/>
      <c r="AZ12" s="218"/>
      <c r="BA12" s="217"/>
      <c r="BB12" s="218"/>
      <c r="BC12" s="217"/>
      <c r="BD12" s="218"/>
      <c r="BE12" s="217"/>
      <c r="BF12" s="218"/>
      <c r="BG12" s="218"/>
      <c r="BH12" s="218"/>
      <c r="BI12" s="218"/>
      <c r="BJ12" s="218"/>
      <c r="BK12" s="220"/>
      <c r="BN12" s="203"/>
      <c r="BO12" s="203"/>
    </row>
    <row r="13" spans="1:67" ht="12" customHeight="1">
      <c r="A13" s="221"/>
      <c r="B13" s="219"/>
      <c r="C13" s="217"/>
      <c r="D13" s="218"/>
      <c r="E13" s="218"/>
      <c r="F13" s="218"/>
      <c r="G13" s="217"/>
      <c r="H13" s="217"/>
      <c r="I13" s="218"/>
      <c r="J13" s="218"/>
      <c r="K13" s="217"/>
      <c r="L13" s="218"/>
      <c r="M13" s="217"/>
      <c r="N13" s="218"/>
      <c r="O13" s="217"/>
      <c r="P13" s="218"/>
      <c r="Q13" s="217"/>
      <c r="R13" s="218"/>
      <c r="S13" s="217"/>
      <c r="T13" s="218"/>
      <c r="U13" s="217"/>
      <c r="V13" s="218"/>
      <c r="W13" s="217"/>
      <c r="X13" s="218"/>
      <c r="Y13" s="217"/>
      <c r="Z13" s="218"/>
      <c r="AA13" s="217"/>
      <c r="AB13" s="218"/>
      <c r="AC13" s="217"/>
      <c r="AD13" s="218"/>
      <c r="AE13" s="217"/>
      <c r="AF13" s="218"/>
      <c r="AG13" s="217"/>
      <c r="AH13" s="218"/>
      <c r="AI13" s="217"/>
      <c r="AJ13" s="218"/>
      <c r="AK13" s="217"/>
      <c r="AL13" s="218"/>
      <c r="AM13" s="217"/>
      <c r="AN13" s="218"/>
      <c r="AO13" s="217"/>
      <c r="AP13" s="218"/>
      <c r="AQ13" s="217"/>
      <c r="AR13" s="218"/>
      <c r="AS13" s="217"/>
      <c r="AT13" s="218"/>
      <c r="AU13" s="218"/>
      <c r="AV13" s="217"/>
      <c r="AW13" s="218"/>
      <c r="AX13" s="218"/>
      <c r="AY13" s="217"/>
      <c r="AZ13" s="218"/>
      <c r="BA13" s="217"/>
      <c r="BB13" s="218"/>
      <c r="BC13" s="217"/>
      <c r="BD13" s="218"/>
      <c r="BE13" s="217"/>
      <c r="BF13" s="218"/>
      <c r="BG13" s="218"/>
      <c r="BH13" s="218"/>
      <c r="BI13" s="218"/>
      <c r="BJ13" s="218"/>
      <c r="BK13" s="220"/>
      <c r="BN13" s="203"/>
      <c r="BO13" s="203"/>
    </row>
    <row r="14" spans="1:67" ht="12" customHeight="1">
      <c r="A14" s="221"/>
      <c r="B14" s="219"/>
      <c r="C14" s="217"/>
      <c r="D14" s="218"/>
      <c r="E14" s="218"/>
      <c r="F14" s="218"/>
      <c r="G14" s="217"/>
      <c r="H14" s="217"/>
      <c r="I14" s="218"/>
      <c r="J14" s="218"/>
      <c r="K14" s="217"/>
      <c r="L14" s="218"/>
      <c r="M14" s="217"/>
      <c r="N14" s="218"/>
      <c r="O14" s="217"/>
      <c r="P14" s="218"/>
      <c r="Q14" s="217"/>
      <c r="R14" s="218"/>
      <c r="S14" s="217"/>
      <c r="T14" s="218"/>
      <c r="U14" s="217"/>
      <c r="V14" s="218"/>
      <c r="W14" s="217"/>
      <c r="X14" s="218"/>
      <c r="Y14" s="217"/>
      <c r="Z14" s="218"/>
      <c r="AA14" s="217"/>
      <c r="AB14" s="218"/>
      <c r="AC14" s="217"/>
      <c r="AD14" s="218"/>
      <c r="AE14" s="217"/>
      <c r="AF14" s="218"/>
      <c r="AG14" s="217"/>
      <c r="AH14" s="218"/>
      <c r="AI14" s="217"/>
      <c r="AJ14" s="218"/>
      <c r="AK14" s="217"/>
      <c r="AL14" s="218"/>
      <c r="AM14" s="217"/>
      <c r="AN14" s="218"/>
      <c r="AO14" s="217"/>
      <c r="AP14" s="218"/>
      <c r="AQ14" s="217"/>
      <c r="AR14" s="218"/>
      <c r="AS14" s="217"/>
      <c r="AT14" s="218"/>
      <c r="AU14" s="218"/>
      <c r="AV14" s="217"/>
      <c r="AW14" s="218"/>
      <c r="AX14" s="218"/>
      <c r="AY14" s="217"/>
      <c r="AZ14" s="218"/>
      <c r="BA14" s="217"/>
      <c r="BB14" s="218"/>
      <c r="BC14" s="217"/>
      <c r="BD14" s="218"/>
      <c r="BE14" s="217"/>
      <c r="BF14" s="218"/>
      <c r="BG14" s="218"/>
      <c r="BH14" s="218"/>
      <c r="BI14" s="218"/>
      <c r="BJ14" s="218"/>
      <c r="BK14" s="220"/>
      <c r="BN14" s="203"/>
      <c r="BO14" s="203"/>
    </row>
    <row r="15" spans="1:67" ht="12" customHeight="1">
      <c r="A15" s="221"/>
      <c r="B15" s="219"/>
      <c r="C15" s="217"/>
      <c r="D15" s="218"/>
      <c r="E15" s="218"/>
      <c r="F15" s="218"/>
      <c r="G15" s="217"/>
      <c r="H15" s="217"/>
      <c r="I15" s="218"/>
      <c r="J15" s="218"/>
      <c r="K15" s="217"/>
      <c r="L15" s="218"/>
      <c r="M15" s="217"/>
      <c r="N15" s="218"/>
      <c r="O15" s="217"/>
      <c r="P15" s="218"/>
      <c r="Q15" s="217"/>
      <c r="R15" s="218"/>
      <c r="S15" s="217"/>
      <c r="T15" s="218"/>
      <c r="U15" s="217"/>
      <c r="V15" s="218"/>
      <c r="W15" s="217"/>
      <c r="X15" s="218"/>
      <c r="Y15" s="217"/>
      <c r="Z15" s="218"/>
      <c r="AA15" s="217"/>
      <c r="AB15" s="218"/>
      <c r="AC15" s="217"/>
      <c r="AD15" s="218"/>
      <c r="AE15" s="217"/>
      <c r="AF15" s="218"/>
      <c r="AG15" s="217"/>
      <c r="AH15" s="218"/>
      <c r="AI15" s="217"/>
      <c r="AJ15" s="218"/>
      <c r="AK15" s="217"/>
      <c r="AL15" s="218"/>
      <c r="AM15" s="217"/>
      <c r="AN15" s="218"/>
      <c r="AO15" s="217"/>
      <c r="AP15" s="218"/>
      <c r="AQ15" s="217"/>
      <c r="AR15" s="218"/>
      <c r="AS15" s="217"/>
      <c r="AT15" s="218"/>
      <c r="AU15" s="218"/>
      <c r="AV15" s="217"/>
      <c r="AW15" s="218"/>
      <c r="AX15" s="218"/>
      <c r="AY15" s="217"/>
      <c r="AZ15" s="218"/>
      <c r="BA15" s="217"/>
      <c r="BB15" s="218"/>
      <c r="BC15" s="217"/>
      <c r="BD15" s="218"/>
      <c r="BE15" s="217"/>
      <c r="BF15" s="218"/>
      <c r="BG15" s="218"/>
      <c r="BH15" s="218"/>
      <c r="BI15" s="218"/>
      <c r="BJ15" s="218"/>
      <c r="BK15" s="220"/>
      <c r="BN15" s="203"/>
      <c r="BO15" s="203"/>
    </row>
    <row r="16" spans="1:67" ht="12" customHeight="1">
      <c r="A16" s="221"/>
      <c r="B16" s="219"/>
      <c r="C16" s="217"/>
      <c r="D16" s="218"/>
      <c r="E16" s="218"/>
      <c r="F16" s="218"/>
      <c r="G16" s="217"/>
      <c r="H16" s="217"/>
      <c r="I16" s="218"/>
      <c r="J16" s="218"/>
      <c r="K16" s="217"/>
      <c r="L16" s="218"/>
      <c r="M16" s="217"/>
      <c r="N16" s="218"/>
      <c r="O16" s="217"/>
      <c r="P16" s="218"/>
      <c r="Q16" s="217"/>
      <c r="R16" s="218"/>
      <c r="S16" s="217"/>
      <c r="T16" s="218"/>
      <c r="U16" s="217"/>
      <c r="V16" s="218"/>
      <c r="W16" s="217"/>
      <c r="X16" s="218"/>
      <c r="Y16" s="217"/>
      <c r="Z16" s="218"/>
      <c r="AA16" s="217"/>
      <c r="AB16" s="218"/>
      <c r="AC16" s="217"/>
      <c r="AD16" s="218"/>
      <c r="AE16" s="217"/>
      <c r="AF16" s="218"/>
      <c r="AG16" s="217"/>
      <c r="AH16" s="218"/>
      <c r="AI16" s="217"/>
      <c r="AJ16" s="218"/>
      <c r="AK16" s="217"/>
      <c r="AL16" s="218"/>
      <c r="AM16" s="217"/>
      <c r="AN16" s="218"/>
      <c r="AO16" s="217"/>
      <c r="AP16" s="218"/>
      <c r="AQ16" s="217"/>
      <c r="AR16" s="218"/>
      <c r="AS16" s="217"/>
      <c r="AT16" s="218"/>
      <c r="AU16" s="218"/>
      <c r="AV16" s="217"/>
      <c r="AW16" s="218"/>
      <c r="AX16" s="218"/>
      <c r="AY16" s="217"/>
      <c r="AZ16" s="218"/>
      <c r="BA16" s="217"/>
      <c r="BB16" s="218"/>
      <c r="BC16" s="217"/>
      <c r="BD16" s="218"/>
      <c r="BE16" s="217"/>
      <c r="BF16" s="218"/>
      <c r="BG16" s="218"/>
      <c r="BH16" s="218"/>
      <c r="BI16" s="218"/>
      <c r="BJ16" s="218"/>
      <c r="BK16" s="220"/>
      <c r="BN16" s="203"/>
      <c r="BO16" s="203"/>
    </row>
    <row r="17" spans="1:67" ht="12" customHeight="1" thickBot="1">
      <c r="A17" s="496"/>
      <c r="B17" s="497"/>
      <c r="C17" s="213"/>
      <c r="D17" s="498"/>
      <c r="E17" s="498"/>
      <c r="F17" s="498"/>
      <c r="G17" s="213"/>
      <c r="H17" s="213"/>
      <c r="I17" s="498"/>
      <c r="J17" s="498"/>
      <c r="K17" s="213"/>
      <c r="L17" s="498"/>
      <c r="M17" s="213"/>
      <c r="N17" s="498"/>
      <c r="O17" s="213"/>
      <c r="P17" s="498"/>
      <c r="Q17" s="213"/>
      <c r="R17" s="498"/>
      <c r="S17" s="213"/>
      <c r="T17" s="498"/>
      <c r="U17" s="213"/>
      <c r="V17" s="498"/>
      <c r="W17" s="213"/>
      <c r="X17" s="498"/>
      <c r="Y17" s="213"/>
      <c r="Z17" s="498"/>
      <c r="AA17" s="213"/>
      <c r="AB17" s="498"/>
      <c r="AC17" s="213"/>
      <c r="AD17" s="498"/>
      <c r="AE17" s="213"/>
      <c r="AF17" s="498"/>
      <c r="AG17" s="213"/>
      <c r="AH17" s="498"/>
      <c r="AI17" s="213"/>
      <c r="AJ17" s="498"/>
      <c r="AK17" s="213"/>
      <c r="AL17" s="498"/>
      <c r="AM17" s="213"/>
      <c r="AN17" s="498"/>
      <c r="AO17" s="213"/>
      <c r="AP17" s="498"/>
      <c r="AQ17" s="213"/>
      <c r="AR17" s="498"/>
      <c r="AS17" s="213"/>
      <c r="AT17" s="498"/>
      <c r="AU17" s="498"/>
      <c r="AV17" s="213"/>
      <c r="AW17" s="498"/>
      <c r="AX17" s="498"/>
      <c r="AY17" s="213"/>
      <c r="AZ17" s="498"/>
      <c r="BA17" s="213"/>
      <c r="BB17" s="498"/>
      <c r="BC17" s="213"/>
      <c r="BD17" s="498"/>
      <c r="BE17" s="213"/>
      <c r="BF17" s="498"/>
      <c r="BG17" s="498"/>
      <c r="BH17" s="498"/>
      <c r="BI17" s="498"/>
      <c r="BJ17" s="498"/>
      <c r="BK17" s="499"/>
      <c r="BN17" s="203"/>
      <c r="BO17" s="203"/>
    </row>
    <row r="18" spans="1:67" ht="12" customHeight="1">
      <c r="A18" s="221"/>
      <c r="B18" s="219"/>
      <c r="C18" s="217"/>
      <c r="D18" s="218"/>
      <c r="E18" s="218"/>
      <c r="F18" s="218"/>
      <c r="G18" s="217"/>
      <c r="H18" s="217"/>
      <c r="I18" s="218"/>
      <c r="J18" s="218"/>
      <c r="K18" s="217"/>
      <c r="L18" s="218"/>
      <c r="M18" s="217"/>
      <c r="N18" s="218"/>
      <c r="O18" s="217"/>
      <c r="P18" s="218"/>
      <c r="Q18" s="217"/>
      <c r="R18" s="218"/>
      <c r="S18" s="217"/>
      <c r="T18" s="218"/>
      <c r="U18" s="217"/>
      <c r="V18" s="218"/>
      <c r="W18" s="217"/>
      <c r="X18" s="218"/>
      <c r="Y18" s="217"/>
      <c r="Z18" s="218"/>
      <c r="AA18" s="217"/>
      <c r="AB18" s="218"/>
      <c r="AC18" s="217"/>
      <c r="AD18" s="218"/>
      <c r="AE18" s="217"/>
      <c r="AF18" s="218"/>
      <c r="AG18" s="217"/>
      <c r="AH18" s="218"/>
      <c r="AI18" s="217"/>
      <c r="AJ18" s="218"/>
      <c r="AK18" s="217"/>
      <c r="AL18" s="218"/>
      <c r="AM18" s="217"/>
      <c r="AN18" s="218"/>
      <c r="AO18" s="217"/>
      <c r="AP18" s="218"/>
      <c r="AQ18" s="217"/>
      <c r="AR18" s="218"/>
      <c r="AS18" s="217"/>
      <c r="AT18" s="218"/>
      <c r="AU18" s="218"/>
      <c r="AV18" s="217"/>
      <c r="AW18" s="218"/>
      <c r="AX18" s="218"/>
      <c r="AY18" s="217"/>
      <c r="AZ18" s="218"/>
      <c r="BA18" s="217"/>
      <c r="BB18" s="218"/>
      <c r="BC18" s="217"/>
      <c r="BD18" s="218"/>
      <c r="BE18" s="217"/>
      <c r="BF18" s="218"/>
      <c r="BG18" s="218"/>
      <c r="BH18" s="218"/>
      <c r="BI18" s="218"/>
      <c r="BJ18" s="218"/>
      <c r="BK18" s="220"/>
      <c r="BN18" s="203"/>
      <c r="BO18" s="203"/>
    </row>
    <row r="19" spans="1:67" ht="12" customHeight="1">
      <c r="A19" s="221"/>
      <c r="B19" s="219"/>
      <c r="C19" s="217"/>
      <c r="D19" s="218"/>
      <c r="E19" s="218"/>
      <c r="F19" s="218"/>
      <c r="G19" s="217"/>
      <c r="H19" s="217"/>
      <c r="I19" s="218"/>
      <c r="J19" s="218"/>
      <c r="K19" s="217"/>
      <c r="L19" s="218"/>
      <c r="M19" s="217"/>
      <c r="N19" s="218"/>
      <c r="O19" s="217"/>
      <c r="P19" s="218"/>
      <c r="Q19" s="217"/>
      <c r="R19" s="218"/>
      <c r="S19" s="217"/>
      <c r="T19" s="218"/>
      <c r="U19" s="217"/>
      <c r="V19" s="218"/>
      <c r="W19" s="217"/>
      <c r="X19" s="218"/>
      <c r="Y19" s="217"/>
      <c r="Z19" s="218"/>
      <c r="AA19" s="217"/>
      <c r="AB19" s="218"/>
      <c r="AC19" s="217"/>
      <c r="AD19" s="218"/>
      <c r="AE19" s="217"/>
      <c r="AF19" s="218"/>
      <c r="AG19" s="217"/>
      <c r="AH19" s="218"/>
      <c r="AI19" s="217"/>
      <c r="AJ19" s="218"/>
      <c r="AK19" s="217"/>
      <c r="AL19" s="218"/>
      <c r="AM19" s="217"/>
      <c r="AN19" s="218"/>
      <c r="AO19" s="217"/>
      <c r="AP19" s="218"/>
      <c r="AQ19" s="217"/>
      <c r="AR19" s="218"/>
      <c r="AS19" s="217"/>
      <c r="AT19" s="218"/>
      <c r="AU19" s="218"/>
      <c r="AV19" s="217"/>
      <c r="AW19" s="218"/>
      <c r="AX19" s="218"/>
      <c r="AY19" s="217"/>
      <c r="AZ19" s="218"/>
      <c r="BA19" s="217"/>
      <c r="BB19" s="218"/>
      <c r="BC19" s="217"/>
      <c r="BD19" s="218"/>
      <c r="BE19" s="217"/>
      <c r="BF19" s="218"/>
      <c r="BG19" s="218"/>
      <c r="BH19" s="218"/>
      <c r="BI19" s="218"/>
      <c r="BJ19" s="218"/>
      <c r="BK19" s="220"/>
      <c r="BN19" s="203"/>
      <c r="BO19" s="203"/>
    </row>
    <row r="20" spans="1:67" ht="12" customHeight="1">
      <c r="A20" s="221"/>
      <c r="B20" s="219"/>
      <c r="C20" s="217"/>
      <c r="D20" s="218"/>
      <c r="E20" s="218"/>
      <c r="F20" s="218"/>
      <c r="G20" s="217"/>
      <c r="H20" s="217"/>
      <c r="I20" s="218"/>
      <c r="J20" s="218"/>
      <c r="K20" s="217"/>
      <c r="L20" s="218"/>
      <c r="M20" s="217"/>
      <c r="N20" s="218"/>
      <c r="O20" s="217"/>
      <c r="P20" s="218"/>
      <c r="Q20" s="217"/>
      <c r="R20" s="218"/>
      <c r="S20" s="217"/>
      <c r="T20" s="218"/>
      <c r="U20" s="217"/>
      <c r="V20" s="218"/>
      <c r="W20" s="217"/>
      <c r="X20" s="218"/>
      <c r="Y20" s="217"/>
      <c r="Z20" s="218"/>
      <c r="AA20" s="217"/>
      <c r="AB20" s="218"/>
      <c r="AC20" s="217"/>
      <c r="AD20" s="218"/>
      <c r="AE20" s="217"/>
      <c r="AF20" s="218"/>
      <c r="AG20" s="217"/>
      <c r="AH20" s="218"/>
      <c r="AI20" s="217"/>
      <c r="AJ20" s="218"/>
      <c r="AK20" s="217"/>
      <c r="AL20" s="218"/>
      <c r="AM20" s="217"/>
      <c r="AN20" s="218"/>
      <c r="AO20" s="217"/>
      <c r="AP20" s="218"/>
      <c r="AQ20" s="217"/>
      <c r="AR20" s="218"/>
      <c r="AS20" s="217"/>
      <c r="AT20" s="218"/>
      <c r="AU20" s="218"/>
      <c r="AV20" s="217"/>
      <c r="AW20" s="218"/>
      <c r="AX20" s="218"/>
      <c r="AY20" s="217"/>
      <c r="AZ20" s="218"/>
      <c r="BA20" s="217"/>
      <c r="BB20" s="218"/>
      <c r="BC20" s="217"/>
      <c r="BD20" s="218"/>
      <c r="BE20" s="217"/>
      <c r="BF20" s="218"/>
      <c r="BG20" s="218"/>
      <c r="BH20" s="218"/>
      <c r="BI20" s="218"/>
      <c r="BJ20" s="218"/>
      <c r="BK20" s="220"/>
      <c r="BN20" s="203"/>
      <c r="BO20" s="203"/>
    </row>
    <row r="21" spans="1:67" ht="12" customHeight="1">
      <c r="A21" s="221"/>
      <c r="B21" s="219"/>
      <c r="C21" s="217"/>
      <c r="D21" s="218"/>
      <c r="E21" s="218"/>
      <c r="F21" s="218"/>
      <c r="G21" s="217"/>
      <c r="H21" s="217"/>
      <c r="I21" s="218"/>
      <c r="J21" s="218"/>
      <c r="K21" s="217"/>
      <c r="L21" s="218"/>
      <c r="M21" s="217"/>
      <c r="N21" s="218"/>
      <c r="O21" s="217"/>
      <c r="P21" s="218"/>
      <c r="Q21" s="217"/>
      <c r="R21" s="218"/>
      <c r="S21" s="217"/>
      <c r="T21" s="218"/>
      <c r="U21" s="217"/>
      <c r="V21" s="218"/>
      <c r="W21" s="217"/>
      <c r="X21" s="218"/>
      <c r="Y21" s="217"/>
      <c r="Z21" s="218"/>
      <c r="AA21" s="217"/>
      <c r="AB21" s="218"/>
      <c r="AC21" s="217"/>
      <c r="AD21" s="218"/>
      <c r="AE21" s="217"/>
      <c r="AF21" s="218"/>
      <c r="AG21" s="217"/>
      <c r="AH21" s="218"/>
      <c r="AI21" s="217"/>
      <c r="AJ21" s="218"/>
      <c r="AK21" s="217"/>
      <c r="AL21" s="218"/>
      <c r="AM21" s="217"/>
      <c r="AN21" s="218"/>
      <c r="AO21" s="217"/>
      <c r="AP21" s="218"/>
      <c r="AQ21" s="217"/>
      <c r="AR21" s="218"/>
      <c r="AS21" s="217"/>
      <c r="AT21" s="218"/>
      <c r="AU21" s="218"/>
      <c r="AV21" s="217"/>
      <c r="AW21" s="218"/>
      <c r="AX21" s="218"/>
      <c r="AY21" s="217"/>
      <c r="AZ21" s="218"/>
      <c r="BA21" s="217"/>
      <c r="BB21" s="218"/>
      <c r="BC21" s="217"/>
      <c r="BD21" s="218"/>
      <c r="BE21" s="217"/>
      <c r="BF21" s="218"/>
      <c r="BG21" s="218"/>
      <c r="BH21" s="218"/>
      <c r="BI21" s="218"/>
      <c r="BJ21" s="218"/>
      <c r="BK21" s="220"/>
      <c r="BN21" s="203"/>
      <c r="BO21" s="203"/>
    </row>
    <row r="22" spans="1:67" ht="12" customHeight="1">
      <c r="A22" s="221"/>
      <c r="B22" s="219"/>
      <c r="C22" s="217"/>
      <c r="D22" s="218"/>
      <c r="E22" s="218"/>
      <c r="F22" s="218"/>
      <c r="G22" s="217"/>
      <c r="H22" s="217"/>
      <c r="I22" s="218"/>
      <c r="J22" s="218"/>
      <c r="K22" s="217"/>
      <c r="L22" s="218"/>
      <c r="M22" s="217"/>
      <c r="N22" s="218"/>
      <c r="O22" s="217"/>
      <c r="P22" s="218"/>
      <c r="Q22" s="217"/>
      <c r="R22" s="218"/>
      <c r="S22" s="217"/>
      <c r="T22" s="218"/>
      <c r="U22" s="217"/>
      <c r="V22" s="218"/>
      <c r="W22" s="217"/>
      <c r="X22" s="218"/>
      <c r="Y22" s="217"/>
      <c r="Z22" s="218"/>
      <c r="AA22" s="217"/>
      <c r="AB22" s="218"/>
      <c r="AC22" s="217"/>
      <c r="AD22" s="218"/>
      <c r="AE22" s="217"/>
      <c r="AF22" s="218"/>
      <c r="AG22" s="217"/>
      <c r="AH22" s="218"/>
      <c r="AI22" s="217"/>
      <c r="AJ22" s="218"/>
      <c r="AK22" s="217"/>
      <c r="AL22" s="218"/>
      <c r="AM22" s="217"/>
      <c r="AN22" s="218"/>
      <c r="AO22" s="217"/>
      <c r="AP22" s="218"/>
      <c r="AQ22" s="217"/>
      <c r="AR22" s="218"/>
      <c r="AS22" s="217"/>
      <c r="AT22" s="218"/>
      <c r="AU22" s="218"/>
      <c r="AV22" s="217"/>
      <c r="AW22" s="218"/>
      <c r="AX22" s="218"/>
      <c r="AY22" s="217"/>
      <c r="AZ22" s="218"/>
      <c r="BA22" s="217"/>
      <c r="BB22" s="218"/>
      <c r="BC22" s="217"/>
      <c r="BD22" s="218"/>
      <c r="BE22" s="217"/>
      <c r="BF22" s="218"/>
      <c r="BG22" s="218"/>
      <c r="BH22" s="218"/>
      <c r="BI22" s="218"/>
      <c r="BJ22" s="218"/>
      <c r="BK22" s="220"/>
      <c r="BN22" s="203"/>
      <c r="BO22" s="203"/>
    </row>
    <row r="23" spans="1:67" ht="12" customHeight="1">
      <c r="A23" s="221"/>
      <c r="B23" s="219"/>
      <c r="C23" s="217"/>
      <c r="D23" s="218"/>
      <c r="E23" s="218"/>
      <c r="F23" s="218"/>
      <c r="G23" s="217"/>
      <c r="H23" s="217"/>
      <c r="I23" s="218"/>
      <c r="J23" s="218"/>
      <c r="K23" s="217"/>
      <c r="L23" s="218"/>
      <c r="M23" s="217"/>
      <c r="N23" s="218"/>
      <c r="O23" s="217"/>
      <c r="P23" s="218"/>
      <c r="Q23" s="217"/>
      <c r="R23" s="218"/>
      <c r="S23" s="217"/>
      <c r="T23" s="218"/>
      <c r="U23" s="217"/>
      <c r="V23" s="218"/>
      <c r="W23" s="217"/>
      <c r="X23" s="218"/>
      <c r="Y23" s="217"/>
      <c r="Z23" s="218"/>
      <c r="AA23" s="217"/>
      <c r="AB23" s="218"/>
      <c r="AC23" s="217"/>
      <c r="AD23" s="218"/>
      <c r="AE23" s="217"/>
      <c r="AF23" s="218"/>
      <c r="AG23" s="217"/>
      <c r="AH23" s="218"/>
      <c r="AI23" s="217"/>
      <c r="AJ23" s="218"/>
      <c r="AK23" s="217"/>
      <c r="AL23" s="218"/>
      <c r="AM23" s="217"/>
      <c r="AN23" s="218"/>
      <c r="AO23" s="217"/>
      <c r="AP23" s="218"/>
      <c r="AQ23" s="217"/>
      <c r="AR23" s="218"/>
      <c r="AS23" s="217"/>
      <c r="AT23" s="218"/>
      <c r="AU23" s="218"/>
      <c r="AV23" s="217"/>
      <c r="AW23" s="218"/>
      <c r="AX23" s="218"/>
      <c r="AY23" s="217"/>
      <c r="AZ23" s="218"/>
      <c r="BA23" s="217"/>
      <c r="BB23" s="218"/>
      <c r="BC23" s="217"/>
      <c r="BD23" s="218"/>
      <c r="BE23" s="217"/>
      <c r="BF23" s="218"/>
      <c r="BG23" s="218"/>
      <c r="BH23" s="218"/>
      <c r="BI23" s="218"/>
      <c r="BJ23" s="218"/>
      <c r="BK23" s="220"/>
      <c r="BN23" s="203"/>
      <c r="BO23" s="203"/>
    </row>
    <row r="24" spans="1:67" ht="12" customHeight="1" thickBot="1">
      <c r="A24" s="496"/>
      <c r="B24" s="497"/>
      <c r="C24" s="213"/>
      <c r="D24" s="498"/>
      <c r="E24" s="498"/>
      <c r="F24" s="498"/>
      <c r="G24" s="213"/>
      <c r="H24" s="213"/>
      <c r="I24" s="498"/>
      <c r="J24" s="498"/>
      <c r="K24" s="213"/>
      <c r="L24" s="498"/>
      <c r="M24" s="213"/>
      <c r="N24" s="498"/>
      <c r="O24" s="213"/>
      <c r="P24" s="498"/>
      <c r="Q24" s="213"/>
      <c r="R24" s="498"/>
      <c r="S24" s="213"/>
      <c r="T24" s="498"/>
      <c r="U24" s="213"/>
      <c r="V24" s="498"/>
      <c r="W24" s="213"/>
      <c r="X24" s="498"/>
      <c r="Y24" s="213"/>
      <c r="Z24" s="498"/>
      <c r="AA24" s="213"/>
      <c r="AB24" s="498"/>
      <c r="AC24" s="213"/>
      <c r="AD24" s="498"/>
      <c r="AE24" s="213"/>
      <c r="AF24" s="498"/>
      <c r="AG24" s="213"/>
      <c r="AH24" s="498"/>
      <c r="AI24" s="213"/>
      <c r="AJ24" s="498"/>
      <c r="AK24" s="213"/>
      <c r="AL24" s="498"/>
      <c r="AM24" s="213"/>
      <c r="AN24" s="498"/>
      <c r="AO24" s="213"/>
      <c r="AP24" s="498"/>
      <c r="AQ24" s="213"/>
      <c r="AR24" s="498"/>
      <c r="AS24" s="213"/>
      <c r="AT24" s="498"/>
      <c r="AU24" s="498"/>
      <c r="AV24" s="213"/>
      <c r="AW24" s="498"/>
      <c r="AX24" s="498"/>
      <c r="AY24" s="213"/>
      <c r="AZ24" s="498"/>
      <c r="BA24" s="213"/>
      <c r="BB24" s="498"/>
      <c r="BC24" s="213"/>
      <c r="BD24" s="498"/>
      <c r="BE24" s="213"/>
      <c r="BF24" s="498"/>
      <c r="BG24" s="498"/>
      <c r="BH24" s="498"/>
      <c r="BI24" s="498"/>
      <c r="BJ24" s="498"/>
      <c r="BK24" s="499"/>
      <c r="BN24" s="203"/>
      <c r="BO24" s="203"/>
    </row>
    <row r="25" spans="1:67" ht="12" customHeight="1">
      <c r="A25" s="221"/>
      <c r="B25" s="219"/>
      <c r="C25" s="217"/>
      <c r="D25" s="218"/>
      <c r="E25" s="218"/>
      <c r="F25" s="218"/>
      <c r="G25" s="217"/>
      <c r="H25" s="217"/>
      <c r="I25" s="218"/>
      <c r="J25" s="218"/>
      <c r="K25" s="217"/>
      <c r="L25" s="218"/>
      <c r="M25" s="217"/>
      <c r="N25" s="218"/>
      <c r="O25" s="217"/>
      <c r="P25" s="218"/>
      <c r="Q25" s="217"/>
      <c r="R25" s="218"/>
      <c r="S25" s="217"/>
      <c r="T25" s="218"/>
      <c r="U25" s="217"/>
      <c r="V25" s="218"/>
      <c r="W25" s="217"/>
      <c r="X25" s="218"/>
      <c r="Y25" s="217"/>
      <c r="Z25" s="218"/>
      <c r="AA25" s="217"/>
      <c r="AB25" s="218"/>
      <c r="AC25" s="217"/>
      <c r="AD25" s="218"/>
      <c r="AE25" s="217"/>
      <c r="AF25" s="218"/>
      <c r="AG25" s="217"/>
      <c r="AH25" s="218"/>
      <c r="AI25" s="217"/>
      <c r="AJ25" s="218"/>
      <c r="AK25" s="217"/>
      <c r="AL25" s="218"/>
      <c r="AM25" s="217"/>
      <c r="AN25" s="218"/>
      <c r="AO25" s="217"/>
      <c r="AP25" s="218"/>
      <c r="AQ25" s="217"/>
      <c r="AR25" s="218"/>
      <c r="AS25" s="217"/>
      <c r="AT25" s="218"/>
      <c r="AU25" s="218"/>
      <c r="AV25" s="217"/>
      <c r="AW25" s="218"/>
      <c r="AX25" s="218"/>
      <c r="AY25" s="217"/>
      <c r="AZ25" s="218"/>
      <c r="BA25" s="217"/>
      <c r="BB25" s="218"/>
      <c r="BC25" s="217"/>
      <c r="BD25" s="218"/>
      <c r="BE25" s="217"/>
      <c r="BF25" s="218"/>
      <c r="BG25" s="218"/>
      <c r="BH25" s="218"/>
      <c r="BI25" s="218"/>
      <c r="BJ25" s="218"/>
      <c r="BK25" s="220"/>
      <c r="BN25" s="203"/>
      <c r="BO25" s="203"/>
    </row>
    <row r="26" spans="1:67" ht="12" customHeight="1">
      <c r="A26" s="221"/>
      <c r="B26" s="219"/>
      <c r="C26" s="217"/>
      <c r="D26" s="218"/>
      <c r="E26" s="218"/>
      <c r="F26" s="218"/>
      <c r="G26" s="217"/>
      <c r="H26" s="217"/>
      <c r="I26" s="218"/>
      <c r="J26" s="218"/>
      <c r="K26" s="217"/>
      <c r="L26" s="218"/>
      <c r="M26" s="217"/>
      <c r="N26" s="218"/>
      <c r="O26" s="217"/>
      <c r="P26" s="218"/>
      <c r="Q26" s="217"/>
      <c r="R26" s="218"/>
      <c r="S26" s="217"/>
      <c r="T26" s="218"/>
      <c r="U26" s="217"/>
      <c r="V26" s="218"/>
      <c r="W26" s="217"/>
      <c r="X26" s="218"/>
      <c r="Y26" s="217"/>
      <c r="Z26" s="218"/>
      <c r="AA26" s="217"/>
      <c r="AB26" s="218"/>
      <c r="AC26" s="217"/>
      <c r="AD26" s="218"/>
      <c r="AE26" s="217"/>
      <c r="AF26" s="218"/>
      <c r="AG26" s="217"/>
      <c r="AH26" s="218"/>
      <c r="AI26" s="217"/>
      <c r="AJ26" s="218"/>
      <c r="AK26" s="217"/>
      <c r="AL26" s="218"/>
      <c r="AM26" s="217"/>
      <c r="AN26" s="218"/>
      <c r="AO26" s="217"/>
      <c r="AP26" s="218"/>
      <c r="AQ26" s="217"/>
      <c r="AR26" s="218"/>
      <c r="AS26" s="217"/>
      <c r="AT26" s="218"/>
      <c r="AU26" s="218"/>
      <c r="AV26" s="217"/>
      <c r="AW26" s="218"/>
      <c r="AX26" s="218"/>
      <c r="AY26" s="217"/>
      <c r="AZ26" s="218"/>
      <c r="BA26" s="217"/>
      <c r="BB26" s="218"/>
      <c r="BC26" s="217"/>
      <c r="BD26" s="218"/>
      <c r="BE26" s="217"/>
      <c r="BF26" s="218"/>
      <c r="BG26" s="218"/>
      <c r="BH26" s="218"/>
      <c r="BI26" s="218"/>
      <c r="BJ26" s="218"/>
      <c r="BK26" s="220"/>
      <c r="BN26" s="203"/>
      <c r="BO26" s="203"/>
    </row>
    <row r="27" spans="1:67" ht="12" customHeight="1">
      <c r="A27" s="221"/>
      <c r="B27" s="219"/>
      <c r="C27" s="217"/>
      <c r="D27" s="218"/>
      <c r="E27" s="218"/>
      <c r="F27" s="218"/>
      <c r="G27" s="217"/>
      <c r="H27" s="217"/>
      <c r="I27" s="218"/>
      <c r="J27" s="218"/>
      <c r="K27" s="217"/>
      <c r="L27" s="218"/>
      <c r="M27" s="217"/>
      <c r="N27" s="218"/>
      <c r="O27" s="217"/>
      <c r="P27" s="218"/>
      <c r="Q27" s="217"/>
      <c r="R27" s="218"/>
      <c r="S27" s="217"/>
      <c r="T27" s="218"/>
      <c r="U27" s="217"/>
      <c r="V27" s="218"/>
      <c r="W27" s="217"/>
      <c r="X27" s="218"/>
      <c r="Y27" s="217"/>
      <c r="Z27" s="218"/>
      <c r="AA27" s="217"/>
      <c r="AB27" s="218"/>
      <c r="AC27" s="217"/>
      <c r="AD27" s="218"/>
      <c r="AE27" s="217"/>
      <c r="AF27" s="218"/>
      <c r="AG27" s="217"/>
      <c r="AH27" s="218"/>
      <c r="AI27" s="217"/>
      <c r="AJ27" s="218"/>
      <c r="AK27" s="217"/>
      <c r="AL27" s="218"/>
      <c r="AM27" s="217"/>
      <c r="AN27" s="218"/>
      <c r="AO27" s="217"/>
      <c r="AP27" s="218"/>
      <c r="AQ27" s="217"/>
      <c r="AR27" s="218"/>
      <c r="AS27" s="217"/>
      <c r="AT27" s="218"/>
      <c r="AU27" s="218"/>
      <c r="AV27" s="217"/>
      <c r="AW27" s="218"/>
      <c r="AX27" s="218"/>
      <c r="AY27" s="217"/>
      <c r="AZ27" s="218"/>
      <c r="BA27" s="217"/>
      <c r="BB27" s="218"/>
      <c r="BC27" s="217"/>
      <c r="BD27" s="218"/>
      <c r="BE27" s="217"/>
      <c r="BF27" s="218"/>
      <c r="BG27" s="218"/>
      <c r="BH27" s="218"/>
      <c r="BI27" s="218"/>
      <c r="BJ27" s="218"/>
      <c r="BK27" s="220"/>
      <c r="BN27" s="203"/>
      <c r="BO27" s="203"/>
    </row>
    <row r="28" spans="1:67" ht="12" customHeight="1">
      <c r="A28" s="221"/>
      <c r="B28" s="219"/>
      <c r="C28" s="217"/>
      <c r="D28" s="218"/>
      <c r="E28" s="218"/>
      <c r="F28" s="218"/>
      <c r="G28" s="217"/>
      <c r="H28" s="217"/>
      <c r="I28" s="218"/>
      <c r="J28" s="218"/>
      <c r="K28" s="217"/>
      <c r="L28" s="218"/>
      <c r="M28" s="217"/>
      <c r="N28" s="218"/>
      <c r="O28" s="217"/>
      <c r="P28" s="218"/>
      <c r="Q28" s="217"/>
      <c r="R28" s="218"/>
      <c r="S28" s="217"/>
      <c r="T28" s="218"/>
      <c r="U28" s="217"/>
      <c r="V28" s="218"/>
      <c r="W28" s="217"/>
      <c r="X28" s="218"/>
      <c r="Y28" s="217"/>
      <c r="Z28" s="218"/>
      <c r="AA28" s="217"/>
      <c r="AB28" s="218"/>
      <c r="AC28" s="217"/>
      <c r="AD28" s="218"/>
      <c r="AE28" s="217"/>
      <c r="AF28" s="218"/>
      <c r="AG28" s="217"/>
      <c r="AH28" s="218"/>
      <c r="AI28" s="217"/>
      <c r="AJ28" s="218"/>
      <c r="AK28" s="217"/>
      <c r="AL28" s="218"/>
      <c r="AM28" s="217"/>
      <c r="AN28" s="218"/>
      <c r="AO28" s="217"/>
      <c r="AP28" s="218"/>
      <c r="AQ28" s="217"/>
      <c r="AR28" s="218"/>
      <c r="AS28" s="217"/>
      <c r="AT28" s="218"/>
      <c r="AU28" s="218"/>
      <c r="AV28" s="217"/>
      <c r="AW28" s="218"/>
      <c r="AX28" s="218"/>
      <c r="AY28" s="217"/>
      <c r="AZ28" s="218"/>
      <c r="BA28" s="217"/>
      <c r="BB28" s="218"/>
      <c r="BC28" s="217"/>
      <c r="BD28" s="218"/>
      <c r="BE28" s="217"/>
      <c r="BF28" s="218"/>
      <c r="BG28" s="218"/>
      <c r="BH28" s="218"/>
      <c r="BI28" s="218"/>
      <c r="BJ28" s="218"/>
      <c r="BK28" s="220"/>
      <c r="BN28" s="203"/>
      <c r="BO28" s="203"/>
    </row>
    <row r="29" spans="1:67" ht="12" customHeight="1">
      <c r="A29" s="221"/>
      <c r="B29" s="219"/>
      <c r="C29" s="217"/>
      <c r="D29" s="218"/>
      <c r="E29" s="218"/>
      <c r="F29" s="218"/>
      <c r="G29" s="217"/>
      <c r="H29" s="217"/>
      <c r="I29" s="218"/>
      <c r="J29" s="218"/>
      <c r="K29" s="217"/>
      <c r="L29" s="218"/>
      <c r="M29" s="217"/>
      <c r="N29" s="218"/>
      <c r="O29" s="217"/>
      <c r="P29" s="218"/>
      <c r="Q29" s="217"/>
      <c r="R29" s="218"/>
      <c r="S29" s="217"/>
      <c r="T29" s="218"/>
      <c r="U29" s="217"/>
      <c r="V29" s="218"/>
      <c r="W29" s="217"/>
      <c r="X29" s="218"/>
      <c r="Y29" s="217"/>
      <c r="Z29" s="218"/>
      <c r="AA29" s="217"/>
      <c r="AB29" s="218"/>
      <c r="AC29" s="217"/>
      <c r="AD29" s="218"/>
      <c r="AE29" s="217"/>
      <c r="AF29" s="218"/>
      <c r="AG29" s="217"/>
      <c r="AH29" s="218"/>
      <c r="AI29" s="217"/>
      <c r="AJ29" s="218"/>
      <c r="AK29" s="217"/>
      <c r="AL29" s="218"/>
      <c r="AM29" s="217"/>
      <c r="AN29" s="218"/>
      <c r="AO29" s="217"/>
      <c r="AP29" s="218"/>
      <c r="AQ29" s="217"/>
      <c r="AR29" s="218"/>
      <c r="AS29" s="217"/>
      <c r="AT29" s="218"/>
      <c r="AU29" s="218"/>
      <c r="AV29" s="217"/>
      <c r="AW29" s="218"/>
      <c r="AX29" s="218"/>
      <c r="AY29" s="217"/>
      <c r="AZ29" s="218"/>
      <c r="BA29" s="217"/>
      <c r="BB29" s="218"/>
      <c r="BC29" s="217"/>
      <c r="BD29" s="218"/>
      <c r="BE29" s="217"/>
      <c r="BF29" s="218"/>
      <c r="BG29" s="218"/>
      <c r="BH29" s="218"/>
      <c r="BI29" s="218"/>
      <c r="BJ29" s="218"/>
      <c r="BK29" s="220"/>
      <c r="BN29" s="203"/>
      <c r="BO29" s="203"/>
    </row>
    <row r="30" spans="1:67" ht="12" customHeight="1">
      <c r="A30" s="221"/>
      <c r="B30" s="219"/>
      <c r="C30" s="217"/>
      <c r="D30" s="218"/>
      <c r="E30" s="218"/>
      <c r="F30" s="218"/>
      <c r="G30" s="217"/>
      <c r="H30" s="217"/>
      <c r="I30" s="218"/>
      <c r="J30" s="218"/>
      <c r="K30" s="217"/>
      <c r="L30" s="218"/>
      <c r="M30" s="217"/>
      <c r="N30" s="218"/>
      <c r="O30" s="217"/>
      <c r="P30" s="218"/>
      <c r="Q30" s="217"/>
      <c r="R30" s="218"/>
      <c r="S30" s="217"/>
      <c r="T30" s="218"/>
      <c r="U30" s="217"/>
      <c r="V30" s="218"/>
      <c r="W30" s="217"/>
      <c r="X30" s="218"/>
      <c r="Y30" s="217"/>
      <c r="Z30" s="218"/>
      <c r="AA30" s="217"/>
      <c r="AB30" s="218"/>
      <c r="AC30" s="217"/>
      <c r="AD30" s="218"/>
      <c r="AE30" s="217"/>
      <c r="AF30" s="218"/>
      <c r="AG30" s="217"/>
      <c r="AH30" s="218"/>
      <c r="AI30" s="217"/>
      <c r="AJ30" s="218"/>
      <c r="AK30" s="217"/>
      <c r="AL30" s="218"/>
      <c r="AM30" s="217"/>
      <c r="AN30" s="218"/>
      <c r="AO30" s="217"/>
      <c r="AP30" s="218"/>
      <c r="AQ30" s="217"/>
      <c r="AR30" s="218"/>
      <c r="AS30" s="217"/>
      <c r="AT30" s="218"/>
      <c r="AU30" s="218"/>
      <c r="AV30" s="217"/>
      <c r="AW30" s="218"/>
      <c r="AX30" s="218"/>
      <c r="AY30" s="217"/>
      <c r="AZ30" s="218"/>
      <c r="BA30" s="217"/>
      <c r="BB30" s="218"/>
      <c r="BC30" s="217"/>
      <c r="BD30" s="218"/>
      <c r="BE30" s="217"/>
      <c r="BF30" s="218"/>
      <c r="BG30" s="218"/>
      <c r="BH30" s="218"/>
      <c r="BI30" s="218"/>
      <c r="BJ30" s="218"/>
      <c r="BK30" s="220"/>
      <c r="BN30" s="203"/>
      <c r="BO30" s="203"/>
    </row>
    <row r="31" spans="1:67" ht="12" customHeight="1" thickBot="1">
      <c r="A31" s="496"/>
      <c r="B31" s="497"/>
      <c r="C31" s="213"/>
      <c r="D31" s="498"/>
      <c r="E31" s="498"/>
      <c r="F31" s="498"/>
      <c r="G31" s="213"/>
      <c r="H31" s="213"/>
      <c r="I31" s="498"/>
      <c r="J31" s="498"/>
      <c r="K31" s="213"/>
      <c r="L31" s="498"/>
      <c r="M31" s="213"/>
      <c r="N31" s="498"/>
      <c r="O31" s="213"/>
      <c r="P31" s="498"/>
      <c r="Q31" s="213"/>
      <c r="R31" s="498"/>
      <c r="S31" s="213"/>
      <c r="T31" s="498"/>
      <c r="U31" s="213"/>
      <c r="V31" s="498"/>
      <c r="W31" s="213"/>
      <c r="X31" s="498"/>
      <c r="Y31" s="213"/>
      <c r="Z31" s="498"/>
      <c r="AA31" s="213"/>
      <c r="AB31" s="498"/>
      <c r="AC31" s="213"/>
      <c r="AD31" s="498"/>
      <c r="AE31" s="213"/>
      <c r="AF31" s="498"/>
      <c r="AG31" s="213"/>
      <c r="AH31" s="498"/>
      <c r="AI31" s="213"/>
      <c r="AJ31" s="498"/>
      <c r="AK31" s="213"/>
      <c r="AL31" s="498"/>
      <c r="AM31" s="213"/>
      <c r="AN31" s="498"/>
      <c r="AO31" s="213"/>
      <c r="AP31" s="498"/>
      <c r="AQ31" s="213"/>
      <c r="AR31" s="498"/>
      <c r="AS31" s="213"/>
      <c r="AT31" s="498"/>
      <c r="AU31" s="498"/>
      <c r="AV31" s="213"/>
      <c r="AW31" s="498"/>
      <c r="AX31" s="498"/>
      <c r="AY31" s="213"/>
      <c r="AZ31" s="498"/>
      <c r="BA31" s="213"/>
      <c r="BB31" s="498"/>
      <c r="BC31" s="213"/>
      <c r="BD31" s="498"/>
      <c r="BE31" s="213"/>
      <c r="BF31" s="498"/>
      <c r="BG31" s="498"/>
      <c r="BH31" s="498"/>
      <c r="BI31" s="498"/>
      <c r="BJ31" s="498"/>
      <c r="BK31" s="499"/>
      <c r="BN31" s="203"/>
      <c r="BO31" s="203"/>
    </row>
    <row r="32" spans="1:67" ht="12" customHeight="1">
      <c r="A32" s="221"/>
      <c r="B32" s="219"/>
      <c r="C32" s="217"/>
      <c r="D32" s="218"/>
      <c r="E32" s="218"/>
      <c r="F32" s="218"/>
      <c r="G32" s="217"/>
      <c r="H32" s="217"/>
      <c r="I32" s="218"/>
      <c r="J32" s="218"/>
      <c r="K32" s="217"/>
      <c r="L32" s="218"/>
      <c r="M32" s="217"/>
      <c r="N32" s="218"/>
      <c r="O32" s="217"/>
      <c r="P32" s="218"/>
      <c r="Q32" s="217"/>
      <c r="R32" s="218"/>
      <c r="S32" s="217"/>
      <c r="T32" s="218"/>
      <c r="U32" s="217"/>
      <c r="V32" s="218"/>
      <c r="W32" s="217"/>
      <c r="X32" s="218"/>
      <c r="Y32" s="217"/>
      <c r="Z32" s="218"/>
      <c r="AA32" s="217"/>
      <c r="AB32" s="218"/>
      <c r="AC32" s="217"/>
      <c r="AD32" s="218"/>
      <c r="AE32" s="217"/>
      <c r="AF32" s="218"/>
      <c r="AG32" s="217"/>
      <c r="AH32" s="218"/>
      <c r="AI32" s="217"/>
      <c r="AJ32" s="218"/>
      <c r="AK32" s="217"/>
      <c r="AL32" s="218"/>
      <c r="AM32" s="217"/>
      <c r="AN32" s="218"/>
      <c r="AO32" s="217"/>
      <c r="AP32" s="218"/>
      <c r="AQ32" s="217"/>
      <c r="AR32" s="218"/>
      <c r="AS32" s="217"/>
      <c r="AT32" s="218"/>
      <c r="AU32" s="218"/>
      <c r="AV32" s="217"/>
      <c r="AW32" s="218"/>
      <c r="AX32" s="218"/>
      <c r="AY32" s="217"/>
      <c r="AZ32" s="218"/>
      <c r="BA32" s="217"/>
      <c r="BB32" s="218"/>
      <c r="BC32" s="217"/>
      <c r="BD32" s="218"/>
      <c r="BE32" s="217"/>
      <c r="BF32" s="218"/>
      <c r="BG32" s="218"/>
      <c r="BH32" s="218"/>
      <c r="BI32" s="218"/>
      <c r="BJ32" s="218"/>
      <c r="BK32" s="220"/>
      <c r="BN32" s="203"/>
      <c r="BO32" s="203"/>
    </row>
    <row r="33" spans="1:67" ht="12" customHeight="1">
      <c r="A33" s="221"/>
      <c r="B33" s="219"/>
      <c r="C33" s="217"/>
      <c r="D33" s="218"/>
      <c r="E33" s="218"/>
      <c r="F33" s="218"/>
      <c r="G33" s="217"/>
      <c r="H33" s="217"/>
      <c r="I33" s="218"/>
      <c r="J33" s="218"/>
      <c r="K33" s="217"/>
      <c r="L33" s="218"/>
      <c r="M33" s="217"/>
      <c r="N33" s="218"/>
      <c r="O33" s="217"/>
      <c r="P33" s="218"/>
      <c r="Q33" s="217"/>
      <c r="R33" s="218"/>
      <c r="S33" s="217"/>
      <c r="T33" s="218"/>
      <c r="U33" s="217"/>
      <c r="V33" s="218"/>
      <c r="W33" s="217"/>
      <c r="X33" s="218"/>
      <c r="Y33" s="217"/>
      <c r="Z33" s="218"/>
      <c r="AA33" s="217"/>
      <c r="AB33" s="218"/>
      <c r="AC33" s="217"/>
      <c r="AD33" s="218"/>
      <c r="AE33" s="217"/>
      <c r="AF33" s="218"/>
      <c r="AG33" s="217"/>
      <c r="AH33" s="218"/>
      <c r="AI33" s="217"/>
      <c r="AJ33" s="218"/>
      <c r="AK33" s="217"/>
      <c r="AL33" s="218"/>
      <c r="AM33" s="217"/>
      <c r="AN33" s="218"/>
      <c r="AO33" s="217"/>
      <c r="AP33" s="218"/>
      <c r="AQ33" s="217"/>
      <c r="AR33" s="218"/>
      <c r="AS33" s="217"/>
      <c r="AT33" s="218"/>
      <c r="AU33" s="218"/>
      <c r="AV33" s="217"/>
      <c r="AW33" s="218"/>
      <c r="AX33" s="218"/>
      <c r="AY33" s="217"/>
      <c r="AZ33" s="218"/>
      <c r="BA33" s="217"/>
      <c r="BB33" s="218"/>
      <c r="BC33" s="217"/>
      <c r="BD33" s="218"/>
      <c r="BE33" s="217"/>
      <c r="BF33" s="218"/>
      <c r="BG33" s="218"/>
      <c r="BH33" s="218"/>
      <c r="BI33" s="218"/>
      <c r="BJ33" s="218"/>
      <c r="BK33" s="220"/>
      <c r="BN33" s="203"/>
      <c r="BO33" s="203"/>
    </row>
    <row r="34" spans="1:67" ht="12" customHeight="1">
      <c r="A34" s="221"/>
      <c r="B34" s="219"/>
      <c r="C34" s="217"/>
      <c r="D34" s="218"/>
      <c r="E34" s="218"/>
      <c r="F34" s="218"/>
      <c r="G34" s="217"/>
      <c r="H34" s="217"/>
      <c r="I34" s="218"/>
      <c r="J34" s="218"/>
      <c r="K34" s="217"/>
      <c r="L34" s="218"/>
      <c r="M34" s="217"/>
      <c r="N34" s="218"/>
      <c r="O34" s="217"/>
      <c r="P34" s="218"/>
      <c r="Q34" s="217"/>
      <c r="R34" s="218"/>
      <c r="S34" s="217"/>
      <c r="T34" s="218"/>
      <c r="U34" s="217"/>
      <c r="V34" s="218"/>
      <c r="W34" s="217"/>
      <c r="X34" s="218"/>
      <c r="Y34" s="217"/>
      <c r="Z34" s="218"/>
      <c r="AA34" s="217"/>
      <c r="AB34" s="218"/>
      <c r="AC34" s="217"/>
      <c r="AD34" s="218"/>
      <c r="AE34" s="217"/>
      <c r="AF34" s="218"/>
      <c r="AG34" s="217"/>
      <c r="AH34" s="218"/>
      <c r="AI34" s="217"/>
      <c r="AJ34" s="218"/>
      <c r="AK34" s="217"/>
      <c r="AL34" s="218"/>
      <c r="AM34" s="217"/>
      <c r="AN34" s="218"/>
      <c r="AO34" s="217"/>
      <c r="AP34" s="218"/>
      <c r="AQ34" s="217"/>
      <c r="AR34" s="218"/>
      <c r="AS34" s="217"/>
      <c r="AT34" s="218"/>
      <c r="AU34" s="218"/>
      <c r="AV34" s="217"/>
      <c r="AW34" s="218"/>
      <c r="AX34" s="218"/>
      <c r="AY34" s="217"/>
      <c r="AZ34" s="218"/>
      <c r="BA34" s="217"/>
      <c r="BB34" s="218"/>
      <c r="BC34" s="217"/>
      <c r="BD34" s="218"/>
      <c r="BE34" s="217"/>
      <c r="BF34" s="218"/>
      <c r="BG34" s="218"/>
      <c r="BH34" s="218"/>
      <c r="BI34" s="218"/>
      <c r="BJ34" s="218"/>
      <c r="BK34" s="220"/>
      <c r="BN34" s="203"/>
      <c r="BO34" s="203"/>
    </row>
    <row r="35" spans="1:67" ht="12" customHeight="1">
      <c r="A35" s="221"/>
      <c r="B35" s="219"/>
      <c r="C35" s="217"/>
      <c r="D35" s="218"/>
      <c r="E35" s="218"/>
      <c r="F35" s="218"/>
      <c r="G35" s="217"/>
      <c r="H35" s="217"/>
      <c r="I35" s="218"/>
      <c r="J35" s="218"/>
      <c r="K35" s="217"/>
      <c r="L35" s="218"/>
      <c r="M35" s="217"/>
      <c r="N35" s="218"/>
      <c r="O35" s="217"/>
      <c r="P35" s="218"/>
      <c r="Q35" s="217"/>
      <c r="R35" s="218"/>
      <c r="S35" s="217"/>
      <c r="T35" s="218"/>
      <c r="U35" s="217"/>
      <c r="V35" s="218"/>
      <c r="W35" s="217"/>
      <c r="X35" s="218"/>
      <c r="Y35" s="217"/>
      <c r="Z35" s="218"/>
      <c r="AA35" s="217"/>
      <c r="AB35" s="218"/>
      <c r="AC35" s="217"/>
      <c r="AD35" s="218"/>
      <c r="AE35" s="217"/>
      <c r="AF35" s="218"/>
      <c r="AG35" s="217"/>
      <c r="AH35" s="218"/>
      <c r="AI35" s="217"/>
      <c r="AJ35" s="218"/>
      <c r="AK35" s="217"/>
      <c r="AL35" s="218"/>
      <c r="AM35" s="217"/>
      <c r="AN35" s="218"/>
      <c r="AO35" s="217"/>
      <c r="AP35" s="218"/>
      <c r="AQ35" s="217"/>
      <c r="AR35" s="218"/>
      <c r="AS35" s="217"/>
      <c r="AT35" s="218"/>
      <c r="AU35" s="218"/>
      <c r="AV35" s="217"/>
      <c r="AW35" s="218"/>
      <c r="AX35" s="218"/>
      <c r="AY35" s="217"/>
      <c r="AZ35" s="218"/>
      <c r="BA35" s="217"/>
      <c r="BB35" s="218"/>
      <c r="BC35" s="217"/>
      <c r="BD35" s="218"/>
      <c r="BE35" s="217"/>
      <c r="BF35" s="218"/>
      <c r="BG35" s="218"/>
      <c r="BH35" s="218"/>
      <c r="BI35" s="218"/>
      <c r="BJ35" s="218"/>
      <c r="BK35" s="220"/>
      <c r="BN35" s="203"/>
      <c r="BO35" s="203"/>
    </row>
    <row r="36" spans="1:67" ht="12" customHeight="1">
      <c r="A36" s="221"/>
      <c r="B36" s="219"/>
      <c r="C36" s="217"/>
      <c r="D36" s="218"/>
      <c r="E36" s="218"/>
      <c r="F36" s="218"/>
      <c r="G36" s="217"/>
      <c r="H36" s="217"/>
      <c r="I36" s="218"/>
      <c r="J36" s="218"/>
      <c r="K36" s="217"/>
      <c r="L36" s="218"/>
      <c r="M36" s="217"/>
      <c r="N36" s="218"/>
      <c r="O36" s="217"/>
      <c r="P36" s="218"/>
      <c r="Q36" s="217"/>
      <c r="R36" s="218"/>
      <c r="S36" s="217"/>
      <c r="T36" s="218"/>
      <c r="U36" s="217"/>
      <c r="V36" s="218"/>
      <c r="W36" s="217"/>
      <c r="X36" s="218"/>
      <c r="Y36" s="217"/>
      <c r="Z36" s="218"/>
      <c r="AA36" s="217"/>
      <c r="AB36" s="218"/>
      <c r="AC36" s="217"/>
      <c r="AD36" s="218"/>
      <c r="AE36" s="217"/>
      <c r="AF36" s="218"/>
      <c r="AG36" s="217"/>
      <c r="AH36" s="218"/>
      <c r="AI36" s="217"/>
      <c r="AJ36" s="218"/>
      <c r="AK36" s="217"/>
      <c r="AL36" s="218"/>
      <c r="AM36" s="217"/>
      <c r="AN36" s="218"/>
      <c r="AO36" s="217"/>
      <c r="AP36" s="218"/>
      <c r="AQ36" s="217"/>
      <c r="AR36" s="218"/>
      <c r="AS36" s="217"/>
      <c r="AT36" s="218"/>
      <c r="AU36" s="218"/>
      <c r="AV36" s="217"/>
      <c r="AW36" s="218"/>
      <c r="AX36" s="218"/>
      <c r="AY36" s="217"/>
      <c r="AZ36" s="218"/>
      <c r="BA36" s="217"/>
      <c r="BB36" s="218"/>
      <c r="BC36" s="217"/>
      <c r="BD36" s="218"/>
      <c r="BE36" s="217"/>
      <c r="BF36" s="218"/>
      <c r="BG36" s="218"/>
      <c r="BH36" s="218"/>
      <c r="BI36" s="218"/>
      <c r="BJ36" s="218"/>
      <c r="BK36" s="220"/>
      <c r="BN36" s="203"/>
      <c r="BO36" s="203"/>
    </row>
    <row r="37" spans="1:67" ht="12" customHeight="1">
      <c r="A37" s="221"/>
      <c r="B37" s="219"/>
      <c r="C37" s="217"/>
      <c r="D37" s="218"/>
      <c r="E37" s="218"/>
      <c r="F37" s="218"/>
      <c r="G37" s="217"/>
      <c r="H37" s="217"/>
      <c r="I37" s="218"/>
      <c r="J37" s="218"/>
      <c r="K37" s="217"/>
      <c r="L37" s="218"/>
      <c r="M37" s="217"/>
      <c r="N37" s="218"/>
      <c r="O37" s="217"/>
      <c r="P37" s="218"/>
      <c r="Q37" s="217"/>
      <c r="R37" s="218"/>
      <c r="S37" s="217"/>
      <c r="T37" s="218"/>
      <c r="U37" s="217"/>
      <c r="V37" s="218"/>
      <c r="W37" s="217"/>
      <c r="X37" s="218"/>
      <c r="Y37" s="217"/>
      <c r="Z37" s="218"/>
      <c r="AA37" s="217"/>
      <c r="AB37" s="218"/>
      <c r="AC37" s="217"/>
      <c r="AD37" s="218"/>
      <c r="AE37" s="217"/>
      <c r="AF37" s="218"/>
      <c r="AG37" s="217"/>
      <c r="AH37" s="218"/>
      <c r="AI37" s="217"/>
      <c r="AJ37" s="218"/>
      <c r="AK37" s="217"/>
      <c r="AL37" s="218"/>
      <c r="AM37" s="217"/>
      <c r="AN37" s="218"/>
      <c r="AO37" s="217"/>
      <c r="AP37" s="218"/>
      <c r="AQ37" s="217"/>
      <c r="AR37" s="218"/>
      <c r="AS37" s="217"/>
      <c r="AT37" s="218"/>
      <c r="AU37" s="218"/>
      <c r="AV37" s="217"/>
      <c r="AW37" s="218"/>
      <c r="AX37" s="218"/>
      <c r="AY37" s="217"/>
      <c r="AZ37" s="218"/>
      <c r="BA37" s="217"/>
      <c r="BB37" s="218"/>
      <c r="BC37" s="217"/>
      <c r="BD37" s="218"/>
      <c r="BE37" s="217"/>
      <c r="BF37" s="218"/>
      <c r="BG37" s="218"/>
      <c r="BH37" s="218"/>
      <c r="BI37" s="218"/>
      <c r="BJ37" s="218"/>
      <c r="BK37" s="220"/>
      <c r="BN37" s="203"/>
      <c r="BO37" s="203"/>
    </row>
    <row r="38" spans="1:67" ht="12" customHeight="1" thickBot="1">
      <c r="A38" s="496"/>
      <c r="B38" s="497"/>
      <c r="C38" s="213"/>
      <c r="D38" s="498"/>
      <c r="E38" s="498"/>
      <c r="F38" s="498"/>
      <c r="G38" s="213"/>
      <c r="H38" s="213"/>
      <c r="I38" s="498"/>
      <c r="J38" s="498"/>
      <c r="K38" s="213"/>
      <c r="L38" s="498"/>
      <c r="M38" s="213"/>
      <c r="N38" s="498"/>
      <c r="O38" s="213"/>
      <c r="P38" s="498"/>
      <c r="Q38" s="213"/>
      <c r="R38" s="498"/>
      <c r="S38" s="213"/>
      <c r="T38" s="498"/>
      <c r="U38" s="213"/>
      <c r="V38" s="498"/>
      <c r="W38" s="213"/>
      <c r="X38" s="498"/>
      <c r="Y38" s="213"/>
      <c r="Z38" s="498"/>
      <c r="AA38" s="213"/>
      <c r="AB38" s="498"/>
      <c r="AC38" s="213"/>
      <c r="AD38" s="498"/>
      <c r="AE38" s="213"/>
      <c r="AF38" s="498"/>
      <c r="AG38" s="213"/>
      <c r="AH38" s="498"/>
      <c r="AI38" s="213"/>
      <c r="AJ38" s="498"/>
      <c r="AK38" s="213"/>
      <c r="AL38" s="498"/>
      <c r="AM38" s="213"/>
      <c r="AN38" s="498"/>
      <c r="AO38" s="213"/>
      <c r="AP38" s="498"/>
      <c r="AQ38" s="213"/>
      <c r="AR38" s="498"/>
      <c r="AS38" s="213"/>
      <c r="AT38" s="498"/>
      <c r="AU38" s="498"/>
      <c r="AV38" s="213"/>
      <c r="AW38" s="498"/>
      <c r="AX38" s="498"/>
      <c r="AY38" s="213"/>
      <c r="AZ38" s="498"/>
      <c r="BA38" s="213"/>
      <c r="BB38" s="498"/>
      <c r="BC38" s="213"/>
      <c r="BD38" s="498"/>
      <c r="BE38" s="213"/>
      <c r="BF38" s="498"/>
      <c r="BG38" s="498"/>
      <c r="BH38" s="498"/>
      <c r="BI38" s="498"/>
      <c r="BJ38" s="498"/>
      <c r="BK38" s="499"/>
      <c r="BN38" s="203"/>
      <c r="BO38" s="203"/>
    </row>
    <row r="39" spans="1:67" ht="12" customHeight="1">
      <c r="A39" s="221"/>
      <c r="B39" s="219"/>
      <c r="C39" s="217"/>
      <c r="D39" s="218"/>
      <c r="E39" s="218"/>
      <c r="F39" s="218"/>
      <c r="G39" s="217"/>
      <c r="H39" s="217"/>
      <c r="I39" s="218"/>
      <c r="J39" s="218"/>
      <c r="K39" s="217"/>
      <c r="L39" s="218"/>
      <c r="M39" s="217"/>
      <c r="N39" s="218"/>
      <c r="O39" s="217"/>
      <c r="P39" s="218"/>
      <c r="Q39" s="217"/>
      <c r="R39" s="218"/>
      <c r="S39" s="217"/>
      <c r="T39" s="218"/>
      <c r="U39" s="217"/>
      <c r="V39" s="218"/>
      <c r="W39" s="217"/>
      <c r="X39" s="218"/>
      <c r="Y39" s="217"/>
      <c r="Z39" s="218"/>
      <c r="AA39" s="217"/>
      <c r="AB39" s="218"/>
      <c r="AC39" s="217"/>
      <c r="AD39" s="218"/>
      <c r="AE39" s="217"/>
      <c r="AF39" s="218"/>
      <c r="AG39" s="217"/>
      <c r="AH39" s="218"/>
      <c r="AI39" s="217"/>
      <c r="AJ39" s="218"/>
      <c r="AK39" s="217"/>
      <c r="AL39" s="218"/>
      <c r="AM39" s="217"/>
      <c r="AN39" s="218"/>
      <c r="AO39" s="217"/>
      <c r="AP39" s="218"/>
      <c r="AQ39" s="217"/>
      <c r="AR39" s="218"/>
      <c r="AS39" s="217"/>
      <c r="AT39" s="218"/>
      <c r="AU39" s="218"/>
      <c r="AV39" s="217"/>
      <c r="AW39" s="218"/>
      <c r="AX39" s="218"/>
      <c r="AY39" s="217"/>
      <c r="AZ39" s="218"/>
      <c r="BA39" s="217"/>
      <c r="BB39" s="218"/>
      <c r="BC39" s="217"/>
      <c r="BD39" s="218"/>
      <c r="BE39" s="217"/>
      <c r="BF39" s="218"/>
      <c r="BG39" s="218"/>
      <c r="BH39" s="218"/>
      <c r="BI39" s="218"/>
      <c r="BJ39" s="218"/>
      <c r="BK39" s="220"/>
      <c r="BN39" s="203"/>
      <c r="BO39" s="203"/>
    </row>
    <row r="40" spans="1:67" ht="12" customHeight="1">
      <c r="A40" s="221"/>
      <c r="B40" s="219"/>
      <c r="C40" s="217"/>
      <c r="D40" s="218"/>
      <c r="E40" s="218"/>
      <c r="F40" s="218"/>
      <c r="G40" s="217"/>
      <c r="H40" s="217"/>
      <c r="I40" s="218"/>
      <c r="J40" s="218"/>
      <c r="K40" s="217"/>
      <c r="L40" s="218"/>
      <c r="M40" s="217"/>
      <c r="N40" s="218"/>
      <c r="O40" s="217"/>
      <c r="P40" s="218"/>
      <c r="Q40" s="217"/>
      <c r="R40" s="218"/>
      <c r="S40" s="217"/>
      <c r="T40" s="218"/>
      <c r="U40" s="217"/>
      <c r="V40" s="218"/>
      <c r="W40" s="217"/>
      <c r="X40" s="218"/>
      <c r="Y40" s="217"/>
      <c r="Z40" s="218"/>
      <c r="AA40" s="217"/>
      <c r="AB40" s="218"/>
      <c r="AC40" s="217"/>
      <c r="AD40" s="218"/>
      <c r="AE40" s="217"/>
      <c r="AF40" s="218"/>
      <c r="AG40" s="217"/>
      <c r="AH40" s="218"/>
      <c r="AI40" s="217"/>
      <c r="AJ40" s="218"/>
      <c r="AK40" s="217"/>
      <c r="AL40" s="218"/>
      <c r="AM40" s="217"/>
      <c r="AN40" s="218"/>
      <c r="AO40" s="217"/>
      <c r="AP40" s="218"/>
      <c r="AQ40" s="217"/>
      <c r="AR40" s="218"/>
      <c r="AS40" s="217"/>
      <c r="AT40" s="218"/>
      <c r="AU40" s="218"/>
      <c r="AV40" s="217"/>
      <c r="AW40" s="218"/>
      <c r="AX40" s="218"/>
      <c r="AY40" s="217"/>
      <c r="AZ40" s="218"/>
      <c r="BA40" s="217"/>
      <c r="BB40" s="218"/>
      <c r="BC40" s="217"/>
      <c r="BD40" s="218"/>
      <c r="BE40" s="217"/>
      <c r="BF40" s="218"/>
      <c r="BG40" s="218"/>
      <c r="BH40" s="218"/>
      <c r="BI40" s="218"/>
      <c r="BJ40" s="218"/>
      <c r="BK40" s="220"/>
      <c r="BN40" s="203"/>
      <c r="BO40" s="203"/>
    </row>
    <row r="41" spans="1:67" ht="12" customHeight="1">
      <c r="A41" s="221"/>
      <c r="B41" s="219"/>
      <c r="C41" s="217"/>
      <c r="D41" s="218"/>
      <c r="E41" s="218"/>
      <c r="F41" s="218"/>
      <c r="G41" s="217"/>
      <c r="H41" s="217"/>
      <c r="I41" s="218"/>
      <c r="J41" s="218"/>
      <c r="K41" s="217"/>
      <c r="L41" s="218"/>
      <c r="M41" s="217"/>
      <c r="N41" s="218"/>
      <c r="O41" s="217"/>
      <c r="P41" s="218"/>
      <c r="Q41" s="217"/>
      <c r="R41" s="218"/>
      <c r="S41" s="217"/>
      <c r="T41" s="218"/>
      <c r="U41" s="217"/>
      <c r="V41" s="218"/>
      <c r="W41" s="217"/>
      <c r="X41" s="218"/>
      <c r="Y41" s="217"/>
      <c r="Z41" s="218"/>
      <c r="AA41" s="217"/>
      <c r="AB41" s="218"/>
      <c r="AC41" s="217"/>
      <c r="AD41" s="218"/>
      <c r="AE41" s="217"/>
      <c r="AF41" s="218"/>
      <c r="AG41" s="217"/>
      <c r="AH41" s="218"/>
      <c r="AI41" s="217"/>
      <c r="AJ41" s="218"/>
      <c r="AK41" s="217"/>
      <c r="AL41" s="218"/>
      <c r="AM41" s="217"/>
      <c r="AN41" s="218"/>
      <c r="AO41" s="217"/>
      <c r="AP41" s="218"/>
      <c r="AQ41" s="217"/>
      <c r="AR41" s="218"/>
      <c r="AS41" s="217"/>
      <c r="AT41" s="218"/>
      <c r="AU41" s="218"/>
      <c r="AV41" s="217"/>
      <c r="AW41" s="218"/>
      <c r="AX41" s="218"/>
      <c r="AY41" s="217"/>
      <c r="AZ41" s="218"/>
      <c r="BA41" s="217"/>
      <c r="BB41" s="218"/>
      <c r="BC41" s="217"/>
      <c r="BD41" s="218"/>
      <c r="BE41" s="217"/>
      <c r="BF41" s="218"/>
      <c r="BG41" s="218"/>
      <c r="BH41" s="218"/>
      <c r="BI41" s="218"/>
      <c r="BJ41" s="218"/>
      <c r="BK41" s="220"/>
      <c r="BN41" s="203"/>
      <c r="BO41" s="203"/>
    </row>
    <row r="42" spans="1:67" ht="12" customHeight="1">
      <c r="A42" s="221"/>
      <c r="B42" s="219"/>
      <c r="C42" s="217"/>
      <c r="D42" s="218"/>
      <c r="E42" s="218"/>
      <c r="F42" s="218"/>
      <c r="G42" s="217"/>
      <c r="H42" s="217"/>
      <c r="I42" s="218"/>
      <c r="J42" s="218"/>
      <c r="K42" s="217"/>
      <c r="L42" s="218"/>
      <c r="M42" s="217"/>
      <c r="N42" s="218"/>
      <c r="O42" s="217"/>
      <c r="P42" s="218"/>
      <c r="Q42" s="217"/>
      <c r="R42" s="218"/>
      <c r="S42" s="217"/>
      <c r="T42" s="218"/>
      <c r="U42" s="217"/>
      <c r="V42" s="218"/>
      <c r="W42" s="217"/>
      <c r="X42" s="218"/>
      <c r="Y42" s="217"/>
      <c r="Z42" s="218"/>
      <c r="AA42" s="217"/>
      <c r="AB42" s="218"/>
      <c r="AC42" s="217"/>
      <c r="AD42" s="218"/>
      <c r="AE42" s="217"/>
      <c r="AF42" s="218"/>
      <c r="AG42" s="217"/>
      <c r="AH42" s="218"/>
      <c r="AI42" s="217"/>
      <c r="AJ42" s="218"/>
      <c r="AK42" s="217"/>
      <c r="AL42" s="218"/>
      <c r="AM42" s="217"/>
      <c r="AN42" s="218"/>
      <c r="AO42" s="217"/>
      <c r="AP42" s="218"/>
      <c r="AQ42" s="217"/>
      <c r="AR42" s="218"/>
      <c r="AS42" s="217"/>
      <c r="AT42" s="218"/>
      <c r="AU42" s="218"/>
      <c r="AV42" s="217"/>
      <c r="AW42" s="218"/>
      <c r="AX42" s="218"/>
      <c r="AY42" s="217"/>
      <c r="AZ42" s="218"/>
      <c r="BA42" s="217"/>
      <c r="BB42" s="218"/>
      <c r="BC42" s="217"/>
      <c r="BD42" s="218"/>
      <c r="BE42" s="217"/>
      <c r="BF42" s="218"/>
      <c r="BG42" s="218"/>
      <c r="BH42" s="218"/>
      <c r="BI42" s="218"/>
      <c r="BJ42" s="218"/>
      <c r="BK42" s="220"/>
      <c r="BN42" s="203"/>
      <c r="BO42" s="203"/>
    </row>
    <row r="43" spans="1:67" ht="12" customHeight="1">
      <c r="A43" s="221"/>
      <c r="B43" s="219"/>
      <c r="C43" s="217"/>
      <c r="D43" s="218"/>
      <c r="E43" s="218"/>
      <c r="F43" s="218"/>
      <c r="G43" s="217"/>
      <c r="H43" s="217"/>
      <c r="I43" s="218"/>
      <c r="J43" s="218"/>
      <c r="K43" s="217"/>
      <c r="L43" s="218"/>
      <c r="M43" s="217"/>
      <c r="N43" s="218"/>
      <c r="O43" s="217"/>
      <c r="P43" s="218"/>
      <c r="Q43" s="217"/>
      <c r="R43" s="218"/>
      <c r="S43" s="217"/>
      <c r="T43" s="218"/>
      <c r="U43" s="217"/>
      <c r="V43" s="218"/>
      <c r="W43" s="217"/>
      <c r="X43" s="218"/>
      <c r="Y43" s="217"/>
      <c r="Z43" s="218"/>
      <c r="AA43" s="217"/>
      <c r="AB43" s="218"/>
      <c r="AC43" s="217"/>
      <c r="AD43" s="218"/>
      <c r="AE43" s="217"/>
      <c r="AF43" s="218"/>
      <c r="AG43" s="217"/>
      <c r="AH43" s="218"/>
      <c r="AI43" s="217"/>
      <c r="AJ43" s="218"/>
      <c r="AK43" s="217"/>
      <c r="AL43" s="218"/>
      <c r="AM43" s="217"/>
      <c r="AN43" s="218"/>
      <c r="AO43" s="217"/>
      <c r="AP43" s="218"/>
      <c r="AQ43" s="217"/>
      <c r="AR43" s="218"/>
      <c r="AS43" s="217"/>
      <c r="AT43" s="218"/>
      <c r="AU43" s="218"/>
      <c r="AV43" s="217"/>
      <c r="AW43" s="218"/>
      <c r="AX43" s="218"/>
      <c r="AY43" s="217"/>
      <c r="AZ43" s="218"/>
      <c r="BA43" s="217"/>
      <c r="BB43" s="218"/>
      <c r="BC43" s="217"/>
      <c r="BD43" s="218"/>
      <c r="BE43" s="217"/>
      <c r="BF43" s="218"/>
      <c r="BG43" s="218"/>
      <c r="BH43" s="218"/>
      <c r="BI43" s="218"/>
      <c r="BJ43" s="218"/>
      <c r="BK43" s="220"/>
      <c r="BN43" s="203"/>
      <c r="BO43" s="203"/>
    </row>
    <row r="44" spans="1:67" ht="12" customHeight="1">
      <c r="A44" s="221"/>
      <c r="B44" s="219"/>
      <c r="C44" s="217"/>
      <c r="D44" s="218"/>
      <c r="E44" s="218"/>
      <c r="F44" s="218"/>
      <c r="G44" s="217"/>
      <c r="H44" s="217"/>
      <c r="I44" s="218"/>
      <c r="J44" s="218"/>
      <c r="K44" s="217"/>
      <c r="L44" s="218"/>
      <c r="M44" s="217"/>
      <c r="N44" s="218"/>
      <c r="O44" s="217"/>
      <c r="P44" s="218"/>
      <c r="Q44" s="217"/>
      <c r="R44" s="218"/>
      <c r="S44" s="217"/>
      <c r="T44" s="218"/>
      <c r="U44" s="217"/>
      <c r="V44" s="218"/>
      <c r="W44" s="217"/>
      <c r="X44" s="218"/>
      <c r="Y44" s="217"/>
      <c r="Z44" s="218"/>
      <c r="AA44" s="217"/>
      <c r="AB44" s="218"/>
      <c r="AC44" s="217"/>
      <c r="AD44" s="218"/>
      <c r="AE44" s="217"/>
      <c r="AF44" s="218"/>
      <c r="AG44" s="217"/>
      <c r="AH44" s="218"/>
      <c r="AI44" s="217"/>
      <c r="AJ44" s="218"/>
      <c r="AK44" s="217"/>
      <c r="AL44" s="218"/>
      <c r="AM44" s="217"/>
      <c r="AN44" s="218"/>
      <c r="AO44" s="217"/>
      <c r="AP44" s="218"/>
      <c r="AQ44" s="217"/>
      <c r="AR44" s="218"/>
      <c r="AS44" s="217"/>
      <c r="AT44" s="218"/>
      <c r="AU44" s="218"/>
      <c r="AV44" s="217"/>
      <c r="AW44" s="218"/>
      <c r="AX44" s="218"/>
      <c r="AY44" s="217"/>
      <c r="AZ44" s="218"/>
      <c r="BA44" s="217"/>
      <c r="BB44" s="218"/>
      <c r="BC44" s="217"/>
      <c r="BD44" s="218"/>
      <c r="BE44" s="217"/>
      <c r="BF44" s="218"/>
      <c r="BG44" s="218"/>
      <c r="BH44" s="218"/>
      <c r="BI44" s="218"/>
      <c r="BJ44" s="218"/>
      <c r="BK44" s="220"/>
      <c r="BN44" s="203"/>
      <c r="BO44" s="203"/>
    </row>
    <row r="45" spans="1:67" ht="12" customHeight="1" thickBot="1">
      <c r="A45" s="496"/>
      <c r="B45" s="497"/>
      <c r="C45" s="213"/>
      <c r="D45" s="498"/>
      <c r="E45" s="498"/>
      <c r="F45" s="498"/>
      <c r="G45" s="213"/>
      <c r="H45" s="213"/>
      <c r="I45" s="498"/>
      <c r="J45" s="498"/>
      <c r="K45" s="213"/>
      <c r="L45" s="498"/>
      <c r="M45" s="213"/>
      <c r="N45" s="498"/>
      <c r="O45" s="213"/>
      <c r="P45" s="498"/>
      <c r="Q45" s="213"/>
      <c r="R45" s="498"/>
      <c r="S45" s="213"/>
      <c r="T45" s="498"/>
      <c r="U45" s="213"/>
      <c r="V45" s="498"/>
      <c r="W45" s="213"/>
      <c r="X45" s="498"/>
      <c r="Y45" s="213"/>
      <c r="Z45" s="498"/>
      <c r="AA45" s="213"/>
      <c r="AB45" s="498"/>
      <c r="AC45" s="213"/>
      <c r="AD45" s="498"/>
      <c r="AE45" s="213"/>
      <c r="AF45" s="498"/>
      <c r="AG45" s="213"/>
      <c r="AH45" s="498"/>
      <c r="AI45" s="213"/>
      <c r="AJ45" s="498"/>
      <c r="AK45" s="213"/>
      <c r="AL45" s="498"/>
      <c r="AM45" s="213"/>
      <c r="AN45" s="498"/>
      <c r="AO45" s="213"/>
      <c r="AP45" s="498"/>
      <c r="AQ45" s="213"/>
      <c r="AR45" s="498"/>
      <c r="AS45" s="213"/>
      <c r="AT45" s="498"/>
      <c r="AU45" s="498"/>
      <c r="AV45" s="213"/>
      <c r="AW45" s="498"/>
      <c r="AX45" s="498"/>
      <c r="AY45" s="213"/>
      <c r="AZ45" s="498"/>
      <c r="BA45" s="213"/>
      <c r="BB45" s="498"/>
      <c r="BC45" s="213"/>
      <c r="BD45" s="498"/>
      <c r="BE45" s="213"/>
      <c r="BF45" s="498"/>
      <c r="BG45" s="498"/>
      <c r="BH45" s="498"/>
      <c r="BI45" s="498"/>
      <c r="BJ45" s="498"/>
      <c r="BK45" s="499"/>
      <c r="BN45" s="203"/>
      <c r="BO45" s="203"/>
    </row>
    <row r="46" spans="1:67" ht="12" customHeight="1">
      <c r="A46" s="221"/>
      <c r="B46" s="219"/>
      <c r="C46" s="217"/>
      <c r="D46" s="218"/>
      <c r="E46" s="218"/>
      <c r="F46" s="341"/>
      <c r="G46" s="342"/>
      <c r="H46" s="217"/>
      <c r="I46" s="341"/>
      <c r="J46" s="218"/>
      <c r="K46" s="217"/>
      <c r="L46" s="218"/>
      <c r="M46" s="217"/>
      <c r="N46" s="218"/>
      <c r="O46" s="217"/>
      <c r="P46" s="218"/>
      <c r="Q46" s="217"/>
      <c r="R46" s="218"/>
      <c r="S46" s="217"/>
      <c r="T46" s="218"/>
      <c r="U46" s="217"/>
      <c r="V46" s="218"/>
      <c r="W46" s="217"/>
      <c r="X46" s="218"/>
      <c r="Y46" s="217" t="s">
        <v>583</v>
      </c>
      <c r="Z46" s="218">
        <v>4</v>
      </c>
      <c r="AA46" s="217"/>
      <c r="AB46" s="218"/>
      <c r="AC46" s="217"/>
      <c r="AD46" s="218"/>
      <c r="AE46" s="217"/>
      <c r="AF46" s="218"/>
      <c r="AG46" s="217"/>
      <c r="AH46" s="218"/>
      <c r="AI46" s="217"/>
      <c r="AJ46" s="218"/>
      <c r="AK46" s="217"/>
      <c r="AL46" s="218"/>
      <c r="AM46" s="217"/>
      <c r="AN46" s="218"/>
      <c r="AO46" s="217"/>
      <c r="AP46" s="218"/>
      <c r="AQ46" s="217"/>
      <c r="AR46" s="218"/>
      <c r="AS46" s="217"/>
      <c r="AT46" s="218"/>
      <c r="AU46" s="218"/>
      <c r="AV46" s="217" t="s">
        <v>584</v>
      </c>
      <c r="AW46" s="218">
        <v>4</v>
      </c>
      <c r="AX46" s="218"/>
      <c r="AY46" s="217"/>
      <c r="AZ46" s="218"/>
      <c r="BA46" s="217"/>
      <c r="BB46" s="218"/>
      <c r="BC46" s="217"/>
      <c r="BD46" s="218"/>
      <c r="BE46" s="217"/>
      <c r="BF46" s="218"/>
      <c r="BG46" s="218"/>
      <c r="BH46" s="218"/>
      <c r="BI46" s="218"/>
      <c r="BJ46" s="218"/>
      <c r="BK46" s="220"/>
      <c r="BN46" s="203"/>
      <c r="BO46" s="203"/>
    </row>
    <row r="47" spans="1:67" ht="12" customHeight="1">
      <c r="A47" s="221"/>
      <c r="B47" s="219"/>
      <c r="C47" s="217"/>
      <c r="D47" s="218"/>
      <c r="E47" s="218"/>
      <c r="F47" s="218"/>
      <c r="G47" s="217"/>
      <c r="H47" s="217"/>
      <c r="I47" s="218"/>
      <c r="J47" s="218"/>
      <c r="K47" s="217"/>
      <c r="L47" s="218"/>
      <c r="M47" s="217"/>
      <c r="N47" s="218"/>
      <c r="O47" s="217"/>
      <c r="P47" s="218"/>
      <c r="Q47" s="217"/>
      <c r="R47" s="218"/>
      <c r="S47" s="217"/>
      <c r="T47" s="218"/>
      <c r="U47" s="217"/>
      <c r="V47" s="218"/>
      <c r="W47" s="217"/>
      <c r="X47" s="218"/>
      <c r="Y47" s="217"/>
      <c r="Z47" s="218"/>
      <c r="AA47" s="217"/>
      <c r="AB47" s="218"/>
      <c r="AC47" s="217"/>
      <c r="AD47" s="218"/>
      <c r="AE47" s="217"/>
      <c r="AF47" s="218"/>
      <c r="AG47" s="217"/>
      <c r="AH47" s="218"/>
      <c r="AI47" s="217"/>
      <c r="AJ47" s="218"/>
      <c r="AK47" s="217"/>
      <c r="AL47" s="218"/>
      <c r="AM47" s="217"/>
      <c r="AN47" s="218"/>
      <c r="AO47" s="217"/>
      <c r="AP47" s="218"/>
      <c r="AQ47" s="217"/>
      <c r="AR47" s="218"/>
      <c r="AS47" s="217"/>
      <c r="AT47" s="218"/>
      <c r="AU47" s="218"/>
      <c r="AV47" s="217"/>
      <c r="AW47" s="218"/>
      <c r="AX47" s="218"/>
      <c r="AY47" s="217"/>
      <c r="AZ47" s="218"/>
      <c r="BA47" s="217"/>
      <c r="BB47" s="218"/>
      <c r="BC47" s="217"/>
      <c r="BD47" s="218"/>
      <c r="BE47" s="217"/>
      <c r="BF47" s="218"/>
      <c r="BG47" s="218"/>
      <c r="BH47" s="218"/>
      <c r="BI47" s="218"/>
      <c r="BJ47" s="218"/>
      <c r="BK47" s="220"/>
      <c r="BN47" s="203"/>
      <c r="BO47" s="203"/>
    </row>
    <row r="48" spans="1:67" ht="12" customHeight="1">
      <c r="A48" s="221"/>
      <c r="B48" s="219"/>
      <c r="C48" s="217"/>
      <c r="D48" s="218"/>
      <c r="E48" s="218"/>
      <c r="F48" s="218"/>
      <c r="G48" s="217"/>
      <c r="H48" s="217"/>
      <c r="I48" s="218"/>
      <c r="J48" s="218"/>
      <c r="K48" s="217"/>
      <c r="L48" s="218"/>
      <c r="M48" s="217"/>
      <c r="N48" s="218"/>
      <c r="O48" s="217"/>
      <c r="P48" s="218"/>
      <c r="Q48" s="217"/>
      <c r="R48" s="218"/>
      <c r="S48" s="217"/>
      <c r="T48" s="218"/>
      <c r="U48" s="217"/>
      <c r="V48" s="218"/>
      <c r="W48" s="217"/>
      <c r="X48" s="218"/>
      <c r="Y48" s="217"/>
      <c r="Z48" s="218"/>
      <c r="AA48" s="217"/>
      <c r="AB48" s="218"/>
      <c r="AC48" s="217"/>
      <c r="AD48" s="218"/>
      <c r="AE48" s="217"/>
      <c r="AF48" s="218"/>
      <c r="AG48" s="217"/>
      <c r="AH48" s="218"/>
      <c r="AI48" s="217"/>
      <c r="AJ48" s="218"/>
      <c r="AK48" s="217"/>
      <c r="AL48" s="218"/>
      <c r="AM48" s="217"/>
      <c r="AN48" s="218"/>
      <c r="AO48" s="217"/>
      <c r="AP48" s="218"/>
      <c r="AQ48" s="217"/>
      <c r="AR48" s="218"/>
      <c r="AS48" s="217"/>
      <c r="AT48" s="218"/>
      <c r="AU48" s="218"/>
      <c r="AV48" s="217"/>
      <c r="AW48" s="218"/>
      <c r="AX48" s="218"/>
      <c r="AY48" s="217"/>
      <c r="AZ48" s="218"/>
      <c r="BA48" s="217"/>
      <c r="BB48" s="218"/>
      <c r="BC48" s="217"/>
      <c r="BD48" s="218"/>
      <c r="BE48" s="217"/>
      <c r="BF48" s="218"/>
      <c r="BG48" s="218"/>
      <c r="BH48" s="218"/>
      <c r="BI48" s="218"/>
      <c r="BJ48" s="218"/>
      <c r="BK48" s="220"/>
      <c r="BN48" s="203"/>
      <c r="BO48" s="203"/>
    </row>
    <row r="49" spans="1:67" ht="12" customHeight="1">
      <c r="A49" s="221"/>
      <c r="B49" s="219"/>
      <c r="C49" s="217"/>
      <c r="D49" s="218"/>
      <c r="E49" s="218"/>
      <c r="F49" s="218"/>
      <c r="G49" s="217"/>
      <c r="H49" s="217"/>
      <c r="I49" s="218"/>
      <c r="J49" s="218"/>
      <c r="K49" s="217"/>
      <c r="L49" s="218"/>
      <c r="M49" s="217"/>
      <c r="N49" s="218"/>
      <c r="O49" s="217"/>
      <c r="P49" s="218"/>
      <c r="Q49" s="217"/>
      <c r="R49" s="218"/>
      <c r="S49" s="217"/>
      <c r="T49" s="218"/>
      <c r="U49" s="217"/>
      <c r="V49" s="218"/>
      <c r="W49" s="217"/>
      <c r="X49" s="218"/>
      <c r="Y49" s="217"/>
      <c r="Z49" s="218"/>
      <c r="AA49" s="217"/>
      <c r="AB49" s="218"/>
      <c r="AC49" s="217"/>
      <c r="AD49" s="218"/>
      <c r="AE49" s="217"/>
      <c r="AF49" s="218"/>
      <c r="AG49" s="217"/>
      <c r="AH49" s="218"/>
      <c r="AI49" s="217"/>
      <c r="AJ49" s="218"/>
      <c r="AK49" s="217"/>
      <c r="AL49" s="218"/>
      <c r="AM49" s="217"/>
      <c r="AN49" s="218"/>
      <c r="AO49" s="217"/>
      <c r="AP49" s="218"/>
      <c r="AQ49" s="217"/>
      <c r="AR49" s="218"/>
      <c r="AS49" s="217"/>
      <c r="AT49" s="218"/>
      <c r="AU49" s="218"/>
      <c r="AV49" s="217"/>
      <c r="AW49" s="218"/>
      <c r="AX49" s="218"/>
      <c r="AY49" s="217"/>
      <c r="AZ49" s="218"/>
      <c r="BA49" s="217"/>
      <c r="BB49" s="218"/>
      <c r="BC49" s="217"/>
      <c r="BD49" s="218"/>
      <c r="BE49" s="217"/>
      <c r="BF49" s="218"/>
      <c r="BG49" s="218"/>
      <c r="BH49" s="218"/>
      <c r="BI49" s="218"/>
      <c r="BJ49" s="218"/>
      <c r="BK49" s="220"/>
      <c r="BN49" s="203"/>
      <c r="BO49" s="203"/>
    </row>
    <row r="50" spans="1:67" ht="12" customHeight="1">
      <c r="A50" s="221"/>
      <c r="B50" s="219"/>
      <c r="C50" s="217"/>
      <c r="D50" s="218"/>
      <c r="E50" s="218"/>
      <c r="F50" s="218"/>
      <c r="G50" s="217"/>
      <c r="H50" s="217"/>
      <c r="I50" s="218"/>
      <c r="J50" s="218"/>
      <c r="K50" s="217"/>
      <c r="L50" s="218"/>
      <c r="M50" s="217"/>
      <c r="N50" s="218"/>
      <c r="O50" s="217"/>
      <c r="P50" s="218"/>
      <c r="Q50" s="217"/>
      <c r="R50" s="218"/>
      <c r="S50" s="217"/>
      <c r="T50" s="218"/>
      <c r="U50" s="217"/>
      <c r="V50" s="218"/>
      <c r="W50" s="217"/>
      <c r="X50" s="218"/>
      <c r="Y50" s="217"/>
      <c r="Z50" s="218"/>
      <c r="AA50" s="217"/>
      <c r="AB50" s="218"/>
      <c r="AC50" s="217"/>
      <c r="AD50" s="218"/>
      <c r="AE50" s="217"/>
      <c r="AF50" s="218"/>
      <c r="AG50" s="217"/>
      <c r="AH50" s="218"/>
      <c r="AI50" s="217"/>
      <c r="AJ50" s="218"/>
      <c r="AK50" s="217"/>
      <c r="AL50" s="218"/>
      <c r="AM50" s="217"/>
      <c r="AN50" s="218"/>
      <c r="AO50" s="217"/>
      <c r="AP50" s="218"/>
      <c r="AQ50" s="217"/>
      <c r="AR50" s="218"/>
      <c r="AS50" s="217"/>
      <c r="AT50" s="218"/>
      <c r="AU50" s="218"/>
      <c r="AV50" s="217"/>
      <c r="AW50" s="218"/>
      <c r="AX50" s="218"/>
      <c r="AY50" s="217"/>
      <c r="AZ50" s="218"/>
      <c r="BA50" s="217"/>
      <c r="BB50" s="218"/>
      <c r="BC50" s="217"/>
      <c r="BD50" s="218"/>
      <c r="BE50" s="217"/>
      <c r="BF50" s="218"/>
      <c r="BG50" s="218"/>
      <c r="BH50" s="218"/>
      <c r="BI50" s="218"/>
      <c r="BJ50" s="218"/>
      <c r="BK50" s="220"/>
      <c r="BN50" s="203"/>
      <c r="BO50" s="203"/>
    </row>
    <row r="51" spans="1:67" ht="12" customHeight="1">
      <c r="A51" s="221"/>
      <c r="B51" s="219"/>
      <c r="C51" s="217"/>
      <c r="D51" s="218"/>
      <c r="E51" s="218"/>
      <c r="F51" s="218"/>
      <c r="G51" s="217"/>
      <c r="H51" s="217"/>
      <c r="I51" s="218"/>
      <c r="J51" s="218"/>
      <c r="K51" s="217"/>
      <c r="L51" s="218"/>
      <c r="M51" s="217"/>
      <c r="N51" s="218"/>
      <c r="O51" s="217"/>
      <c r="P51" s="218"/>
      <c r="Q51" s="217"/>
      <c r="R51" s="218"/>
      <c r="S51" s="217"/>
      <c r="T51" s="218"/>
      <c r="U51" s="217"/>
      <c r="V51" s="218"/>
      <c r="W51" s="217"/>
      <c r="X51" s="218"/>
      <c r="Y51" s="217"/>
      <c r="Z51" s="218"/>
      <c r="AA51" s="217"/>
      <c r="AB51" s="218"/>
      <c r="AC51" s="217"/>
      <c r="AD51" s="218"/>
      <c r="AE51" s="217"/>
      <c r="AF51" s="218"/>
      <c r="AG51" s="217"/>
      <c r="AH51" s="218"/>
      <c r="AI51" s="217"/>
      <c r="AJ51" s="218"/>
      <c r="AK51" s="217"/>
      <c r="AL51" s="218"/>
      <c r="AM51" s="217"/>
      <c r="AN51" s="218"/>
      <c r="AO51" s="217"/>
      <c r="AP51" s="218"/>
      <c r="AQ51" s="217"/>
      <c r="AR51" s="218"/>
      <c r="AS51" s="217"/>
      <c r="AT51" s="218"/>
      <c r="AU51" s="218"/>
      <c r="AV51" s="217"/>
      <c r="AW51" s="218"/>
      <c r="AX51" s="218"/>
      <c r="AY51" s="217"/>
      <c r="AZ51" s="218"/>
      <c r="BA51" s="217"/>
      <c r="BB51" s="218"/>
      <c r="BC51" s="217"/>
      <c r="BD51" s="218"/>
      <c r="BE51" s="217"/>
      <c r="BF51" s="218"/>
      <c r="BG51" s="218"/>
      <c r="BH51" s="218"/>
      <c r="BI51" s="218"/>
      <c r="BJ51" s="218"/>
      <c r="BK51" s="220"/>
      <c r="BN51" s="203"/>
      <c r="BO51" s="203"/>
    </row>
    <row r="52" spans="1:67" ht="12" customHeight="1" thickBot="1">
      <c r="A52" s="496"/>
      <c r="B52" s="497"/>
      <c r="C52" s="213"/>
      <c r="D52" s="498"/>
      <c r="E52" s="498"/>
      <c r="F52" s="498"/>
      <c r="G52" s="213"/>
      <c r="H52" s="213"/>
      <c r="I52" s="498"/>
      <c r="J52" s="498"/>
      <c r="K52" s="213"/>
      <c r="L52" s="498"/>
      <c r="M52" s="213"/>
      <c r="N52" s="498"/>
      <c r="O52" s="213"/>
      <c r="P52" s="498"/>
      <c r="Q52" s="213"/>
      <c r="R52" s="498"/>
      <c r="S52" s="213"/>
      <c r="T52" s="498"/>
      <c r="U52" s="213"/>
      <c r="V52" s="498"/>
      <c r="W52" s="213"/>
      <c r="X52" s="498"/>
      <c r="Y52" s="213"/>
      <c r="Z52" s="498"/>
      <c r="AA52" s="213"/>
      <c r="AB52" s="498"/>
      <c r="AC52" s="213"/>
      <c r="AD52" s="498"/>
      <c r="AE52" s="213"/>
      <c r="AF52" s="498"/>
      <c r="AG52" s="213"/>
      <c r="AH52" s="498"/>
      <c r="AI52" s="213"/>
      <c r="AJ52" s="498"/>
      <c r="AK52" s="213"/>
      <c r="AL52" s="498"/>
      <c r="AM52" s="213"/>
      <c r="AN52" s="498"/>
      <c r="AO52" s="213"/>
      <c r="AP52" s="498"/>
      <c r="AQ52" s="213"/>
      <c r="AR52" s="498"/>
      <c r="AS52" s="213"/>
      <c r="AT52" s="498"/>
      <c r="AU52" s="498"/>
      <c r="AV52" s="213"/>
      <c r="AW52" s="498"/>
      <c r="AX52" s="498"/>
      <c r="AY52" s="213"/>
      <c r="AZ52" s="498"/>
      <c r="BA52" s="213"/>
      <c r="BB52" s="498"/>
      <c r="BC52" s="213"/>
      <c r="BD52" s="498"/>
      <c r="BE52" s="213"/>
      <c r="BF52" s="498"/>
      <c r="BG52" s="498"/>
      <c r="BH52" s="498"/>
      <c r="BI52" s="498"/>
      <c r="BJ52" s="498"/>
      <c r="BK52" s="499"/>
      <c r="BN52" s="203"/>
      <c r="BO52" s="203"/>
    </row>
    <row r="53" spans="1:67" ht="12" customHeight="1">
      <c r="A53" s="221"/>
      <c r="B53" s="219"/>
      <c r="C53" s="217"/>
      <c r="D53" s="218"/>
      <c r="E53" s="218"/>
      <c r="F53" s="218"/>
      <c r="G53" s="217"/>
      <c r="H53" s="217"/>
      <c r="I53" s="218"/>
      <c r="J53" s="218"/>
      <c r="K53" s="217"/>
      <c r="L53" s="218"/>
      <c r="M53" s="217"/>
      <c r="N53" s="218"/>
      <c r="O53" s="217"/>
      <c r="P53" s="218"/>
      <c r="Q53" s="217"/>
      <c r="R53" s="218"/>
      <c r="S53" s="217"/>
      <c r="T53" s="218"/>
      <c r="U53" s="217"/>
      <c r="V53" s="218"/>
      <c r="W53" s="217"/>
      <c r="X53" s="218"/>
      <c r="Y53" s="217"/>
      <c r="Z53" s="218"/>
      <c r="AA53" s="217"/>
      <c r="AB53" s="218"/>
      <c r="AC53" s="217"/>
      <c r="AD53" s="218"/>
      <c r="AE53" s="217"/>
      <c r="AF53" s="218"/>
      <c r="AG53" s="217"/>
      <c r="AH53" s="218"/>
      <c r="AI53" s="217"/>
      <c r="AJ53" s="218"/>
      <c r="AK53" s="217"/>
      <c r="AL53" s="218"/>
      <c r="AM53" s="217"/>
      <c r="AN53" s="218"/>
      <c r="AO53" s="217"/>
      <c r="AP53" s="218"/>
      <c r="AQ53" s="217"/>
      <c r="AR53" s="218"/>
      <c r="AS53" s="217"/>
      <c r="AT53" s="218"/>
      <c r="AU53" s="218"/>
      <c r="AV53" s="217"/>
      <c r="AW53" s="218"/>
      <c r="AX53" s="218"/>
      <c r="AY53" s="217"/>
      <c r="AZ53" s="218"/>
      <c r="BA53" s="217"/>
      <c r="BB53" s="218"/>
      <c r="BC53" s="217"/>
      <c r="BD53" s="218"/>
      <c r="BE53" s="217"/>
      <c r="BF53" s="218"/>
      <c r="BG53" s="218"/>
      <c r="BH53" s="218"/>
      <c r="BI53" s="218"/>
      <c r="BJ53" s="218"/>
      <c r="BK53" s="220"/>
      <c r="BN53" s="203"/>
      <c r="BO53" s="203"/>
    </row>
    <row r="54" spans="1:67" ht="12" customHeight="1">
      <c r="A54" s="221"/>
      <c r="B54" s="219"/>
      <c r="C54" s="217"/>
      <c r="D54" s="218"/>
      <c r="E54" s="218"/>
      <c r="F54" s="218"/>
      <c r="G54" s="217"/>
      <c r="H54" s="217"/>
      <c r="I54" s="218"/>
      <c r="J54" s="218"/>
      <c r="K54" s="217"/>
      <c r="L54" s="218"/>
      <c r="M54" s="217"/>
      <c r="N54" s="218"/>
      <c r="O54" s="217"/>
      <c r="P54" s="218"/>
      <c r="Q54" s="217"/>
      <c r="R54" s="218"/>
      <c r="S54" s="217"/>
      <c r="T54" s="218"/>
      <c r="U54" s="217"/>
      <c r="V54" s="218"/>
      <c r="W54" s="217"/>
      <c r="X54" s="218"/>
      <c r="Y54" s="217"/>
      <c r="Z54" s="218"/>
      <c r="AA54" s="217"/>
      <c r="AB54" s="218"/>
      <c r="AC54" s="217"/>
      <c r="AD54" s="218"/>
      <c r="AE54" s="217"/>
      <c r="AF54" s="218"/>
      <c r="AG54" s="217"/>
      <c r="AH54" s="218"/>
      <c r="AI54" s="217"/>
      <c r="AJ54" s="218"/>
      <c r="AK54" s="217"/>
      <c r="AL54" s="218"/>
      <c r="AM54" s="217"/>
      <c r="AN54" s="218"/>
      <c r="AO54" s="217"/>
      <c r="AP54" s="218"/>
      <c r="AQ54" s="217"/>
      <c r="AR54" s="218"/>
      <c r="AS54" s="217"/>
      <c r="AT54" s="218"/>
      <c r="AU54" s="218"/>
      <c r="AV54" s="217"/>
      <c r="AW54" s="218"/>
      <c r="AX54" s="218"/>
      <c r="AY54" s="217"/>
      <c r="AZ54" s="218"/>
      <c r="BA54" s="217"/>
      <c r="BB54" s="218"/>
      <c r="BC54" s="217"/>
      <c r="BD54" s="218"/>
      <c r="BE54" s="217"/>
      <c r="BF54" s="218"/>
      <c r="BG54" s="218"/>
      <c r="BH54" s="218"/>
      <c r="BI54" s="218"/>
      <c r="BJ54" s="218"/>
      <c r="BK54" s="220"/>
      <c r="BN54" s="203"/>
      <c r="BO54" s="203"/>
    </row>
    <row r="55" spans="1:67" ht="12" customHeight="1">
      <c r="A55" s="221"/>
      <c r="B55" s="219"/>
      <c r="C55" s="217"/>
      <c r="D55" s="218"/>
      <c r="E55" s="218"/>
      <c r="F55" s="218"/>
      <c r="G55" s="217"/>
      <c r="H55" s="217"/>
      <c r="I55" s="218"/>
      <c r="J55" s="218"/>
      <c r="K55" s="217"/>
      <c r="L55" s="218"/>
      <c r="M55" s="217"/>
      <c r="N55" s="218"/>
      <c r="O55" s="217"/>
      <c r="P55" s="218"/>
      <c r="Q55" s="217"/>
      <c r="R55" s="218"/>
      <c r="S55" s="217"/>
      <c r="T55" s="218"/>
      <c r="U55" s="217"/>
      <c r="V55" s="218"/>
      <c r="W55" s="217"/>
      <c r="X55" s="218"/>
      <c r="Y55" s="217"/>
      <c r="Z55" s="218"/>
      <c r="AA55" s="217"/>
      <c r="AB55" s="218"/>
      <c r="AC55" s="217"/>
      <c r="AD55" s="218"/>
      <c r="AE55" s="217"/>
      <c r="AF55" s="218"/>
      <c r="AG55" s="217"/>
      <c r="AH55" s="218"/>
      <c r="AI55" s="217"/>
      <c r="AJ55" s="218"/>
      <c r="AK55" s="217"/>
      <c r="AL55" s="218"/>
      <c r="AM55" s="217"/>
      <c r="AN55" s="218"/>
      <c r="AO55" s="217"/>
      <c r="AP55" s="218"/>
      <c r="AQ55" s="217"/>
      <c r="AR55" s="218"/>
      <c r="AS55" s="217"/>
      <c r="AT55" s="218"/>
      <c r="AU55" s="218"/>
      <c r="AV55" s="217"/>
      <c r="AW55" s="218"/>
      <c r="AX55" s="218"/>
      <c r="AY55" s="217"/>
      <c r="AZ55" s="218"/>
      <c r="BA55" s="217"/>
      <c r="BB55" s="218"/>
      <c r="BC55" s="217"/>
      <c r="BD55" s="218"/>
      <c r="BE55" s="217"/>
      <c r="BF55" s="218"/>
      <c r="BG55" s="218"/>
      <c r="BH55" s="218"/>
      <c r="BI55" s="218"/>
      <c r="BJ55" s="218"/>
      <c r="BK55" s="220"/>
      <c r="BN55" s="203"/>
      <c r="BO55" s="203"/>
    </row>
    <row r="56" spans="1:67" ht="12" customHeight="1">
      <c r="A56" s="221"/>
      <c r="B56" s="219"/>
      <c r="C56" s="217"/>
      <c r="D56" s="218"/>
      <c r="E56" s="218"/>
      <c r="F56" s="218"/>
      <c r="G56" s="217"/>
      <c r="H56" s="217"/>
      <c r="I56" s="218"/>
      <c r="J56" s="218"/>
      <c r="K56" s="217"/>
      <c r="L56" s="218"/>
      <c r="M56" s="217"/>
      <c r="N56" s="218"/>
      <c r="O56" s="217"/>
      <c r="P56" s="218"/>
      <c r="Q56" s="217"/>
      <c r="R56" s="218"/>
      <c r="S56" s="217"/>
      <c r="T56" s="218"/>
      <c r="U56" s="217"/>
      <c r="V56" s="218"/>
      <c r="W56" s="217"/>
      <c r="X56" s="218"/>
      <c r="Y56" s="217"/>
      <c r="Z56" s="218"/>
      <c r="AA56" s="217"/>
      <c r="AB56" s="218"/>
      <c r="AC56" s="217"/>
      <c r="AD56" s="218"/>
      <c r="AE56" s="217"/>
      <c r="AF56" s="218"/>
      <c r="AG56" s="217"/>
      <c r="AH56" s="218"/>
      <c r="AI56" s="217"/>
      <c r="AJ56" s="218"/>
      <c r="AK56" s="217"/>
      <c r="AL56" s="218"/>
      <c r="AM56" s="217"/>
      <c r="AN56" s="218"/>
      <c r="AO56" s="217"/>
      <c r="AP56" s="218"/>
      <c r="AQ56" s="217"/>
      <c r="AR56" s="218"/>
      <c r="AS56" s="217"/>
      <c r="AT56" s="218"/>
      <c r="AU56" s="218"/>
      <c r="AV56" s="217"/>
      <c r="AW56" s="218"/>
      <c r="AX56" s="218"/>
      <c r="AY56" s="217"/>
      <c r="AZ56" s="218"/>
      <c r="BA56" s="217"/>
      <c r="BB56" s="218"/>
      <c r="BC56" s="217"/>
      <c r="BD56" s="218"/>
      <c r="BE56" s="217"/>
      <c r="BF56" s="218"/>
      <c r="BG56" s="218"/>
      <c r="BH56" s="218"/>
      <c r="BI56" s="218"/>
      <c r="BJ56" s="218"/>
      <c r="BK56" s="220"/>
      <c r="BN56" s="203"/>
      <c r="BO56" s="203"/>
    </row>
    <row r="57" spans="1:67" ht="12" customHeight="1">
      <c r="A57" s="221"/>
      <c r="B57" s="219"/>
      <c r="C57" s="217"/>
      <c r="D57" s="218"/>
      <c r="E57" s="218"/>
      <c r="F57" s="218"/>
      <c r="G57" s="217"/>
      <c r="H57" s="217"/>
      <c r="I57" s="218"/>
      <c r="J57" s="218"/>
      <c r="K57" s="217"/>
      <c r="L57" s="218"/>
      <c r="M57" s="217"/>
      <c r="N57" s="218"/>
      <c r="O57" s="217"/>
      <c r="P57" s="218"/>
      <c r="Q57" s="217"/>
      <c r="R57" s="218"/>
      <c r="S57" s="217"/>
      <c r="T57" s="218"/>
      <c r="U57" s="217"/>
      <c r="V57" s="218"/>
      <c r="W57" s="217"/>
      <c r="X57" s="218"/>
      <c r="Y57" s="217"/>
      <c r="Z57" s="218"/>
      <c r="AA57" s="217"/>
      <c r="AB57" s="218"/>
      <c r="AC57" s="217"/>
      <c r="AD57" s="218"/>
      <c r="AE57" s="217"/>
      <c r="AF57" s="218"/>
      <c r="AG57" s="217"/>
      <c r="AH57" s="218"/>
      <c r="AI57" s="217"/>
      <c r="AJ57" s="218"/>
      <c r="AK57" s="217"/>
      <c r="AL57" s="218"/>
      <c r="AM57" s="217"/>
      <c r="AN57" s="218"/>
      <c r="AO57" s="217"/>
      <c r="AP57" s="218"/>
      <c r="AQ57" s="217"/>
      <c r="AR57" s="218"/>
      <c r="AS57" s="217"/>
      <c r="AT57" s="218"/>
      <c r="AU57" s="218"/>
      <c r="AV57" s="217"/>
      <c r="AW57" s="218"/>
      <c r="AX57" s="218"/>
      <c r="AY57" s="217"/>
      <c r="AZ57" s="218"/>
      <c r="BA57" s="217"/>
      <c r="BB57" s="218"/>
      <c r="BC57" s="217"/>
      <c r="BD57" s="218"/>
      <c r="BE57" s="217"/>
      <c r="BF57" s="218"/>
      <c r="BG57" s="218"/>
      <c r="BH57" s="218"/>
      <c r="BI57" s="218"/>
      <c r="BJ57" s="218"/>
      <c r="BK57" s="220"/>
      <c r="BN57" s="203"/>
      <c r="BO57" s="203"/>
    </row>
    <row r="58" spans="1:67" ht="12" customHeight="1">
      <c r="A58" s="221"/>
      <c r="B58" s="219"/>
      <c r="C58" s="217"/>
      <c r="D58" s="218"/>
      <c r="E58" s="218"/>
      <c r="F58" s="218"/>
      <c r="G58" s="217"/>
      <c r="H58" s="217"/>
      <c r="I58" s="218"/>
      <c r="J58" s="218"/>
      <c r="K58" s="217"/>
      <c r="L58" s="218"/>
      <c r="M58" s="217"/>
      <c r="N58" s="218"/>
      <c r="O58" s="217"/>
      <c r="P58" s="218"/>
      <c r="Q58" s="217"/>
      <c r="R58" s="218"/>
      <c r="S58" s="217"/>
      <c r="T58" s="218"/>
      <c r="U58" s="217"/>
      <c r="V58" s="218"/>
      <c r="W58" s="217"/>
      <c r="X58" s="218"/>
      <c r="Y58" s="217"/>
      <c r="Z58" s="218"/>
      <c r="AA58" s="217"/>
      <c r="AB58" s="218"/>
      <c r="AC58" s="217"/>
      <c r="AD58" s="218"/>
      <c r="AE58" s="217"/>
      <c r="AF58" s="218"/>
      <c r="AG58" s="217"/>
      <c r="AH58" s="218"/>
      <c r="AI58" s="217"/>
      <c r="AJ58" s="218"/>
      <c r="AK58" s="217"/>
      <c r="AL58" s="218"/>
      <c r="AM58" s="217"/>
      <c r="AN58" s="218"/>
      <c r="AO58" s="217"/>
      <c r="AP58" s="218"/>
      <c r="AQ58" s="217"/>
      <c r="AR58" s="218"/>
      <c r="AS58" s="217"/>
      <c r="AT58" s="218"/>
      <c r="AU58" s="218"/>
      <c r="AV58" s="217"/>
      <c r="AW58" s="218"/>
      <c r="AX58" s="218"/>
      <c r="AY58" s="217"/>
      <c r="AZ58" s="218"/>
      <c r="BA58" s="217"/>
      <c r="BB58" s="218"/>
      <c r="BC58" s="217"/>
      <c r="BD58" s="218"/>
      <c r="BE58" s="217"/>
      <c r="BF58" s="218"/>
      <c r="BG58" s="218"/>
      <c r="BH58" s="218"/>
      <c r="BI58" s="218"/>
      <c r="BJ58" s="218"/>
      <c r="BK58" s="220"/>
      <c r="BN58" s="203"/>
      <c r="BO58" s="203"/>
    </row>
    <row r="59" spans="1:67" ht="12" customHeight="1" thickBot="1">
      <c r="A59" s="496"/>
      <c r="B59" s="497"/>
      <c r="C59" s="213"/>
      <c r="D59" s="498"/>
      <c r="E59" s="498"/>
      <c r="F59" s="498"/>
      <c r="G59" s="213"/>
      <c r="H59" s="213"/>
      <c r="I59" s="498"/>
      <c r="J59" s="498"/>
      <c r="K59" s="213"/>
      <c r="L59" s="498"/>
      <c r="M59" s="213"/>
      <c r="N59" s="498"/>
      <c r="O59" s="213"/>
      <c r="P59" s="498"/>
      <c r="Q59" s="213"/>
      <c r="R59" s="498"/>
      <c r="S59" s="213"/>
      <c r="T59" s="498"/>
      <c r="U59" s="213"/>
      <c r="V59" s="498"/>
      <c r="W59" s="213"/>
      <c r="X59" s="498"/>
      <c r="Y59" s="213"/>
      <c r="Z59" s="498"/>
      <c r="AA59" s="213"/>
      <c r="AB59" s="498"/>
      <c r="AC59" s="213"/>
      <c r="AD59" s="498"/>
      <c r="AE59" s="213"/>
      <c r="AF59" s="498"/>
      <c r="AG59" s="213"/>
      <c r="AH59" s="498"/>
      <c r="AI59" s="213"/>
      <c r="AJ59" s="498"/>
      <c r="AK59" s="213"/>
      <c r="AL59" s="498"/>
      <c r="AM59" s="213"/>
      <c r="AN59" s="498"/>
      <c r="AO59" s="213"/>
      <c r="AP59" s="498"/>
      <c r="AQ59" s="213"/>
      <c r="AR59" s="498"/>
      <c r="AS59" s="213"/>
      <c r="AT59" s="498"/>
      <c r="AU59" s="498"/>
      <c r="AV59" s="213"/>
      <c r="AW59" s="498"/>
      <c r="AX59" s="498"/>
      <c r="AY59" s="213"/>
      <c r="AZ59" s="498"/>
      <c r="BA59" s="213"/>
      <c r="BB59" s="498"/>
      <c r="BC59" s="213"/>
      <c r="BD59" s="498"/>
      <c r="BE59" s="213"/>
      <c r="BF59" s="498"/>
      <c r="BG59" s="498"/>
      <c r="BH59" s="498"/>
      <c r="BI59" s="498"/>
      <c r="BJ59" s="498"/>
      <c r="BK59" s="499"/>
      <c r="BN59" s="203"/>
      <c r="BO59" s="203"/>
    </row>
    <row r="60" spans="1:67" ht="12" customHeight="1">
      <c r="A60" s="221"/>
      <c r="B60" s="219"/>
      <c r="C60" s="217"/>
      <c r="D60" s="218"/>
      <c r="E60" s="218"/>
      <c r="F60" s="218"/>
      <c r="G60" s="217"/>
      <c r="H60" s="217"/>
      <c r="I60" s="218"/>
      <c r="J60" s="218"/>
      <c r="K60" s="217"/>
      <c r="L60" s="218"/>
      <c r="M60" s="217"/>
      <c r="N60" s="218"/>
      <c r="O60" s="217"/>
      <c r="P60" s="218"/>
      <c r="Q60" s="217"/>
      <c r="R60" s="218"/>
      <c r="S60" s="217"/>
      <c r="T60" s="218"/>
      <c r="U60" s="217"/>
      <c r="V60" s="218"/>
      <c r="W60" s="217"/>
      <c r="X60" s="218"/>
      <c r="Y60" s="217"/>
      <c r="Z60" s="218"/>
      <c r="AA60" s="217"/>
      <c r="AB60" s="218"/>
      <c r="AC60" s="217"/>
      <c r="AD60" s="218"/>
      <c r="AE60" s="217"/>
      <c r="AF60" s="218"/>
      <c r="AG60" s="217"/>
      <c r="AH60" s="218"/>
      <c r="AI60" s="217"/>
      <c r="AJ60" s="218"/>
      <c r="AK60" s="217"/>
      <c r="AL60" s="218"/>
      <c r="AM60" s="217"/>
      <c r="AN60" s="218"/>
      <c r="AO60" s="217"/>
      <c r="AP60" s="218"/>
      <c r="AQ60" s="217"/>
      <c r="AR60" s="218"/>
      <c r="AS60" s="217"/>
      <c r="AT60" s="218"/>
      <c r="AU60" s="218"/>
      <c r="AV60" s="217"/>
      <c r="AW60" s="218"/>
      <c r="AX60" s="218"/>
      <c r="AY60" s="217"/>
      <c r="AZ60" s="218"/>
      <c r="BA60" s="217"/>
      <c r="BB60" s="218"/>
      <c r="BC60" s="217"/>
      <c r="BD60" s="218"/>
      <c r="BE60" s="217"/>
      <c r="BF60" s="218"/>
      <c r="BG60" s="218"/>
      <c r="BH60" s="218"/>
      <c r="BI60" s="218"/>
      <c r="BJ60" s="218"/>
      <c r="BK60" s="220"/>
      <c r="BN60" s="203"/>
      <c r="BO60" s="203"/>
    </row>
    <row r="61" spans="1:67" ht="12" customHeight="1">
      <c r="A61" s="221"/>
      <c r="B61" s="219"/>
      <c r="C61" s="217"/>
      <c r="D61" s="218"/>
      <c r="E61" s="218"/>
      <c r="F61" s="218"/>
      <c r="G61" s="217"/>
      <c r="H61" s="217"/>
      <c r="I61" s="218"/>
      <c r="J61" s="218"/>
      <c r="K61" s="217"/>
      <c r="L61" s="218"/>
      <c r="M61" s="217"/>
      <c r="N61" s="218"/>
      <c r="O61" s="217"/>
      <c r="P61" s="218"/>
      <c r="Q61" s="217"/>
      <c r="R61" s="218"/>
      <c r="S61" s="217"/>
      <c r="T61" s="218"/>
      <c r="U61" s="217"/>
      <c r="V61" s="218"/>
      <c r="W61" s="217"/>
      <c r="X61" s="218"/>
      <c r="Y61" s="217"/>
      <c r="Z61" s="218"/>
      <c r="AA61" s="217"/>
      <c r="AB61" s="218"/>
      <c r="AC61" s="217"/>
      <c r="AD61" s="218"/>
      <c r="AE61" s="217"/>
      <c r="AF61" s="218"/>
      <c r="AG61" s="217"/>
      <c r="AH61" s="218"/>
      <c r="AI61" s="217"/>
      <c r="AJ61" s="218"/>
      <c r="AK61" s="217"/>
      <c r="AL61" s="218"/>
      <c r="AM61" s="217"/>
      <c r="AN61" s="218"/>
      <c r="AO61" s="217"/>
      <c r="AP61" s="218"/>
      <c r="AQ61" s="217"/>
      <c r="AR61" s="218"/>
      <c r="AS61" s="217"/>
      <c r="AT61" s="218"/>
      <c r="AU61" s="218"/>
      <c r="AV61" s="217"/>
      <c r="AW61" s="218"/>
      <c r="AX61" s="218"/>
      <c r="AY61" s="217"/>
      <c r="AZ61" s="218"/>
      <c r="BA61" s="217"/>
      <c r="BB61" s="218"/>
      <c r="BC61" s="217"/>
      <c r="BD61" s="218"/>
      <c r="BE61" s="217"/>
      <c r="BF61" s="218"/>
      <c r="BG61" s="218"/>
      <c r="BH61" s="218"/>
      <c r="BI61" s="218"/>
      <c r="BJ61" s="218"/>
      <c r="BK61" s="220"/>
      <c r="BN61" s="203"/>
      <c r="BO61" s="203"/>
    </row>
    <row r="62" spans="1:67" ht="12" customHeight="1">
      <c r="A62" s="221"/>
      <c r="B62" s="219"/>
      <c r="C62" s="217"/>
      <c r="D62" s="218"/>
      <c r="E62" s="218"/>
      <c r="F62" s="218"/>
      <c r="G62" s="217"/>
      <c r="H62" s="217"/>
      <c r="I62" s="218"/>
      <c r="J62" s="218"/>
      <c r="K62" s="217"/>
      <c r="L62" s="218"/>
      <c r="M62" s="217"/>
      <c r="N62" s="218"/>
      <c r="O62" s="217"/>
      <c r="P62" s="218"/>
      <c r="Q62" s="217"/>
      <c r="R62" s="218"/>
      <c r="S62" s="217"/>
      <c r="T62" s="218"/>
      <c r="U62" s="217"/>
      <c r="V62" s="218"/>
      <c r="W62" s="217"/>
      <c r="X62" s="218"/>
      <c r="Y62" s="217"/>
      <c r="Z62" s="218"/>
      <c r="AA62" s="217"/>
      <c r="AB62" s="218"/>
      <c r="AC62" s="217"/>
      <c r="AD62" s="218"/>
      <c r="AE62" s="217"/>
      <c r="AF62" s="218"/>
      <c r="AG62" s="217"/>
      <c r="AH62" s="218"/>
      <c r="AI62" s="217"/>
      <c r="AJ62" s="218"/>
      <c r="AK62" s="217"/>
      <c r="AL62" s="218"/>
      <c r="AM62" s="217"/>
      <c r="AN62" s="218"/>
      <c r="AO62" s="217"/>
      <c r="AP62" s="218"/>
      <c r="AQ62" s="217"/>
      <c r="AR62" s="218"/>
      <c r="AS62" s="217"/>
      <c r="AT62" s="218"/>
      <c r="AU62" s="218"/>
      <c r="AV62" s="217"/>
      <c r="AW62" s="218"/>
      <c r="AX62" s="218"/>
      <c r="AY62" s="217"/>
      <c r="AZ62" s="218"/>
      <c r="BA62" s="217"/>
      <c r="BB62" s="218"/>
      <c r="BC62" s="217"/>
      <c r="BD62" s="218"/>
      <c r="BE62" s="217"/>
      <c r="BF62" s="218"/>
      <c r="BG62" s="218"/>
      <c r="BH62" s="218"/>
      <c r="BI62" s="218"/>
      <c r="BJ62" s="218"/>
      <c r="BK62" s="220"/>
      <c r="BN62" s="203"/>
      <c r="BO62" s="203"/>
    </row>
    <row r="63" spans="1:67" ht="12" customHeight="1">
      <c r="A63" s="221"/>
      <c r="B63" s="219"/>
      <c r="C63" s="217"/>
      <c r="D63" s="218"/>
      <c r="E63" s="218"/>
      <c r="F63" s="218"/>
      <c r="G63" s="217"/>
      <c r="H63" s="217"/>
      <c r="I63" s="218"/>
      <c r="J63" s="218"/>
      <c r="K63" s="217"/>
      <c r="L63" s="218"/>
      <c r="M63" s="217"/>
      <c r="N63" s="218"/>
      <c r="O63" s="217"/>
      <c r="P63" s="218"/>
      <c r="Q63" s="217"/>
      <c r="R63" s="218"/>
      <c r="S63" s="217"/>
      <c r="T63" s="218"/>
      <c r="U63" s="217"/>
      <c r="V63" s="218"/>
      <c r="W63" s="217"/>
      <c r="X63" s="218"/>
      <c r="Y63" s="217"/>
      <c r="Z63" s="218"/>
      <c r="AA63" s="217"/>
      <c r="AB63" s="218"/>
      <c r="AC63" s="217"/>
      <c r="AD63" s="218"/>
      <c r="AE63" s="217"/>
      <c r="AF63" s="218"/>
      <c r="AG63" s="217"/>
      <c r="AH63" s="218"/>
      <c r="AI63" s="217"/>
      <c r="AJ63" s="218"/>
      <c r="AK63" s="217"/>
      <c r="AL63" s="218"/>
      <c r="AM63" s="217"/>
      <c r="AN63" s="218"/>
      <c r="AO63" s="217"/>
      <c r="AP63" s="218"/>
      <c r="AQ63" s="217"/>
      <c r="AR63" s="218"/>
      <c r="AS63" s="217"/>
      <c r="AT63" s="218"/>
      <c r="AU63" s="218"/>
      <c r="AV63" s="217"/>
      <c r="AW63" s="218"/>
      <c r="AX63" s="218"/>
      <c r="AY63" s="217"/>
      <c r="AZ63" s="218"/>
      <c r="BA63" s="217"/>
      <c r="BB63" s="218"/>
      <c r="BC63" s="217"/>
      <c r="BD63" s="218"/>
      <c r="BE63" s="217"/>
      <c r="BF63" s="218"/>
      <c r="BG63" s="218"/>
      <c r="BH63" s="218"/>
      <c r="BI63" s="218"/>
      <c r="BJ63" s="218"/>
      <c r="BK63" s="220"/>
      <c r="BN63" s="203"/>
      <c r="BO63" s="203"/>
    </row>
    <row r="64" spans="1:67" ht="12" customHeight="1">
      <c r="A64" s="221"/>
      <c r="B64" s="219"/>
      <c r="C64" s="217"/>
      <c r="D64" s="218"/>
      <c r="E64" s="218"/>
      <c r="F64" s="218"/>
      <c r="G64" s="217"/>
      <c r="H64" s="217"/>
      <c r="I64" s="218"/>
      <c r="J64" s="218"/>
      <c r="K64" s="217"/>
      <c r="L64" s="218"/>
      <c r="M64" s="217"/>
      <c r="N64" s="218"/>
      <c r="O64" s="217"/>
      <c r="P64" s="218"/>
      <c r="Q64" s="217"/>
      <c r="R64" s="218"/>
      <c r="S64" s="217"/>
      <c r="T64" s="218"/>
      <c r="U64" s="217"/>
      <c r="V64" s="218"/>
      <c r="W64" s="217"/>
      <c r="X64" s="218"/>
      <c r="Y64" s="217"/>
      <c r="Z64" s="218"/>
      <c r="AA64" s="217"/>
      <c r="AB64" s="218"/>
      <c r="AC64" s="217"/>
      <c r="AD64" s="218"/>
      <c r="AE64" s="217"/>
      <c r="AF64" s="218"/>
      <c r="AG64" s="217"/>
      <c r="AH64" s="218"/>
      <c r="AI64" s="217"/>
      <c r="AJ64" s="218"/>
      <c r="AK64" s="217"/>
      <c r="AL64" s="218"/>
      <c r="AM64" s="217"/>
      <c r="AN64" s="218"/>
      <c r="AO64" s="217"/>
      <c r="AP64" s="218"/>
      <c r="AQ64" s="217"/>
      <c r="AR64" s="218"/>
      <c r="AS64" s="217"/>
      <c r="AT64" s="218"/>
      <c r="AU64" s="218"/>
      <c r="AV64" s="217"/>
      <c r="AW64" s="218"/>
      <c r="AX64" s="218"/>
      <c r="AY64" s="217"/>
      <c r="AZ64" s="218"/>
      <c r="BA64" s="217"/>
      <c r="BB64" s="218"/>
      <c r="BC64" s="217"/>
      <c r="BD64" s="218"/>
      <c r="BE64" s="217"/>
      <c r="BF64" s="218"/>
      <c r="BG64" s="218"/>
      <c r="BH64" s="218"/>
      <c r="BI64" s="218"/>
      <c r="BJ64" s="218"/>
      <c r="BK64" s="220"/>
      <c r="BN64" s="203"/>
      <c r="BO64" s="203"/>
    </row>
    <row r="65" spans="1:67" ht="12" customHeight="1">
      <c r="A65" s="221"/>
      <c r="B65" s="219"/>
      <c r="C65" s="217"/>
      <c r="D65" s="218"/>
      <c r="E65" s="218"/>
      <c r="F65" s="218"/>
      <c r="G65" s="217"/>
      <c r="H65" s="217"/>
      <c r="I65" s="218"/>
      <c r="J65" s="218"/>
      <c r="K65" s="217"/>
      <c r="L65" s="218"/>
      <c r="M65" s="217"/>
      <c r="N65" s="218"/>
      <c r="O65" s="217"/>
      <c r="P65" s="218"/>
      <c r="Q65" s="217"/>
      <c r="R65" s="218"/>
      <c r="S65" s="217"/>
      <c r="T65" s="218"/>
      <c r="U65" s="217"/>
      <c r="V65" s="218"/>
      <c r="W65" s="217"/>
      <c r="X65" s="218"/>
      <c r="Y65" s="217"/>
      <c r="Z65" s="218"/>
      <c r="AA65" s="217"/>
      <c r="AB65" s="218"/>
      <c r="AC65" s="217"/>
      <c r="AD65" s="218"/>
      <c r="AE65" s="217"/>
      <c r="AF65" s="218"/>
      <c r="AG65" s="217"/>
      <c r="AH65" s="218"/>
      <c r="AI65" s="217"/>
      <c r="AJ65" s="218"/>
      <c r="AK65" s="217"/>
      <c r="AL65" s="218"/>
      <c r="AM65" s="217"/>
      <c r="AN65" s="218"/>
      <c r="AO65" s="217"/>
      <c r="AP65" s="218"/>
      <c r="AQ65" s="217"/>
      <c r="AR65" s="218"/>
      <c r="AS65" s="217"/>
      <c r="AT65" s="218"/>
      <c r="AU65" s="218"/>
      <c r="AV65" s="217"/>
      <c r="AW65" s="218"/>
      <c r="AX65" s="218"/>
      <c r="AY65" s="217"/>
      <c r="AZ65" s="218"/>
      <c r="BA65" s="217"/>
      <c r="BB65" s="218"/>
      <c r="BC65" s="217"/>
      <c r="BD65" s="218"/>
      <c r="BE65" s="217"/>
      <c r="BF65" s="218"/>
      <c r="BG65" s="218"/>
      <c r="BH65" s="218"/>
      <c r="BI65" s="218"/>
      <c r="BJ65" s="218"/>
      <c r="BK65" s="220"/>
      <c r="BN65" s="203"/>
      <c r="BO65" s="203"/>
    </row>
    <row r="66" spans="1:67" ht="12" customHeight="1" thickBot="1">
      <c r="A66" s="496"/>
      <c r="B66" s="497"/>
      <c r="C66" s="213"/>
      <c r="D66" s="498"/>
      <c r="E66" s="498"/>
      <c r="F66" s="498"/>
      <c r="G66" s="213"/>
      <c r="H66" s="213"/>
      <c r="I66" s="498"/>
      <c r="J66" s="498"/>
      <c r="K66" s="213"/>
      <c r="L66" s="498"/>
      <c r="M66" s="213"/>
      <c r="N66" s="498"/>
      <c r="O66" s="213"/>
      <c r="P66" s="498"/>
      <c r="Q66" s="213"/>
      <c r="R66" s="498"/>
      <c r="S66" s="213"/>
      <c r="T66" s="498"/>
      <c r="U66" s="213"/>
      <c r="V66" s="498"/>
      <c r="W66" s="213"/>
      <c r="X66" s="498"/>
      <c r="Y66" s="213"/>
      <c r="Z66" s="498"/>
      <c r="AA66" s="213"/>
      <c r="AB66" s="498"/>
      <c r="AC66" s="213"/>
      <c r="AD66" s="498"/>
      <c r="AE66" s="213"/>
      <c r="AF66" s="498"/>
      <c r="AG66" s="213"/>
      <c r="AH66" s="498"/>
      <c r="AI66" s="213"/>
      <c r="AJ66" s="498"/>
      <c r="AK66" s="213"/>
      <c r="AL66" s="498"/>
      <c r="AM66" s="213"/>
      <c r="AN66" s="498"/>
      <c r="AO66" s="213"/>
      <c r="AP66" s="498"/>
      <c r="AQ66" s="213"/>
      <c r="AR66" s="498"/>
      <c r="AS66" s="213"/>
      <c r="AT66" s="498"/>
      <c r="AU66" s="498"/>
      <c r="AV66" s="213"/>
      <c r="AW66" s="498"/>
      <c r="AX66" s="498"/>
      <c r="AY66" s="213"/>
      <c r="AZ66" s="498"/>
      <c r="BA66" s="213"/>
      <c r="BB66" s="498"/>
      <c r="BC66" s="213"/>
      <c r="BD66" s="498"/>
      <c r="BE66" s="213"/>
      <c r="BF66" s="498"/>
      <c r="BG66" s="498"/>
      <c r="BH66" s="498"/>
      <c r="BI66" s="498"/>
      <c r="BJ66" s="498"/>
      <c r="BK66" s="499"/>
      <c r="BN66" s="203"/>
      <c r="BO66" s="203"/>
    </row>
    <row r="67" spans="1:67" ht="12" customHeight="1">
      <c r="A67" s="221"/>
      <c r="B67" s="219"/>
      <c r="C67" s="217"/>
      <c r="D67" s="218"/>
      <c r="E67" s="218"/>
      <c r="F67" s="218"/>
      <c r="G67" s="217"/>
      <c r="H67" s="217"/>
      <c r="I67" s="218"/>
      <c r="J67" s="218"/>
      <c r="K67" s="217"/>
      <c r="L67" s="218"/>
      <c r="M67" s="217"/>
      <c r="N67" s="218"/>
      <c r="O67" s="217"/>
      <c r="P67" s="218"/>
      <c r="Q67" s="217"/>
      <c r="R67" s="218"/>
      <c r="S67" s="217"/>
      <c r="T67" s="218"/>
      <c r="U67" s="217"/>
      <c r="V67" s="218"/>
      <c r="W67" s="217"/>
      <c r="X67" s="218"/>
      <c r="Y67" s="217"/>
      <c r="Z67" s="218"/>
      <c r="AA67" s="217"/>
      <c r="AB67" s="218"/>
      <c r="AC67" s="217"/>
      <c r="AD67" s="218"/>
      <c r="AE67" s="217"/>
      <c r="AF67" s="218"/>
      <c r="AG67" s="217"/>
      <c r="AH67" s="218"/>
      <c r="AI67" s="217"/>
      <c r="AJ67" s="218"/>
      <c r="AK67" s="217"/>
      <c r="AL67" s="218"/>
      <c r="AM67" s="217"/>
      <c r="AN67" s="218"/>
      <c r="AO67" s="217"/>
      <c r="AP67" s="218"/>
      <c r="AQ67" s="217"/>
      <c r="AR67" s="218"/>
      <c r="AS67" s="217"/>
      <c r="AT67" s="218"/>
      <c r="AU67" s="218"/>
      <c r="AV67" s="217"/>
      <c r="AW67" s="218"/>
      <c r="AX67" s="218"/>
      <c r="AY67" s="217"/>
      <c r="AZ67" s="218"/>
      <c r="BA67" s="217"/>
      <c r="BB67" s="218"/>
      <c r="BC67" s="217"/>
      <c r="BD67" s="218"/>
      <c r="BE67" s="217"/>
      <c r="BF67" s="218"/>
      <c r="BG67" s="218"/>
      <c r="BH67" s="218"/>
      <c r="BI67" s="218"/>
      <c r="BJ67" s="218"/>
      <c r="BK67" s="220"/>
      <c r="BN67" s="203"/>
      <c r="BO67" s="203"/>
    </row>
    <row r="68" spans="1:67" ht="12" customHeight="1">
      <c r="A68" s="221"/>
      <c r="B68" s="219"/>
      <c r="C68" s="217"/>
      <c r="D68" s="218"/>
      <c r="E68" s="218"/>
      <c r="F68" s="218"/>
      <c r="G68" s="217"/>
      <c r="H68" s="217"/>
      <c r="I68" s="218"/>
      <c r="J68" s="218"/>
      <c r="K68" s="217"/>
      <c r="L68" s="218"/>
      <c r="M68" s="217"/>
      <c r="N68" s="218"/>
      <c r="O68" s="217"/>
      <c r="P68" s="218"/>
      <c r="Q68" s="217"/>
      <c r="R68" s="218"/>
      <c r="S68" s="217"/>
      <c r="T68" s="218"/>
      <c r="U68" s="217"/>
      <c r="V68" s="218"/>
      <c r="W68" s="217"/>
      <c r="X68" s="218"/>
      <c r="Y68" s="217"/>
      <c r="Z68" s="218"/>
      <c r="AA68" s="217"/>
      <c r="AB68" s="218"/>
      <c r="AC68" s="217"/>
      <c r="AD68" s="218"/>
      <c r="AE68" s="217"/>
      <c r="AF68" s="218"/>
      <c r="AG68" s="217"/>
      <c r="AH68" s="218"/>
      <c r="AI68" s="217"/>
      <c r="AJ68" s="218"/>
      <c r="AK68" s="217"/>
      <c r="AL68" s="218"/>
      <c r="AM68" s="217"/>
      <c r="AN68" s="218"/>
      <c r="AO68" s="217"/>
      <c r="AP68" s="218"/>
      <c r="AQ68" s="217"/>
      <c r="AR68" s="218"/>
      <c r="AS68" s="217"/>
      <c r="AT68" s="218"/>
      <c r="AU68" s="218"/>
      <c r="AV68" s="217"/>
      <c r="AW68" s="218"/>
      <c r="AX68" s="218"/>
      <c r="AY68" s="217"/>
      <c r="AZ68" s="218"/>
      <c r="BA68" s="217"/>
      <c r="BB68" s="218"/>
      <c r="BC68" s="217"/>
      <c r="BD68" s="218"/>
      <c r="BE68" s="217"/>
      <c r="BF68" s="218"/>
      <c r="BG68" s="218"/>
      <c r="BH68" s="218"/>
      <c r="BI68" s="218"/>
      <c r="BJ68" s="218"/>
      <c r="BK68" s="220"/>
      <c r="BN68" s="203"/>
      <c r="BO68" s="203"/>
    </row>
    <row r="69" spans="1:67" ht="12" customHeight="1">
      <c r="A69" s="221"/>
      <c r="B69" s="219"/>
      <c r="C69" s="217"/>
      <c r="D69" s="218"/>
      <c r="E69" s="218"/>
      <c r="F69" s="218"/>
      <c r="G69" s="217"/>
      <c r="H69" s="217"/>
      <c r="I69" s="218"/>
      <c r="J69" s="218"/>
      <c r="K69" s="217"/>
      <c r="L69" s="218"/>
      <c r="M69" s="217"/>
      <c r="N69" s="218"/>
      <c r="O69" s="217"/>
      <c r="P69" s="218"/>
      <c r="Q69" s="217"/>
      <c r="R69" s="218"/>
      <c r="S69" s="217"/>
      <c r="T69" s="218"/>
      <c r="U69" s="217"/>
      <c r="V69" s="218"/>
      <c r="W69" s="217"/>
      <c r="X69" s="218"/>
      <c r="Y69" s="217"/>
      <c r="Z69" s="218"/>
      <c r="AA69" s="217"/>
      <c r="AB69" s="218"/>
      <c r="AC69" s="217"/>
      <c r="AD69" s="218"/>
      <c r="AE69" s="217"/>
      <c r="AF69" s="218"/>
      <c r="AG69" s="217"/>
      <c r="AH69" s="218"/>
      <c r="AI69" s="217"/>
      <c r="AJ69" s="218"/>
      <c r="AK69" s="217"/>
      <c r="AL69" s="218"/>
      <c r="AM69" s="217"/>
      <c r="AN69" s="218"/>
      <c r="AO69" s="217"/>
      <c r="AP69" s="218"/>
      <c r="AQ69" s="217"/>
      <c r="AR69" s="218"/>
      <c r="AS69" s="217"/>
      <c r="AT69" s="218"/>
      <c r="AU69" s="218"/>
      <c r="AV69" s="217"/>
      <c r="AW69" s="218"/>
      <c r="AX69" s="218"/>
      <c r="AY69" s="217"/>
      <c r="AZ69" s="218"/>
      <c r="BA69" s="217"/>
      <c r="BB69" s="218"/>
      <c r="BC69" s="217"/>
      <c r="BD69" s="218"/>
      <c r="BE69" s="217"/>
      <c r="BF69" s="218"/>
      <c r="BG69" s="218"/>
      <c r="BH69" s="218"/>
      <c r="BI69" s="218"/>
      <c r="BJ69" s="218"/>
      <c r="BK69" s="220"/>
      <c r="BN69" s="203"/>
      <c r="BO69" s="203"/>
    </row>
    <row r="70" spans="1:67" ht="12" customHeight="1">
      <c r="A70" s="221"/>
      <c r="B70" s="219"/>
      <c r="C70" s="217"/>
      <c r="D70" s="218"/>
      <c r="E70" s="218"/>
      <c r="F70" s="218"/>
      <c r="G70" s="217"/>
      <c r="H70" s="217"/>
      <c r="I70" s="218"/>
      <c r="J70" s="218"/>
      <c r="K70" s="217"/>
      <c r="L70" s="218"/>
      <c r="M70" s="217"/>
      <c r="N70" s="218"/>
      <c r="O70" s="217"/>
      <c r="P70" s="218"/>
      <c r="Q70" s="217"/>
      <c r="R70" s="218"/>
      <c r="S70" s="217"/>
      <c r="T70" s="218"/>
      <c r="U70" s="217"/>
      <c r="V70" s="218"/>
      <c r="W70" s="217"/>
      <c r="X70" s="218"/>
      <c r="Y70" s="217"/>
      <c r="Z70" s="218"/>
      <c r="AA70" s="217"/>
      <c r="AB70" s="218"/>
      <c r="AC70" s="217"/>
      <c r="AD70" s="218"/>
      <c r="AE70" s="217"/>
      <c r="AF70" s="218"/>
      <c r="AG70" s="217"/>
      <c r="AH70" s="218"/>
      <c r="AI70" s="217"/>
      <c r="AJ70" s="218"/>
      <c r="AK70" s="217"/>
      <c r="AL70" s="218"/>
      <c r="AM70" s="217"/>
      <c r="AN70" s="218"/>
      <c r="AO70" s="217"/>
      <c r="AP70" s="218"/>
      <c r="AQ70" s="217"/>
      <c r="AR70" s="218"/>
      <c r="AS70" s="217"/>
      <c r="AT70" s="218"/>
      <c r="AU70" s="218"/>
      <c r="AV70" s="217"/>
      <c r="AW70" s="218"/>
      <c r="AX70" s="218"/>
      <c r="AY70" s="217"/>
      <c r="AZ70" s="218"/>
      <c r="BA70" s="217"/>
      <c r="BB70" s="218"/>
      <c r="BC70" s="217"/>
      <c r="BD70" s="218"/>
      <c r="BE70" s="217"/>
      <c r="BF70" s="218"/>
      <c r="BG70" s="218"/>
      <c r="BH70" s="218"/>
      <c r="BI70" s="218"/>
      <c r="BJ70" s="218"/>
      <c r="BK70" s="220"/>
      <c r="BN70" s="203"/>
      <c r="BO70" s="203"/>
    </row>
    <row r="71" spans="1:67" ht="12" customHeight="1">
      <c r="A71" s="221"/>
      <c r="B71" s="219"/>
      <c r="C71" s="217"/>
      <c r="D71" s="218"/>
      <c r="E71" s="218"/>
      <c r="F71" s="218"/>
      <c r="G71" s="217"/>
      <c r="H71" s="217"/>
      <c r="I71" s="218"/>
      <c r="J71" s="218"/>
      <c r="K71" s="217"/>
      <c r="L71" s="218"/>
      <c r="M71" s="217"/>
      <c r="N71" s="218"/>
      <c r="O71" s="217"/>
      <c r="P71" s="218"/>
      <c r="Q71" s="217"/>
      <c r="R71" s="218"/>
      <c r="S71" s="217"/>
      <c r="T71" s="218"/>
      <c r="U71" s="217"/>
      <c r="V71" s="218"/>
      <c r="W71" s="217"/>
      <c r="X71" s="218"/>
      <c r="Y71" s="217"/>
      <c r="Z71" s="218"/>
      <c r="AA71" s="217"/>
      <c r="AB71" s="218"/>
      <c r="AC71" s="217"/>
      <c r="AD71" s="218"/>
      <c r="AE71" s="217"/>
      <c r="AF71" s="218"/>
      <c r="AG71" s="217"/>
      <c r="AH71" s="218"/>
      <c r="AI71" s="217"/>
      <c r="AJ71" s="218"/>
      <c r="AK71" s="217"/>
      <c r="AL71" s="218"/>
      <c r="AM71" s="217"/>
      <c r="AN71" s="218"/>
      <c r="AO71" s="217"/>
      <c r="AP71" s="218"/>
      <c r="AQ71" s="217"/>
      <c r="AR71" s="218"/>
      <c r="AS71" s="217"/>
      <c r="AT71" s="218"/>
      <c r="AU71" s="218"/>
      <c r="AV71" s="217"/>
      <c r="AW71" s="218"/>
      <c r="AX71" s="218"/>
      <c r="AY71" s="217"/>
      <c r="AZ71" s="218"/>
      <c r="BA71" s="217"/>
      <c r="BB71" s="218"/>
      <c r="BC71" s="217"/>
      <c r="BD71" s="218"/>
      <c r="BE71" s="217"/>
      <c r="BF71" s="218"/>
      <c r="BG71" s="218"/>
      <c r="BH71" s="218"/>
      <c r="BI71" s="218"/>
      <c r="BJ71" s="218"/>
      <c r="BK71" s="220"/>
      <c r="BN71" s="203"/>
      <c r="BO71" s="203"/>
    </row>
    <row r="72" spans="1:67" ht="12" customHeight="1">
      <c r="A72" s="221"/>
      <c r="B72" s="219"/>
      <c r="C72" s="217"/>
      <c r="D72" s="218"/>
      <c r="E72" s="218"/>
      <c r="F72" s="218"/>
      <c r="G72" s="217"/>
      <c r="H72" s="217"/>
      <c r="I72" s="218"/>
      <c r="J72" s="218"/>
      <c r="K72" s="217"/>
      <c r="L72" s="218"/>
      <c r="M72" s="217"/>
      <c r="N72" s="218"/>
      <c r="O72" s="217"/>
      <c r="P72" s="218"/>
      <c r="Q72" s="217"/>
      <c r="R72" s="218"/>
      <c r="S72" s="217"/>
      <c r="T72" s="218"/>
      <c r="U72" s="217"/>
      <c r="V72" s="218"/>
      <c r="W72" s="217"/>
      <c r="X72" s="218"/>
      <c r="Y72" s="217"/>
      <c r="Z72" s="218"/>
      <c r="AA72" s="217"/>
      <c r="AB72" s="218"/>
      <c r="AC72" s="217"/>
      <c r="AD72" s="218"/>
      <c r="AE72" s="217"/>
      <c r="AF72" s="218"/>
      <c r="AG72" s="217"/>
      <c r="AH72" s="218"/>
      <c r="AI72" s="217"/>
      <c r="AJ72" s="218"/>
      <c r="AK72" s="217"/>
      <c r="AL72" s="218"/>
      <c r="AM72" s="217"/>
      <c r="AN72" s="218"/>
      <c r="AO72" s="217"/>
      <c r="AP72" s="218"/>
      <c r="AQ72" s="217"/>
      <c r="AR72" s="218"/>
      <c r="AS72" s="217"/>
      <c r="AT72" s="218"/>
      <c r="AU72" s="218"/>
      <c r="AV72" s="217"/>
      <c r="AW72" s="218"/>
      <c r="AX72" s="218"/>
      <c r="AY72" s="217"/>
      <c r="AZ72" s="218"/>
      <c r="BA72" s="217"/>
      <c r="BB72" s="218"/>
      <c r="BC72" s="217"/>
      <c r="BD72" s="218"/>
      <c r="BE72" s="217"/>
      <c r="BF72" s="218"/>
      <c r="BG72" s="218"/>
      <c r="BH72" s="218"/>
      <c r="BI72" s="218"/>
      <c r="BJ72" s="218"/>
      <c r="BK72" s="220"/>
      <c r="BN72" s="203"/>
      <c r="BO72" s="203"/>
    </row>
    <row r="73" spans="1:67" ht="12" customHeight="1" thickBot="1">
      <c r="A73" s="496"/>
      <c r="B73" s="497"/>
      <c r="C73" s="213"/>
      <c r="D73" s="498"/>
      <c r="E73" s="498"/>
      <c r="F73" s="498"/>
      <c r="G73" s="213"/>
      <c r="H73" s="213"/>
      <c r="I73" s="498"/>
      <c r="J73" s="498"/>
      <c r="K73" s="213"/>
      <c r="L73" s="498"/>
      <c r="M73" s="213"/>
      <c r="N73" s="498"/>
      <c r="O73" s="213"/>
      <c r="P73" s="498"/>
      <c r="Q73" s="213"/>
      <c r="R73" s="498"/>
      <c r="S73" s="213"/>
      <c r="T73" s="498"/>
      <c r="U73" s="213"/>
      <c r="V73" s="498"/>
      <c r="W73" s="213"/>
      <c r="X73" s="498"/>
      <c r="Y73" s="213"/>
      <c r="Z73" s="498"/>
      <c r="AA73" s="213"/>
      <c r="AB73" s="498"/>
      <c r="AC73" s="213"/>
      <c r="AD73" s="498"/>
      <c r="AE73" s="213"/>
      <c r="AF73" s="498"/>
      <c r="AG73" s="213"/>
      <c r="AH73" s="498"/>
      <c r="AI73" s="213"/>
      <c r="AJ73" s="498"/>
      <c r="AK73" s="213"/>
      <c r="AL73" s="498"/>
      <c r="AM73" s="213"/>
      <c r="AN73" s="498"/>
      <c r="AO73" s="213"/>
      <c r="AP73" s="498"/>
      <c r="AQ73" s="213"/>
      <c r="AR73" s="498"/>
      <c r="AS73" s="213"/>
      <c r="AT73" s="498"/>
      <c r="AU73" s="498"/>
      <c r="AV73" s="213"/>
      <c r="AW73" s="498"/>
      <c r="AX73" s="498"/>
      <c r="AY73" s="213"/>
      <c r="AZ73" s="498"/>
      <c r="BA73" s="213"/>
      <c r="BB73" s="498"/>
      <c r="BC73" s="213"/>
      <c r="BD73" s="498"/>
      <c r="BE73" s="213"/>
      <c r="BF73" s="498"/>
      <c r="BG73" s="498"/>
      <c r="BH73" s="498"/>
      <c r="BI73" s="498"/>
      <c r="BJ73" s="498"/>
      <c r="BK73" s="499"/>
      <c r="BN73" s="203"/>
      <c r="BO73" s="203"/>
    </row>
    <row r="74" spans="1:67" ht="12" customHeight="1">
      <c r="A74" s="221"/>
      <c r="B74" s="219"/>
      <c r="C74" s="217"/>
      <c r="D74" s="218"/>
      <c r="E74" s="218"/>
      <c r="F74" s="218"/>
      <c r="G74" s="217"/>
      <c r="H74" s="217"/>
      <c r="I74" s="218"/>
      <c r="J74" s="218"/>
      <c r="K74" s="217"/>
      <c r="L74" s="218"/>
      <c r="M74" s="217"/>
      <c r="N74" s="218"/>
      <c r="O74" s="217"/>
      <c r="P74" s="218"/>
      <c r="Q74" s="217"/>
      <c r="R74" s="218"/>
      <c r="S74" s="217"/>
      <c r="T74" s="218"/>
      <c r="U74" s="217"/>
      <c r="V74" s="218"/>
      <c r="W74" s="217"/>
      <c r="X74" s="218"/>
      <c r="Y74" s="217"/>
      <c r="Z74" s="218"/>
      <c r="AA74" s="217"/>
      <c r="AB74" s="218"/>
      <c r="AC74" s="217"/>
      <c r="AD74" s="218"/>
      <c r="AE74" s="217"/>
      <c r="AF74" s="218"/>
      <c r="AG74" s="217"/>
      <c r="AH74" s="218"/>
      <c r="AI74" s="217"/>
      <c r="AJ74" s="218"/>
      <c r="AK74" s="217"/>
      <c r="AL74" s="218"/>
      <c r="AM74" s="217"/>
      <c r="AN74" s="218"/>
      <c r="AO74" s="217"/>
      <c r="AP74" s="218"/>
      <c r="AQ74" s="217"/>
      <c r="AR74" s="218"/>
      <c r="AS74" s="217"/>
      <c r="AT74" s="218"/>
      <c r="AU74" s="218"/>
      <c r="AV74" s="217"/>
      <c r="AW74" s="218"/>
      <c r="AX74" s="218"/>
      <c r="AY74" s="217"/>
      <c r="AZ74" s="218"/>
      <c r="BA74" s="217"/>
      <c r="BB74" s="218"/>
      <c r="BC74" s="217"/>
      <c r="BD74" s="218"/>
      <c r="BE74" s="217"/>
      <c r="BF74" s="218"/>
      <c r="BG74" s="218"/>
      <c r="BH74" s="218"/>
      <c r="BI74" s="218"/>
      <c r="BJ74" s="218"/>
      <c r="BK74" s="220"/>
      <c r="BN74" s="203"/>
      <c r="BO74" s="203"/>
    </row>
    <row r="75" spans="1:67" ht="12" customHeight="1">
      <c r="A75" s="221"/>
      <c r="B75" s="219"/>
      <c r="C75" s="217"/>
      <c r="D75" s="218"/>
      <c r="E75" s="218"/>
      <c r="F75" s="218"/>
      <c r="G75" s="217"/>
      <c r="H75" s="217"/>
      <c r="I75" s="218"/>
      <c r="J75" s="218"/>
      <c r="K75" s="217"/>
      <c r="L75" s="218"/>
      <c r="M75" s="217"/>
      <c r="N75" s="218"/>
      <c r="O75" s="217"/>
      <c r="P75" s="218"/>
      <c r="Q75" s="217"/>
      <c r="R75" s="218"/>
      <c r="S75" s="217"/>
      <c r="T75" s="218"/>
      <c r="U75" s="217"/>
      <c r="V75" s="218"/>
      <c r="W75" s="217"/>
      <c r="X75" s="218"/>
      <c r="Y75" s="217"/>
      <c r="Z75" s="218"/>
      <c r="AA75" s="217"/>
      <c r="AB75" s="218"/>
      <c r="AC75" s="217"/>
      <c r="AD75" s="218"/>
      <c r="AE75" s="217"/>
      <c r="AF75" s="218"/>
      <c r="AG75" s="217"/>
      <c r="AH75" s="218"/>
      <c r="AI75" s="217"/>
      <c r="AJ75" s="218"/>
      <c r="AK75" s="217"/>
      <c r="AL75" s="218"/>
      <c r="AM75" s="217"/>
      <c r="AN75" s="218"/>
      <c r="AO75" s="217"/>
      <c r="AP75" s="218"/>
      <c r="AQ75" s="217"/>
      <c r="AR75" s="218"/>
      <c r="AS75" s="217"/>
      <c r="AT75" s="218"/>
      <c r="AU75" s="218"/>
      <c r="AV75" s="217"/>
      <c r="AW75" s="218"/>
      <c r="AX75" s="218"/>
      <c r="AY75" s="217"/>
      <c r="AZ75" s="218"/>
      <c r="BA75" s="217"/>
      <c r="BB75" s="218"/>
      <c r="BC75" s="217"/>
      <c r="BD75" s="218"/>
      <c r="BE75" s="217"/>
      <c r="BF75" s="218"/>
      <c r="BG75" s="218"/>
      <c r="BH75" s="218"/>
      <c r="BI75" s="218"/>
      <c r="BJ75" s="218"/>
      <c r="BK75" s="220"/>
      <c r="BN75" s="203"/>
      <c r="BO75" s="203"/>
    </row>
    <row r="76" spans="1:67" ht="12" customHeight="1">
      <c r="A76" s="221"/>
      <c r="B76" s="219"/>
      <c r="C76" s="217"/>
      <c r="D76" s="218"/>
      <c r="E76" s="218"/>
      <c r="F76" s="218"/>
      <c r="G76" s="217"/>
      <c r="H76" s="217"/>
      <c r="I76" s="218"/>
      <c r="J76" s="218"/>
      <c r="K76" s="217"/>
      <c r="L76" s="218"/>
      <c r="M76" s="217"/>
      <c r="N76" s="218"/>
      <c r="O76" s="217"/>
      <c r="P76" s="218"/>
      <c r="Q76" s="217"/>
      <c r="R76" s="218"/>
      <c r="S76" s="217"/>
      <c r="T76" s="218"/>
      <c r="U76" s="217"/>
      <c r="V76" s="218"/>
      <c r="W76" s="217"/>
      <c r="X76" s="218"/>
      <c r="Y76" s="217"/>
      <c r="Z76" s="218"/>
      <c r="AA76" s="217"/>
      <c r="AB76" s="218"/>
      <c r="AC76" s="217"/>
      <c r="AD76" s="218"/>
      <c r="AE76" s="217"/>
      <c r="AF76" s="218"/>
      <c r="AG76" s="217"/>
      <c r="AH76" s="218"/>
      <c r="AI76" s="217"/>
      <c r="AJ76" s="218"/>
      <c r="AK76" s="217"/>
      <c r="AL76" s="218"/>
      <c r="AM76" s="217"/>
      <c r="AN76" s="218"/>
      <c r="AO76" s="217"/>
      <c r="AP76" s="218"/>
      <c r="AQ76" s="217"/>
      <c r="AR76" s="218"/>
      <c r="AS76" s="217"/>
      <c r="AT76" s="218"/>
      <c r="AU76" s="218"/>
      <c r="AV76" s="217"/>
      <c r="AW76" s="218"/>
      <c r="AX76" s="218"/>
      <c r="AY76" s="217"/>
      <c r="AZ76" s="218"/>
      <c r="BA76" s="217"/>
      <c r="BB76" s="218"/>
      <c r="BC76" s="217"/>
      <c r="BD76" s="218"/>
      <c r="BE76" s="217"/>
      <c r="BF76" s="218"/>
      <c r="BG76" s="218"/>
      <c r="BH76" s="218"/>
      <c r="BI76" s="218"/>
      <c r="BJ76" s="218"/>
      <c r="BK76" s="220"/>
      <c r="BN76" s="203"/>
      <c r="BO76" s="203"/>
    </row>
    <row r="77" spans="1:67" ht="12" customHeight="1">
      <c r="A77" s="221"/>
      <c r="B77" s="219"/>
      <c r="C77" s="217"/>
      <c r="D77" s="218"/>
      <c r="E77" s="218"/>
      <c r="F77" s="218"/>
      <c r="G77" s="217"/>
      <c r="H77" s="217"/>
      <c r="I77" s="218"/>
      <c r="J77" s="218"/>
      <c r="K77" s="217"/>
      <c r="L77" s="218"/>
      <c r="M77" s="217"/>
      <c r="N77" s="218"/>
      <c r="O77" s="217"/>
      <c r="P77" s="218"/>
      <c r="Q77" s="217"/>
      <c r="R77" s="218"/>
      <c r="S77" s="217"/>
      <c r="T77" s="218"/>
      <c r="U77" s="217"/>
      <c r="V77" s="218"/>
      <c r="W77" s="217"/>
      <c r="X77" s="218"/>
      <c r="Y77" s="217"/>
      <c r="Z77" s="218"/>
      <c r="AA77" s="217"/>
      <c r="AB77" s="218"/>
      <c r="AC77" s="217"/>
      <c r="AD77" s="218"/>
      <c r="AE77" s="217"/>
      <c r="AF77" s="218"/>
      <c r="AG77" s="217"/>
      <c r="AH77" s="218"/>
      <c r="AI77" s="217"/>
      <c r="AJ77" s="218"/>
      <c r="AK77" s="217"/>
      <c r="AL77" s="218"/>
      <c r="AM77" s="217"/>
      <c r="AN77" s="218"/>
      <c r="AO77" s="217"/>
      <c r="AP77" s="218"/>
      <c r="AQ77" s="217"/>
      <c r="AR77" s="218"/>
      <c r="AS77" s="217"/>
      <c r="AT77" s="218"/>
      <c r="AU77" s="218"/>
      <c r="AV77" s="217"/>
      <c r="AW77" s="218"/>
      <c r="AX77" s="218"/>
      <c r="AY77" s="217"/>
      <c r="AZ77" s="218"/>
      <c r="BA77" s="217"/>
      <c r="BB77" s="218"/>
      <c r="BC77" s="217"/>
      <c r="BD77" s="218"/>
      <c r="BE77" s="217"/>
      <c r="BF77" s="218"/>
      <c r="BG77" s="218"/>
      <c r="BH77" s="218"/>
      <c r="BI77" s="218"/>
      <c r="BJ77" s="218"/>
      <c r="BK77" s="220"/>
      <c r="BN77" s="203"/>
      <c r="BO77" s="203"/>
    </row>
    <row r="78" spans="1:67" ht="12" customHeight="1">
      <c r="A78" s="221"/>
      <c r="B78" s="219"/>
      <c r="C78" s="217"/>
      <c r="D78" s="218"/>
      <c r="E78" s="218"/>
      <c r="F78" s="218"/>
      <c r="G78" s="217"/>
      <c r="H78" s="217"/>
      <c r="I78" s="218"/>
      <c r="J78" s="218"/>
      <c r="K78" s="217"/>
      <c r="L78" s="218"/>
      <c r="M78" s="217"/>
      <c r="N78" s="218"/>
      <c r="O78" s="217"/>
      <c r="P78" s="218"/>
      <c r="Q78" s="217"/>
      <c r="R78" s="218"/>
      <c r="S78" s="217"/>
      <c r="T78" s="218"/>
      <c r="U78" s="217"/>
      <c r="V78" s="218"/>
      <c r="W78" s="217"/>
      <c r="X78" s="218"/>
      <c r="Y78" s="217"/>
      <c r="Z78" s="218"/>
      <c r="AA78" s="217"/>
      <c r="AB78" s="218"/>
      <c r="AC78" s="217"/>
      <c r="AD78" s="218"/>
      <c r="AE78" s="217"/>
      <c r="AF78" s="218"/>
      <c r="AG78" s="217"/>
      <c r="AH78" s="218"/>
      <c r="AI78" s="217"/>
      <c r="AJ78" s="218"/>
      <c r="AK78" s="217"/>
      <c r="AL78" s="218"/>
      <c r="AM78" s="217"/>
      <c r="AN78" s="218"/>
      <c r="AO78" s="217"/>
      <c r="AP78" s="218"/>
      <c r="AQ78" s="217"/>
      <c r="AR78" s="218"/>
      <c r="AS78" s="217"/>
      <c r="AT78" s="218"/>
      <c r="AU78" s="218"/>
      <c r="AV78" s="217"/>
      <c r="AW78" s="218"/>
      <c r="AX78" s="218"/>
      <c r="AY78" s="217"/>
      <c r="AZ78" s="218"/>
      <c r="BA78" s="217"/>
      <c r="BB78" s="218"/>
      <c r="BC78" s="217"/>
      <c r="BD78" s="218"/>
      <c r="BE78" s="217"/>
      <c r="BF78" s="218"/>
      <c r="BG78" s="218"/>
      <c r="BH78" s="218"/>
      <c r="BI78" s="218"/>
      <c r="BJ78" s="218"/>
      <c r="BK78" s="220"/>
      <c r="BN78" s="203"/>
      <c r="BO78" s="203"/>
    </row>
    <row r="79" spans="1:67" ht="12" customHeight="1">
      <c r="A79" s="221"/>
      <c r="B79" s="219"/>
      <c r="C79" s="217"/>
      <c r="D79" s="218"/>
      <c r="E79" s="218"/>
      <c r="F79" s="218"/>
      <c r="G79" s="217"/>
      <c r="H79" s="217"/>
      <c r="I79" s="218"/>
      <c r="J79" s="218"/>
      <c r="K79" s="217"/>
      <c r="L79" s="218"/>
      <c r="M79" s="217"/>
      <c r="N79" s="218"/>
      <c r="O79" s="217"/>
      <c r="P79" s="218"/>
      <c r="Q79" s="217"/>
      <c r="R79" s="218"/>
      <c r="S79" s="217"/>
      <c r="T79" s="218"/>
      <c r="U79" s="217"/>
      <c r="V79" s="218"/>
      <c r="W79" s="217"/>
      <c r="X79" s="218"/>
      <c r="Y79" s="217"/>
      <c r="Z79" s="218"/>
      <c r="AA79" s="217"/>
      <c r="AB79" s="218"/>
      <c r="AC79" s="217"/>
      <c r="AD79" s="218"/>
      <c r="AE79" s="217"/>
      <c r="AF79" s="218"/>
      <c r="AG79" s="217"/>
      <c r="AH79" s="218"/>
      <c r="AI79" s="217"/>
      <c r="AJ79" s="218"/>
      <c r="AK79" s="217"/>
      <c r="AL79" s="218"/>
      <c r="AM79" s="217"/>
      <c r="AN79" s="218"/>
      <c r="AO79" s="217"/>
      <c r="AP79" s="218"/>
      <c r="AQ79" s="217"/>
      <c r="AR79" s="218"/>
      <c r="AS79" s="217"/>
      <c r="AT79" s="218"/>
      <c r="AU79" s="218"/>
      <c r="AV79" s="217"/>
      <c r="AW79" s="218"/>
      <c r="AX79" s="218"/>
      <c r="AY79" s="217"/>
      <c r="AZ79" s="218"/>
      <c r="BA79" s="217"/>
      <c r="BB79" s="218"/>
      <c r="BC79" s="217"/>
      <c r="BD79" s="218"/>
      <c r="BE79" s="217"/>
      <c r="BF79" s="218"/>
      <c r="BG79" s="218"/>
      <c r="BH79" s="218"/>
      <c r="BI79" s="218"/>
      <c r="BJ79" s="218"/>
      <c r="BK79" s="220"/>
      <c r="BN79" s="203"/>
      <c r="BO79" s="203"/>
    </row>
    <row r="80" spans="1:67" ht="12" customHeight="1" thickBot="1">
      <c r="A80" s="496"/>
      <c r="B80" s="497"/>
      <c r="C80" s="213"/>
      <c r="D80" s="498"/>
      <c r="E80" s="498"/>
      <c r="F80" s="498"/>
      <c r="G80" s="213"/>
      <c r="H80" s="213"/>
      <c r="I80" s="498"/>
      <c r="J80" s="498"/>
      <c r="K80" s="213"/>
      <c r="L80" s="498"/>
      <c r="M80" s="213"/>
      <c r="N80" s="498"/>
      <c r="O80" s="213"/>
      <c r="P80" s="498"/>
      <c r="Q80" s="213"/>
      <c r="R80" s="498"/>
      <c r="S80" s="213"/>
      <c r="T80" s="498"/>
      <c r="U80" s="213"/>
      <c r="V80" s="498"/>
      <c r="W80" s="213"/>
      <c r="X80" s="498"/>
      <c r="Y80" s="213"/>
      <c r="Z80" s="498"/>
      <c r="AA80" s="213"/>
      <c r="AB80" s="498"/>
      <c r="AC80" s="213"/>
      <c r="AD80" s="498"/>
      <c r="AE80" s="213"/>
      <c r="AF80" s="498"/>
      <c r="AG80" s="213"/>
      <c r="AH80" s="498"/>
      <c r="AI80" s="213"/>
      <c r="AJ80" s="498"/>
      <c r="AK80" s="213"/>
      <c r="AL80" s="498"/>
      <c r="AM80" s="213"/>
      <c r="AN80" s="498"/>
      <c r="AO80" s="213"/>
      <c r="AP80" s="498"/>
      <c r="AQ80" s="213"/>
      <c r="AR80" s="498"/>
      <c r="AS80" s="213"/>
      <c r="AT80" s="498"/>
      <c r="AU80" s="498"/>
      <c r="AV80" s="213"/>
      <c r="AW80" s="498"/>
      <c r="AX80" s="498"/>
      <c r="AY80" s="213"/>
      <c r="AZ80" s="498"/>
      <c r="BA80" s="213"/>
      <c r="BB80" s="498"/>
      <c r="BC80" s="213"/>
      <c r="BD80" s="498"/>
      <c r="BE80" s="213"/>
      <c r="BF80" s="498"/>
      <c r="BG80" s="498"/>
      <c r="BH80" s="498"/>
      <c r="BI80" s="498"/>
      <c r="BJ80" s="498"/>
      <c r="BK80" s="499"/>
      <c r="BN80" s="203"/>
      <c r="BO80" s="203"/>
    </row>
    <row r="81" spans="1:67" ht="12" customHeight="1">
      <c r="A81" s="221"/>
      <c r="B81" s="219"/>
      <c r="C81" s="217"/>
      <c r="D81" s="218"/>
      <c r="E81" s="218"/>
      <c r="F81" s="218"/>
      <c r="G81" s="217"/>
      <c r="H81" s="217"/>
      <c r="I81" s="218"/>
      <c r="J81" s="218"/>
      <c r="K81" s="217"/>
      <c r="L81" s="218"/>
      <c r="M81" s="217"/>
      <c r="N81" s="218"/>
      <c r="O81" s="217"/>
      <c r="P81" s="218"/>
      <c r="Q81" s="217"/>
      <c r="R81" s="218"/>
      <c r="S81" s="217"/>
      <c r="T81" s="218"/>
      <c r="U81" s="217"/>
      <c r="V81" s="218"/>
      <c r="W81" s="217"/>
      <c r="X81" s="218"/>
      <c r="Y81" s="217"/>
      <c r="Z81" s="218"/>
      <c r="AA81" s="217"/>
      <c r="AB81" s="218"/>
      <c r="AC81" s="217"/>
      <c r="AD81" s="218"/>
      <c r="AE81" s="217"/>
      <c r="AF81" s="218"/>
      <c r="AG81" s="217"/>
      <c r="AH81" s="218"/>
      <c r="AI81" s="217"/>
      <c r="AJ81" s="218"/>
      <c r="AK81" s="217"/>
      <c r="AL81" s="218"/>
      <c r="AM81" s="217"/>
      <c r="AN81" s="218"/>
      <c r="AO81" s="217"/>
      <c r="AP81" s="218"/>
      <c r="AQ81" s="217"/>
      <c r="AR81" s="218"/>
      <c r="AS81" s="217"/>
      <c r="AT81" s="218"/>
      <c r="AU81" s="218"/>
      <c r="AV81" s="217"/>
      <c r="AW81" s="218"/>
      <c r="AX81" s="218"/>
      <c r="AY81" s="217"/>
      <c r="AZ81" s="218"/>
      <c r="BA81" s="217"/>
      <c r="BB81" s="218"/>
      <c r="BC81" s="217"/>
      <c r="BD81" s="218"/>
      <c r="BE81" s="217"/>
      <c r="BF81" s="218"/>
      <c r="BG81" s="218"/>
      <c r="BH81" s="218"/>
      <c r="BI81" s="218"/>
      <c r="BJ81" s="218"/>
      <c r="BK81" s="220"/>
      <c r="BN81" s="203"/>
      <c r="BO81" s="203"/>
    </row>
    <row r="82" spans="1:67" ht="12" customHeight="1">
      <c r="A82" s="221"/>
      <c r="B82" s="219"/>
      <c r="C82" s="217"/>
      <c r="D82" s="218"/>
      <c r="E82" s="218"/>
      <c r="F82" s="218"/>
      <c r="G82" s="217"/>
      <c r="H82" s="217"/>
      <c r="I82" s="218"/>
      <c r="J82" s="218"/>
      <c r="K82" s="217"/>
      <c r="L82" s="218"/>
      <c r="M82" s="217"/>
      <c r="N82" s="218"/>
      <c r="O82" s="217"/>
      <c r="P82" s="218"/>
      <c r="Q82" s="217"/>
      <c r="R82" s="218"/>
      <c r="S82" s="217"/>
      <c r="T82" s="218"/>
      <c r="U82" s="217"/>
      <c r="V82" s="218"/>
      <c r="W82" s="217"/>
      <c r="X82" s="218"/>
      <c r="Y82" s="217"/>
      <c r="Z82" s="218"/>
      <c r="AA82" s="217"/>
      <c r="AB82" s="218"/>
      <c r="AC82" s="217"/>
      <c r="AD82" s="218"/>
      <c r="AE82" s="217"/>
      <c r="AF82" s="218"/>
      <c r="AG82" s="217"/>
      <c r="AH82" s="218"/>
      <c r="AI82" s="217"/>
      <c r="AJ82" s="218"/>
      <c r="AK82" s="217"/>
      <c r="AL82" s="218"/>
      <c r="AM82" s="217"/>
      <c r="AN82" s="218"/>
      <c r="AO82" s="217"/>
      <c r="AP82" s="218"/>
      <c r="AQ82" s="217"/>
      <c r="AR82" s="218"/>
      <c r="AS82" s="217"/>
      <c r="AT82" s="218"/>
      <c r="AU82" s="218"/>
      <c r="AV82" s="217"/>
      <c r="AW82" s="218"/>
      <c r="AX82" s="218"/>
      <c r="AY82" s="217"/>
      <c r="AZ82" s="218"/>
      <c r="BA82" s="217"/>
      <c r="BB82" s="218"/>
      <c r="BC82" s="217"/>
      <c r="BD82" s="218"/>
      <c r="BE82" s="217"/>
      <c r="BF82" s="218"/>
      <c r="BG82" s="218"/>
      <c r="BH82" s="218"/>
      <c r="BI82" s="218"/>
      <c r="BJ82" s="218"/>
      <c r="BK82" s="220"/>
      <c r="BN82" s="203"/>
      <c r="BO82" s="203"/>
    </row>
    <row r="83" spans="1:67" ht="12" customHeight="1">
      <c r="A83" s="221"/>
      <c r="B83" s="219"/>
      <c r="C83" s="217"/>
      <c r="D83" s="218"/>
      <c r="E83" s="218"/>
      <c r="F83" s="218"/>
      <c r="G83" s="217"/>
      <c r="H83" s="217"/>
      <c r="I83" s="218"/>
      <c r="J83" s="218"/>
      <c r="K83" s="217"/>
      <c r="L83" s="218"/>
      <c r="M83" s="217"/>
      <c r="N83" s="218"/>
      <c r="O83" s="217"/>
      <c r="P83" s="218"/>
      <c r="Q83" s="217"/>
      <c r="R83" s="218"/>
      <c r="S83" s="217"/>
      <c r="T83" s="218"/>
      <c r="U83" s="217"/>
      <c r="V83" s="218"/>
      <c r="W83" s="217"/>
      <c r="X83" s="218"/>
      <c r="Y83" s="217"/>
      <c r="Z83" s="218"/>
      <c r="AA83" s="217"/>
      <c r="AB83" s="218"/>
      <c r="AC83" s="217"/>
      <c r="AD83" s="218"/>
      <c r="AE83" s="217"/>
      <c r="AF83" s="218"/>
      <c r="AG83" s="217"/>
      <c r="AH83" s="218"/>
      <c r="AI83" s="217"/>
      <c r="AJ83" s="218"/>
      <c r="AK83" s="217"/>
      <c r="AL83" s="218"/>
      <c r="AM83" s="217"/>
      <c r="AN83" s="218"/>
      <c r="AO83" s="217"/>
      <c r="AP83" s="218"/>
      <c r="AQ83" s="217"/>
      <c r="AR83" s="218"/>
      <c r="AS83" s="217"/>
      <c r="AT83" s="218"/>
      <c r="AU83" s="218"/>
      <c r="AV83" s="217"/>
      <c r="AW83" s="218"/>
      <c r="AX83" s="218"/>
      <c r="AY83" s="217"/>
      <c r="AZ83" s="218"/>
      <c r="BA83" s="217"/>
      <c r="BB83" s="218"/>
      <c r="BC83" s="217"/>
      <c r="BD83" s="218"/>
      <c r="BE83" s="217"/>
      <c r="BF83" s="218"/>
      <c r="BG83" s="218"/>
      <c r="BH83" s="218"/>
      <c r="BI83" s="218"/>
      <c r="BJ83" s="218"/>
      <c r="BK83" s="220"/>
      <c r="BN83" s="203"/>
      <c r="BO83" s="203"/>
    </row>
    <row r="84" spans="1:67" ht="12" customHeight="1">
      <c r="A84" s="221"/>
      <c r="B84" s="219"/>
      <c r="C84" s="217"/>
      <c r="D84" s="218"/>
      <c r="E84" s="218"/>
      <c r="F84" s="218"/>
      <c r="G84" s="217"/>
      <c r="H84" s="217"/>
      <c r="I84" s="218"/>
      <c r="J84" s="218"/>
      <c r="K84" s="217"/>
      <c r="L84" s="218"/>
      <c r="M84" s="217"/>
      <c r="N84" s="218"/>
      <c r="O84" s="217"/>
      <c r="P84" s="218"/>
      <c r="Q84" s="217"/>
      <c r="R84" s="218"/>
      <c r="S84" s="217"/>
      <c r="T84" s="218"/>
      <c r="U84" s="217"/>
      <c r="V84" s="218"/>
      <c r="W84" s="217"/>
      <c r="X84" s="218"/>
      <c r="Y84" s="217"/>
      <c r="Z84" s="218"/>
      <c r="AA84" s="217"/>
      <c r="AB84" s="218"/>
      <c r="AC84" s="217"/>
      <c r="AD84" s="218"/>
      <c r="AE84" s="217"/>
      <c r="AF84" s="218"/>
      <c r="AG84" s="217"/>
      <c r="AH84" s="218"/>
      <c r="AI84" s="217"/>
      <c r="AJ84" s="218"/>
      <c r="AK84" s="217"/>
      <c r="AL84" s="218"/>
      <c r="AM84" s="217"/>
      <c r="AN84" s="218"/>
      <c r="AO84" s="217"/>
      <c r="AP84" s="218"/>
      <c r="AQ84" s="217"/>
      <c r="AR84" s="218"/>
      <c r="AS84" s="217"/>
      <c r="AT84" s="218"/>
      <c r="AU84" s="218"/>
      <c r="AV84" s="217"/>
      <c r="AW84" s="218"/>
      <c r="AX84" s="218"/>
      <c r="AY84" s="217"/>
      <c r="AZ84" s="218"/>
      <c r="BA84" s="217"/>
      <c r="BB84" s="218"/>
      <c r="BC84" s="217"/>
      <c r="BD84" s="218"/>
      <c r="BE84" s="217"/>
      <c r="BF84" s="218"/>
      <c r="BG84" s="218"/>
      <c r="BH84" s="218"/>
      <c r="BI84" s="218"/>
      <c r="BJ84" s="218"/>
      <c r="BK84" s="220"/>
      <c r="BN84" s="203"/>
      <c r="BO84" s="203"/>
    </row>
    <row r="85" spans="1:67" ht="12" customHeight="1">
      <c r="A85" s="221"/>
      <c r="B85" s="219"/>
      <c r="C85" s="217"/>
      <c r="D85" s="218"/>
      <c r="E85" s="218"/>
      <c r="F85" s="218"/>
      <c r="G85" s="217"/>
      <c r="H85" s="217"/>
      <c r="I85" s="218"/>
      <c r="J85" s="218"/>
      <c r="K85" s="217"/>
      <c r="L85" s="218"/>
      <c r="M85" s="217"/>
      <c r="N85" s="218"/>
      <c r="O85" s="217"/>
      <c r="P85" s="218"/>
      <c r="Q85" s="217"/>
      <c r="R85" s="218"/>
      <c r="S85" s="217"/>
      <c r="T85" s="218"/>
      <c r="U85" s="217"/>
      <c r="V85" s="218"/>
      <c r="W85" s="217"/>
      <c r="X85" s="218"/>
      <c r="Y85" s="217"/>
      <c r="Z85" s="218"/>
      <c r="AA85" s="217"/>
      <c r="AB85" s="218"/>
      <c r="AC85" s="217"/>
      <c r="AD85" s="218"/>
      <c r="AE85" s="217"/>
      <c r="AF85" s="218"/>
      <c r="AG85" s="217"/>
      <c r="AH85" s="218"/>
      <c r="AI85" s="217"/>
      <c r="AJ85" s="218"/>
      <c r="AK85" s="217"/>
      <c r="AL85" s="218"/>
      <c r="AM85" s="217"/>
      <c r="AN85" s="218"/>
      <c r="AO85" s="217"/>
      <c r="AP85" s="218"/>
      <c r="AQ85" s="217"/>
      <c r="AR85" s="218"/>
      <c r="AS85" s="217"/>
      <c r="AT85" s="218"/>
      <c r="AU85" s="218"/>
      <c r="AV85" s="217"/>
      <c r="AW85" s="218"/>
      <c r="AX85" s="218"/>
      <c r="AY85" s="217"/>
      <c r="AZ85" s="218"/>
      <c r="BA85" s="217"/>
      <c r="BB85" s="218"/>
      <c r="BC85" s="217"/>
      <c r="BD85" s="218"/>
      <c r="BE85" s="217"/>
      <c r="BF85" s="218"/>
      <c r="BG85" s="218"/>
      <c r="BH85" s="218"/>
      <c r="BI85" s="218"/>
      <c r="BJ85" s="218"/>
      <c r="BK85" s="220"/>
      <c r="BN85" s="203"/>
      <c r="BO85" s="203"/>
    </row>
    <row r="86" spans="1:67" ht="12" customHeight="1">
      <c r="A86" s="221"/>
      <c r="B86" s="219"/>
      <c r="C86" s="217"/>
      <c r="D86" s="218"/>
      <c r="E86" s="218"/>
      <c r="F86" s="218"/>
      <c r="G86" s="217"/>
      <c r="H86" s="217"/>
      <c r="I86" s="218"/>
      <c r="J86" s="218"/>
      <c r="K86" s="217"/>
      <c r="L86" s="218"/>
      <c r="M86" s="217"/>
      <c r="N86" s="218"/>
      <c r="O86" s="217"/>
      <c r="P86" s="218"/>
      <c r="Q86" s="217"/>
      <c r="R86" s="218"/>
      <c r="S86" s="217"/>
      <c r="T86" s="218"/>
      <c r="U86" s="217"/>
      <c r="V86" s="218"/>
      <c r="W86" s="217"/>
      <c r="X86" s="218"/>
      <c r="Y86" s="217"/>
      <c r="Z86" s="218"/>
      <c r="AA86" s="217"/>
      <c r="AB86" s="218"/>
      <c r="AC86" s="217"/>
      <c r="AD86" s="218"/>
      <c r="AE86" s="217"/>
      <c r="AF86" s="218"/>
      <c r="AG86" s="217"/>
      <c r="AH86" s="218"/>
      <c r="AI86" s="217"/>
      <c r="AJ86" s="218"/>
      <c r="AK86" s="217"/>
      <c r="AL86" s="218"/>
      <c r="AM86" s="217"/>
      <c r="AN86" s="218"/>
      <c r="AO86" s="217"/>
      <c r="AP86" s="218"/>
      <c r="AQ86" s="217"/>
      <c r="AR86" s="218"/>
      <c r="AS86" s="217"/>
      <c r="AT86" s="218"/>
      <c r="AU86" s="218"/>
      <c r="AV86" s="217"/>
      <c r="AW86" s="218"/>
      <c r="AX86" s="218"/>
      <c r="AY86" s="217"/>
      <c r="AZ86" s="218"/>
      <c r="BA86" s="217"/>
      <c r="BB86" s="218"/>
      <c r="BC86" s="217"/>
      <c r="BD86" s="218"/>
      <c r="BE86" s="217"/>
      <c r="BF86" s="218"/>
      <c r="BG86" s="218"/>
      <c r="BH86" s="218"/>
      <c r="BI86" s="218"/>
      <c r="BJ86" s="218"/>
      <c r="BK86" s="220"/>
      <c r="BN86" s="203"/>
      <c r="BO86" s="203"/>
    </row>
    <row r="87" spans="1:67" ht="12" customHeight="1" thickBot="1">
      <c r="A87" s="496"/>
      <c r="B87" s="497"/>
      <c r="C87" s="213"/>
      <c r="D87" s="498"/>
      <c r="E87" s="498"/>
      <c r="F87" s="498"/>
      <c r="G87" s="213"/>
      <c r="H87" s="213"/>
      <c r="I87" s="498"/>
      <c r="J87" s="498"/>
      <c r="K87" s="213"/>
      <c r="L87" s="498"/>
      <c r="M87" s="213"/>
      <c r="N87" s="498"/>
      <c r="O87" s="213"/>
      <c r="P87" s="498"/>
      <c r="Q87" s="213"/>
      <c r="R87" s="498"/>
      <c r="S87" s="213"/>
      <c r="T87" s="498"/>
      <c r="U87" s="213"/>
      <c r="V87" s="498"/>
      <c r="W87" s="213"/>
      <c r="X87" s="498"/>
      <c r="Y87" s="213"/>
      <c r="Z87" s="498"/>
      <c r="AA87" s="213"/>
      <c r="AB87" s="498"/>
      <c r="AC87" s="213"/>
      <c r="AD87" s="498"/>
      <c r="AE87" s="213"/>
      <c r="AF87" s="498"/>
      <c r="AG87" s="213"/>
      <c r="AH87" s="498"/>
      <c r="AI87" s="213"/>
      <c r="AJ87" s="498"/>
      <c r="AK87" s="213"/>
      <c r="AL87" s="498"/>
      <c r="AM87" s="213"/>
      <c r="AN87" s="498"/>
      <c r="AO87" s="213"/>
      <c r="AP87" s="498"/>
      <c r="AQ87" s="213"/>
      <c r="AR87" s="498"/>
      <c r="AS87" s="213"/>
      <c r="AT87" s="498"/>
      <c r="AU87" s="498"/>
      <c r="AV87" s="213"/>
      <c r="AW87" s="498"/>
      <c r="AX87" s="498"/>
      <c r="AY87" s="213"/>
      <c r="AZ87" s="498"/>
      <c r="BA87" s="213"/>
      <c r="BB87" s="498"/>
      <c r="BC87" s="213"/>
      <c r="BD87" s="498"/>
      <c r="BE87" s="213"/>
      <c r="BF87" s="498"/>
      <c r="BG87" s="498"/>
      <c r="BH87" s="498"/>
      <c r="BI87" s="498"/>
      <c r="BJ87" s="498"/>
      <c r="BK87" s="499"/>
      <c r="BN87" s="203"/>
      <c r="BO87" s="203"/>
    </row>
    <row r="88" spans="1:67" ht="12" customHeight="1">
      <c r="A88" s="221"/>
      <c r="B88" s="219"/>
      <c r="C88" s="217"/>
      <c r="D88" s="218"/>
      <c r="E88" s="218"/>
      <c r="F88" s="218"/>
      <c r="G88" s="217"/>
      <c r="H88" s="217"/>
      <c r="I88" s="218"/>
      <c r="J88" s="218"/>
      <c r="K88" s="217"/>
      <c r="L88" s="218"/>
      <c r="M88" s="217"/>
      <c r="N88" s="218"/>
      <c r="O88" s="217"/>
      <c r="P88" s="218"/>
      <c r="Q88" s="217"/>
      <c r="R88" s="218"/>
      <c r="S88" s="217"/>
      <c r="T88" s="218"/>
      <c r="U88" s="217"/>
      <c r="V88" s="218"/>
      <c r="W88" s="217"/>
      <c r="X88" s="218"/>
      <c r="Y88" s="217"/>
      <c r="Z88" s="218"/>
      <c r="AA88" s="217"/>
      <c r="AB88" s="218"/>
      <c r="AC88" s="217"/>
      <c r="AD88" s="218"/>
      <c r="AE88" s="217"/>
      <c r="AF88" s="218"/>
      <c r="AG88" s="217"/>
      <c r="AH88" s="218"/>
      <c r="AI88" s="217"/>
      <c r="AJ88" s="218"/>
      <c r="AK88" s="217"/>
      <c r="AL88" s="218"/>
      <c r="AM88" s="217"/>
      <c r="AN88" s="218"/>
      <c r="AO88" s="217"/>
      <c r="AP88" s="218"/>
      <c r="AQ88" s="217"/>
      <c r="AR88" s="218"/>
      <c r="AS88" s="217"/>
      <c r="AT88" s="218"/>
      <c r="AU88" s="218"/>
      <c r="AV88" s="217"/>
      <c r="AW88" s="218"/>
      <c r="AX88" s="218"/>
      <c r="AY88" s="217"/>
      <c r="AZ88" s="218"/>
      <c r="BA88" s="217"/>
      <c r="BB88" s="218"/>
      <c r="BC88" s="217"/>
      <c r="BD88" s="218"/>
      <c r="BE88" s="217"/>
      <c r="BF88" s="218"/>
      <c r="BG88" s="218"/>
      <c r="BH88" s="218"/>
      <c r="BI88" s="218"/>
      <c r="BJ88" s="218"/>
      <c r="BK88" s="220"/>
      <c r="BN88" s="203"/>
      <c r="BO88" s="203"/>
    </row>
    <row r="89" spans="1:67" ht="12" customHeight="1">
      <c r="A89" s="221"/>
      <c r="B89" s="219"/>
      <c r="C89" s="217"/>
      <c r="D89" s="218"/>
      <c r="E89" s="218"/>
      <c r="F89" s="218"/>
      <c r="G89" s="217"/>
      <c r="H89" s="217"/>
      <c r="I89" s="218"/>
      <c r="J89" s="218"/>
      <c r="K89" s="217"/>
      <c r="L89" s="218"/>
      <c r="M89" s="217"/>
      <c r="N89" s="218"/>
      <c r="O89" s="217"/>
      <c r="P89" s="218"/>
      <c r="Q89" s="217"/>
      <c r="R89" s="218"/>
      <c r="S89" s="217"/>
      <c r="T89" s="218"/>
      <c r="U89" s="217"/>
      <c r="V89" s="218"/>
      <c r="W89" s="217"/>
      <c r="X89" s="218"/>
      <c r="Y89" s="217"/>
      <c r="Z89" s="218"/>
      <c r="AA89" s="217"/>
      <c r="AB89" s="218"/>
      <c r="AC89" s="217"/>
      <c r="AD89" s="218"/>
      <c r="AE89" s="217"/>
      <c r="AF89" s="218"/>
      <c r="AG89" s="217"/>
      <c r="AH89" s="218"/>
      <c r="AI89" s="217"/>
      <c r="AJ89" s="218"/>
      <c r="AK89" s="217"/>
      <c r="AL89" s="218"/>
      <c r="AM89" s="217"/>
      <c r="AN89" s="218"/>
      <c r="AO89" s="217"/>
      <c r="AP89" s="218"/>
      <c r="AQ89" s="217"/>
      <c r="AR89" s="218"/>
      <c r="AS89" s="217"/>
      <c r="AT89" s="218"/>
      <c r="AU89" s="218"/>
      <c r="AV89" s="217"/>
      <c r="AW89" s="218"/>
      <c r="AX89" s="218"/>
      <c r="AY89" s="217"/>
      <c r="AZ89" s="218"/>
      <c r="BA89" s="217"/>
      <c r="BB89" s="218"/>
      <c r="BC89" s="217"/>
      <c r="BD89" s="218"/>
      <c r="BE89" s="217"/>
      <c r="BF89" s="218"/>
      <c r="BG89" s="218"/>
      <c r="BH89" s="218"/>
      <c r="BI89" s="218"/>
      <c r="BJ89" s="218"/>
      <c r="BK89" s="220"/>
      <c r="BN89" s="203"/>
      <c r="BO89" s="203"/>
    </row>
    <row r="90" spans="1:67" ht="12" customHeight="1">
      <c r="A90" s="221"/>
      <c r="B90" s="219"/>
      <c r="C90" s="217"/>
      <c r="D90" s="218"/>
      <c r="E90" s="218"/>
      <c r="F90" s="218"/>
      <c r="G90" s="217"/>
      <c r="H90" s="217"/>
      <c r="I90" s="218"/>
      <c r="J90" s="218"/>
      <c r="K90" s="217"/>
      <c r="L90" s="218"/>
      <c r="M90" s="217"/>
      <c r="N90" s="218"/>
      <c r="O90" s="217"/>
      <c r="P90" s="218"/>
      <c r="Q90" s="217"/>
      <c r="R90" s="218"/>
      <c r="S90" s="217"/>
      <c r="T90" s="218"/>
      <c r="U90" s="217"/>
      <c r="V90" s="218"/>
      <c r="W90" s="217"/>
      <c r="X90" s="218"/>
      <c r="Y90" s="217"/>
      <c r="Z90" s="218"/>
      <c r="AA90" s="217"/>
      <c r="AB90" s="218"/>
      <c r="AC90" s="217"/>
      <c r="AD90" s="218"/>
      <c r="AE90" s="217"/>
      <c r="AF90" s="218"/>
      <c r="AG90" s="217"/>
      <c r="AH90" s="218"/>
      <c r="AI90" s="217"/>
      <c r="AJ90" s="218"/>
      <c r="AK90" s="217"/>
      <c r="AL90" s="218"/>
      <c r="AM90" s="217"/>
      <c r="AN90" s="218"/>
      <c r="AO90" s="217"/>
      <c r="AP90" s="218"/>
      <c r="AQ90" s="217"/>
      <c r="AR90" s="218"/>
      <c r="AS90" s="217"/>
      <c r="AT90" s="218"/>
      <c r="AU90" s="218"/>
      <c r="AV90" s="217"/>
      <c r="AW90" s="218"/>
      <c r="AX90" s="218"/>
      <c r="AY90" s="217"/>
      <c r="AZ90" s="218"/>
      <c r="BA90" s="217"/>
      <c r="BB90" s="218"/>
      <c r="BC90" s="217"/>
      <c r="BD90" s="218"/>
      <c r="BE90" s="217"/>
      <c r="BF90" s="218"/>
      <c r="BG90" s="218"/>
      <c r="BH90" s="218"/>
      <c r="BI90" s="218"/>
      <c r="BJ90" s="218"/>
      <c r="BK90" s="220"/>
      <c r="BN90" s="203"/>
      <c r="BO90" s="203"/>
    </row>
    <row r="91" spans="1:67" ht="12" customHeight="1">
      <c r="A91" s="221"/>
      <c r="B91" s="219"/>
      <c r="C91" s="217"/>
      <c r="D91" s="218"/>
      <c r="E91" s="218"/>
      <c r="F91" s="218"/>
      <c r="G91" s="217"/>
      <c r="H91" s="217"/>
      <c r="I91" s="218"/>
      <c r="J91" s="218"/>
      <c r="K91" s="217"/>
      <c r="L91" s="218"/>
      <c r="M91" s="217"/>
      <c r="N91" s="218"/>
      <c r="O91" s="217"/>
      <c r="P91" s="218"/>
      <c r="Q91" s="217"/>
      <c r="R91" s="218"/>
      <c r="S91" s="217"/>
      <c r="T91" s="218"/>
      <c r="U91" s="217"/>
      <c r="V91" s="218"/>
      <c r="W91" s="217"/>
      <c r="X91" s="218"/>
      <c r="Y91" s="217"/>
      <c r="Z91" s="218"/>
      <c r="AA91" s="217"/>
      <c r="AB91" s="218"/>
      <c r="AC91" s="217"/>
      <c r="AD91" s="218"/>
      <c r="AE91" s="217"/>
      <c r="AF91" s="218"/>
      <c r="AG91" s="217"/>
      <c r="AH91" s="218"/>
      <c r="AI91" s="217"/>
      <c r="AJ91" s="218"/>
      <c r="AK91" s="217"/>
      <c r="AL91" s="218"/>
      <c r="AM91" s="217"/>
      <c r="AN91" s="218"/>
      <c r="AO91" s="217"/>
      <c r="AP91" s="218"/>
      <c r="AQ91" s="217"/>
      <c r="AR91" s="218"/>
      <c r="AS91" s="217"/>
      <c r="AT91" s="218"/>
      <c r="AU91" s="218"/>
      <c r="AV91" s="217"/>
      <c r="AW91" s="218"/>
      <c r="AX91" s="218"/>
      <c r="AY91" s="217"/>
      <c r="AZ91" s="218"/>
      <c r="BA91" s="217"/>
      <c r="BB91" s="218"/>
      <c r="BC91" s="217"/>
      <c r="BD91" s="218"/>
      <c r="BE91" s="217"/>
      <c r="BF91" s="218"/>
      <c r="BG91" s="218"/>
      <c r="BH91" s="218"/>
      <c r="BI91" s="218"/>
      <c r="BJ91" s="218"/>
      <c r="BK91" s="220"/>
      <c r="BN91" s="203"/>
      <c r="BO91" s="203"/>
    </row>
    <row r="92" spans="1:67" ht="12" customHeight="1">
      <c r="A92" s="221"/>
      <c r="B92" s="219"/>
      <c r="C92" s="217"/>
      <c r="D92" s="218"/>
      <c r="E92" s="218"/>
      <c r="F92" s="218"/>
      <c r="G92" s="217"/>
      <c r="H92" s="217"/>
      <c r="I92" s="218"/>
      <c r="J92" s="218"/>
      <c r="K92" s="217"/>
      <c r="L92" s="218"/>
      <c r="M92" s="217"/>
      <c r="N92" s="218"/>
      <c r="O92" s="217"/>
      <c r="P92" s="218"/>
      <c r="Q92" s="217"/>
      <c r="R92" s="218"/>
      <c r="S92" s="217"/>
      <c r="T92" s="218"/>
      <c r="U92" s="217"/>
      <c r="V92" s="218"/>
      <c r="W92" s="217"/>
      <c r="X92" s="218"/>
      <c r="Y92" s="217"/>
      <c r="Z92" s="218"/>
      <c r="AA92" s="217"/>
      <c r="AB92" s="218"/>
      <c r="AC92" s="217"/>
      <c r="AD92" s="218"/>
      <c r="AE92" s="217"/>
      <c r="AF92" s="218"/>
      <c r="AG92" s="217"/>
      <c r="AH92" s="218"/>
      <c r="AI92" s="217"/>
      <c r="AJ92" s="218"/>
      <c r="AK92" s="217"/>
      <c r="AL92" s="218"/>
      <c r="AM92" s="217"/>
      <c r="AN92" s="218"/>
      <c r="AO92" s="217"/>
      <c r="AP92" s="218"/>
      <c r="AQ92" s="217"/>
      <c r="AR92" s="218"/>
      <c r="AS92" s="217"/>
      <c r="AT92" s="218"/>
      <c r="AU92" s="218"/>
      <c r="AV92" s="217"/>
      <c r="AW92" s="218"/>
      <c r="AX92" s="218"/>
      <c r="AY92" s="217"/>
      <c r="AZ92" s="218"/>
      <c r="BA92" s="217"/>
      <c r="BB92" s="218"/>
      <c r="BC92" s="217"/>
      <c r="BD92" s="218"/>
      <c r="BE92" s="217"/>
      <c r="BF92" s="218"/>
      <c r="BG92" s="218"/>
      <c r="BH92" s="218"/>
      <c r="BI92" s="218"/>
      <c r="BJ92" s="218"/>
      <c r="BK92" s="220"/>
      <c r="BN92" s="203"/>
      <c r="BO92" s="203"/>
    </row>
    <row r="93" spans="1:67" ht="12" customHeight="1">
      <c r="A93" s="221"/>
      <c r="B93" s="219"/>
      <c r="C93" s="217"/>
      <c r="D93" s="218"/>
      <c r="E93" s="218"/>
      <c r="F93" s="218"/>
      <c r="G93" s="217"/>
      <c r="H93" s="217"/>
      <c r="I93" s="218"/>
      <c r="J93" s="218"/>
      <c r="K93" s="217"/>
      <c r="L93" s="218"/>
      <c r="M93" s="217"/>
      <c r="N93" s="218"/>
      <c r="O93" s="217"/>
      <c r="P93" s="218"/>
      <c r="Q93" s="217"/>
      <c r="R93" s="218"/>
      <c r="S93" s="217"/>
      <c r="T93" s="218"/>
      <c r="U93" s="217"/>
      <c r="V93" s="218"/>
      <c r="W93" s="217"/>
      <c r="X93" s="218"/>
      <c r="Y93" s="217"/>
      <c r="Z93" s="218"/>
      <c r="AA93" s="217"/>
      <c r="AB93" s="218"/>
      <c r="AC93" s="217"/>
      <c r="AD93" s="218"/>
      <c r="AE93" s="217"/>
      <c r="AF93" s="218"/>
      <c r="AG93" s="217"/>
      <c r="AH93" s="218"/>
      <c r="AI93" s="217"/>
      <c r="AJ93" s="218"/>
      <c r="AK93" s="217"/>
      <c r="AL93" s="218"/>
      <c r="AM93" s="217"/>
      <c r="AN93" s="218"/>
      <c r="AO93" s="217"/>
      <c r="AP93" s="218"/>
      <c r="AQ93" s="217"/>
      <c r="AR93" s="218"/>
      <c r="AS93" s="217"/>
      <c r="AT93" s="218"/>
      <c r="AU93" s="218"/>
      <c r="AV93" s="217"/>
      <c r="AW93" s="218"/>
      <c r="AX93" s="218"/>
      <c r="AY93" s="217"/>
      <c r="AZ93" s="218"/>
      <c r="BA93" s="217"/>
      <c r="BB93" s="218"/>
      <c r="BC93" s="217"/>
      <c r="BD93" s="218"/>
      <c r="BE93" s="217"/>
      <c r="BF93" s="218"/>
      <c r="BG93" s="218"/>
      <c r="BH93" s="218"/>
      <c r="BI93" s="218"/>
      <c r="BJ93" s="218"/>
      <c r="BK93" s="220"/>
      <c r="BN93" s="203"/>
      <c r="BO93" s="203"/>
    </row>
    <row r="94" spans="1:67" ht="12" customHeight="1" thickBot="1">
      <c r="A94" s="496"/>
      <c r="B94" s="497"/>
      <c r="C94" s="213"/>
      <c r="D94" s="498"/>
      <c r="E94" s="498"/>
      <c r="F94" s="498"/>
      <c r="G94" s="213"/>
      <c r="H94" s="213"/>
      <c r="I94" s="498"/>
      <c r="J94" s="498"/>
      <c r="K94" s="213"/>
      <c r="L94" s="498"/>
      <c r="M94" s="213"/>
      <c r="N94" s="498"/>
      <c r="O94" s="213"/>
      <c r="P94" s="498"/>
      <c r="Q94" s="213"/>
      <c r="R94" s="498"/>
      <c r="S94" s="213"/>
      <c r="T94" s="498"/>
      <c r="U94" s="213"/>
      <c r="V94" s="498"/>
      <c r="W94" s="213"/>
      <c r="X94" s="498"/>
      <c r="Y94" s="213"/>
      <c r="Z94" s="498"/>
      <c r="AA94" s="213"/>
      <c r="AB94" s="498"/>
      <c r="AC94" s="213"/>
      <c r="AD94" s="498"/>
      <c r="AE94" s="213"/>
      <c r="AF94" s="498"/>
      <c r="AG94" s="213"/>
      <c r="AH94" s="498"/>
      <c r="AI94" s="213"/>
      <c r="AJ94" s="498"/>
      <c r="AK94" s="213"/>
      <c r="AL94" s="498"/>
      <c r="AM94" s="213"/>
      <c r="AN94" s="498"/>
      <c r="AO94" s="213"/>
      <c r="AP94" s="498"/>
      <c r="AQ94" s="213"/>
      <c r="AR94" s="498"/>
      <c r="AS94" s="213"/>
      <c r="AT94" s="498"/>
      <c r="AU94" s="498"/>
      <c r="AV94" s="213"/>
      <c r="AW94" s="498"/>
      <c r="AX94" s="498"/>
      <c r="AY94" s="213"/>
      <c r="AZ94" s="498"/>
      <c r="BA94" s="213"/>
      <c r="BB94" s="498"/>
      <c r="BC94" s="213"/>
      <c r="BD94" s="498"/>
      <c r="BE94" s="213"/>
      <c r="BF94" s="498"/>
      <c r="BG94" s="498"/>
      <c r="BH94" s="498"/>
      <c r="BI94" s="498"/>
      <c r="BJ94" s="498"/>
      <c r="BK94" s="499"/>
      <c r="BN94" s="203"/>
      <c r="BO94" s="203"/>
    </row>
    <row r="95" spans="1:67" ht="12" customHeight="1">
      <c r="A95" s="221"/>
      <c r="B95" s="219"/>
      <c r="C95" s="217"/>
      <c r="D95" s="218"/>
      <c r="E95" s="218"/>
      <c r="F95" s="218"/>
      <c r="G95" s="217"/>
      <c r="H95" s="217"/>
      <c r="I95" s="218"/>
      <c r="J95" s="218"/>
      <c r="K95" s="217"/>
      <c r="L95" s="218"/>
      <c r="M95" s="217"/>
      <c r="N95" s="218"/>
      <c r="O95" s="217"/>
      <c r="P95" s="218"/>
      <c r="Q95" s="217"/>
      <c r="R95" s="218"/>
      <c r="S95" s="217"/>
      <c r="T95" s="218"/>
      <c r="U95" s="217"/>
      <c r="V95" s="218"/>
      <c r="W95" s="217"/>
      <c r="X95" s="218"/>
      <c r="Y95" s="217"/>
      <c r="Z95" s="218"/>
      <c r="AA95" s="217"/>
      <c r="AB95" s="218"/>
      <c r="AC95" s="217"/>
      <c r="AD95" s="218"/>
      <c r="AE95" s="217"/>
      <c r="AF95" s="218"/>
      <c r="AG95" s="217"/>
      <c r="AH95" s="218"/>
      <c r="AI95" s="217"/>
      <c r="AJ95" s="218"/>
      <c r="AK95" s="217"/>
      <c r="AL95" s="218"/>
      <c r="AM95" s="217"/>
      <c r="AN95" s="218"/>
      <c r="AO95" s="217"/>
      <c r="AP95" s="218"/>
      <c r="AQ95" s="217"/>
      <c r="AR95" s="218"/>
      <c r="AS95" s="217"/>
      <c r="AT95" s="218"/>
      <c r="AU95" s="218"/>
      <c r="AV95" s="217"/>
      <c r="AW95" s="218"/>
      <c r="AX95" s="218"/>
      <c r="AY95" s="217"/>
      <c r="AZ95" s="218"/>
      <c r="BA95" s="217"/>
      <c r="BB95" s="218"/>
      <c r="BC95" s="217"/>
      <c r="BD95" s="218"/>
      <c r="BE95" s="217"/>
      <c r="BF95" s="218"/>
      <c r="BG95" s="218"/>
      <c r="BH95" s="218"/>
      <c r="BI95" s="218"/>
      <c r="BJ95" s="218"/>
      <c r="BK95" s="220"/>
      <c r="BN95" s="203"/>
      <c r="BO95" s="203"/>
    </row>
    <row r="96" spans="1:67" ht="12" customHeight="1">
      <c r="A96" s="221"/>
      <c r="B96" s="219"/>
      <c r="C96" s="217"/>
      <c r="D96" s="218"/>
      <c r="E96" s="218"/>
      <c r="F96" s="218"/>
      <c r="G96" s="217"/>
      <c r="H96" s="217"/>
      <c r="I96" s="218"/>
      <c r="J96" s="218"/>
      <c r="K96" s="217"/>
      <c r="L96" s="218"/>
      <c r="M96" s="217"/>
      <c r="N96" s="218"/>
      <c r="O96" s="217"/>
      <c r="P96" s="218"/>
      <c r="Q96" s="217"/>
      <c r="R96" s="218"/>
      <c r="S96" s="217"/>
      <c r="T96" s="218"/>
      <c r="U96" s="217"/>
      <c r="V96" s="218"/>
      <c r="W96" s="217"/>
      <c r="X96" s="218"/>
      <c r="Y96" s="217"/>
      <c r="Z96" s="218"/>
      <c r="AA96" s="217"/>
      <c r="AB96" s="218"/>
      <c r="AC96" s="217"/>
      <c r="AD96" s="218"/>
      <c r="AE96" s="217"/>
      <c r="AF96" s="218"/>
      <c r="AG96" s="217"/>
      <c r="AH96" s="218"/>
      <c r="AI96" s="217"/>
      <c r="AJ96" s="218"/>
      <c r="AK96" s="217"/>
      <c r="AL96" s="218"/>
      <c r="AM96" s="217"/>
      <c r="AN96" s="218"/>
      <c r="AO96" s="217"/>
      <c r="AP96" s="218"/>
      <c r="AQ96" s="217"/>
      <c r="AR96" s="218"/>
      <c r="AS96" s="217"/>
      <c r="AT96" s="218"/>
      <c r="AU96" s="218"/>
      <c r="AV96" s="217"/>
      <c r="AW96" s="218"/>
      <c r="AX96" s="218"/>
      <c r="AY96" s="217"/>
      <c r="AZ96" s="218"/>
      <c r="BA96" s="217"/>
      <c r="BB96" s="218"/>
      <c r="BC96" s="217"/>
      <c r="BD96" s="218"/>
      <c r="BE96" s="217"/>
      <c r="BF96" s="218"/>
      <c r="BG96" s="218"/>
      <c r="BH96" s="218"/>
      <c r="BI96" s="218"/>
      <c r="BJ96" s="218"/>
      <c r="BK96" s="220"/>
      <c r="BN96" s="203"/>
      <c r="BO96" s="203"/>
    </row>
    <row r="97" spans="1:67" ht="12" customHeight="1">
      <c r="A97" s="221"/>
      <c r="B97" s="219"/>
      <c r="C97" s="217"/>
      <c r="D97" s="218"/>
      <c r="E97" s="218"/>
      <c r="F97" s="218"/>
      <c r="G97" s="217"/>
      <c r="H97" s="217"/>
      <c r="I97" s="218"/>
      <c r="J97" s="218"/>
      <c r="K97" s="217"/>
      <c r="L97" s="218"/>
      <c r="M97" s="217"/>
      <c r="N97" s="218"/>
      <c r="O97" s="217"/>
      <c r="P97" s="218"/>
      <c r="Q97" s="217"/>
      <c r="R97" s="218"/>
      <c r="S97" s="217"/>
      <c r="T97" s="218"/>
      <c r="U97" s="217"/>
      <c r="V97" s="218"/>
      <c r="W97" s="217"/>
      <c r="X97" s="218"/>
      <c r="Y97" s="217"/>
      <c r="Z97" s="218"/>
      <c r="AA97" s="217"/>
      <c r="AB97" s="218"/>
      <c r="AC97" s="217"/>
      <c r="AD97" s="218"/>
      <c r="AE97" s="217"/>
      <c r="AF97" s="218"/>
      <c r="AG97" s="217"/>
      <c r="AH97" s="218"/>
      <c r="AI97" s="217"/>
      <c r="AJ97" s="218"/>
      <c r="AK97" s="217"/>
      <c r="AL97" s="218"/>
      <c r="AM97" s="217"/>
      <c r="AN97" s="218"/>
      <c r="AO97" s="217"/>
      <c r="AP97" s="218"/>
      <c r="AQ97" s="217"/>
      <c r="AR97" s="218"/>
      <c r="AS97" s="217"/>
      <c r="AT97" s="218"/>
      <c r="AU97" s="218"/>
      <c r="AV97" s="217"/>
      <c r="AW97" s="218"/>
      <c r="AX97" s="218"/>
      <c r="AY97" s="217"/>
      <c r="AZ97" s="218"/>
      <c r="BA97" s="217"/>
      <c r="BB97" s="218"/>
      <c r="BC97" s="217"/>
      <c r="BD97" s="218"/>
      <c r="BE97" s="217"/>
      <c r="BF97" s="218"/>
      <c r="BG97" s="218"/>
      <c r="BH97" s="218"/>
      <c r="BI97" s="218"/>
      <c r="BJ97" s="218"/>
      <c r="BK97" s="220"/>
      <c r="BN97" s="203"/>
      <c r="BO97" s="203"/>
    </row>
    <row r="98" spans="1:67" ht="12" customHeight="1">
      <c r="A98" s="221"/>
      <c r="B98" s="219"/>
      <c r="C98" s="217"/>
      <c r="D98" s="218"/>
      <c r="E98" s="218"/>
      <c r="F98" s="218"/>
      <c r="G98" s="217"/>
      <c r="H98" s="217"/>
      <c r="I98" s="218"/>
      <c r="J98" s="218"/>
      <c r="K98" s="217"/>
      <c r="L98" s="218"/>
      <c r="M98" s="217"/>
      <c r="N98" s="218"/>
      <c r="O98" s="217"/>
      <c r="P98" s="218"/>
      <c r="Q98" s="217"/>
      <c r="R98" s="218"/>
      <c r="S98" s="217"/>
      <c r="T98" s="218"/>
      <c r="U98" s="217"/>
      <c r="V98" s="218"/>
      <c r="W98" s="217"/>
      <c r="X98" s="218"/>
      <c r="Y98" s="217"/>
      <c r="Z98" s="218"/>
      <c r="AA98" s="217"/>
      <c r="AB98" s="218"/>
      <c r="AC98" s="217"/>
      <c r="AD98" s="218"/>
      <c r="AE98" s="217"/>
      <c r="AF98" s="218"/>
      <c r="AG98" s="217"/>
      <c r="AH98" s="218"/>
      <c r="AI98" s="217"/>
      <c r="AJ98" s="218"/>
      <c r="AK98" s="217"/>
      <c r="AL98" s="218"/>
      <c r="AM98" s="217"/>
      <c r="AN98" s="218"/>
      <c r="AO98" s="217"/>
      <c r="AP98" s="218"/>
      <c r="AQ98" s="217"/>
      <c r="AR98" s="218"/>
      <c r="AS98" s="217"/>
      <c r="AT98" s="218"/>
      <c r="AU98" s="218"/>
      <c r="AV98" s="217"/>
      <c r="AW98" s="218"/>
      <c r="AX98" s="218"/>
      <c r="AY98" s="217"/>
      <c r="AZ98" s="218"/>
      <c r="BA98" s="217"/>
      <c r="BB98" s="218"/>
      <c r="BC98" s="217"/>
      <c r="BD98" s="218"/>
      <c r="BE98" s="217"/>
      <c r="BF98" s="218"/>
      <c r="BG98" s="218"/>
      <c r="BH98" s="218"/>
      <c r="BI98" s="218"/>
      <c r="BJ98" s="218"/>
      <c r="BK98" s="220"/>
      <c r="BN98" s="203"/>
      <c r="BO98" s="203"/>
    </row>
    <row r="99" spans="1:67" ht="12" customHeight="1">
      <c r="A99" s="221"/>
      <c r="B99" s="219"/>
      <c r="C99" s="217"/>
      <c r="D99" s="218"/>
      <c r="E99" s="218"/>
      <c r="F99" s="218"/>
      <c r="G99" s="217"/>
      <c r="H99" s="217"/>
      <c r="I99" s="218"/>
      <c r="J99" s="218"/>
      <c r="K99" s="217"/>
      <c r="L99" s="218"/>
      <c r="M99" s="217"/>
      <c r="N99" s="218"/>
      <c r="O99" s="217"/>
      <c r="P99" s="218"/>
      <c r="Q99" s="217"/>
      <c r="R99" s="218"/>
      <c r="S99" s="217"/>
      <c r="T99" s="218"/>
      <c r="U99" s="217"/>
      <c r="V99" s="218"/>
      <c r="W99" s="217"/>
      <c r="X99" s="218"/>
      <c r="Y99" s="217"/>
      <c r="Z99" s="218"/>
      <c r="AA99" s="217"/>
      <c r="AB99" s="218"/>
      <c r="AC99" s="217"/>
      <c r="AD99" s="218"/>
      <c r="AE99" s="217"/>
      <c r="AF99" s="218"/>
      <c r="AG99" s="217"/>
      <c r="AH99" s="218"/>
      <c r="AI99" s="217"/>
      <c r="AJ99" s="218"/>
      <c r="AK99" s="217"/>
      <c r="AL99" s="218"/>
      <c r="AM99" s="217"/>
      <c r="AN99" s="218"/>
      <c r="AO99" s="217"/>
      <c r="AP99" s="218"/>
      <c r="AQ99" s="217"/>
      <c r="AR99" s="218"/>
      <c r="AS99" s="217"/>
      <c r="AT99" s="218"/>
      <c r="AU99" s="218"/>
      <c r="AV99" s="217"/>
      <c r="AW99" s="218"/>
      <c r="AX99" s="218"/>
      <c r="AY99" s="217"/>
      <c r="AZ99" s="218"/>
      <c r="BA99" s="217"/>
      <c r="BB99" s="218"/>
      <c r="BC99" s="217"/>
      <c r="BD99" s="218"/>
      <c r="BE99" s="217"/>
      <c r="BF99" s="218"/>
      <c r="BG99" s="218"/>
      <c r="BH99" s="218"/>
      <c r="BI99" s="218"/>
      <c r="BJ99" s="218"/>
      <c r="BK99" s="220"/>
      <c r="BN99" s="203"/>
      <c r="BO99" s="203"/>
    </row>
    <row r="100" spans="1:67" ht="12" customHeight="1">
      <c r="A100" s="221"/>
      <c r="B100" s="219"/>
      <c r="C100" s="217"/>
      <c r="D100" s="218"/>
      <c r="E100" s="218"/>
      <c r="F100" s="218"/>
      <c r="G100" s="217"/>
      <c r="H100" s="217"/>
      <c r="I100" s="218"/>
      <c r="J100" s="218"/>
      <c r="K100" s="217"/>
      <c r="L100" s="218"/>
      <c r="M100" s="217"/>
      <c r="N100" s="218"/>
      <c r="O100" s="217"/>
      <c r="P100" s="218"/>
      <c r="Q100" s="217"/>
      <c r="R100" s="218"/>
      <c r="S100" s="217"/>
      <c r="T100" s="218"/>
      <c r="U100" s="217"/>
      <c r="V100" s="218"/>
      <c r="W100" s="217"/>
      <c r="X100" s="218"/>
      <c r="Y100" s="217"/>
      <c r="Z100" s="218"/>
      <c r="AA100" s="217"/>
      <c r="AB100" s="218"/>
      <c r="AC100" s="217"/>
      <c r="AD100" s="218"/>
      <c r="AE100" s="217"/>
      <c r="AF100" s="218"/>
      <c r="AG100" s="217"/>
      <c r="AH100" s="218"/>
      <c r="AI100" s="217"/>
      <c r="AJ100" s="218"/>
      <c r="AK100" s="217"/>
      <c r="AL100" s="218"/>
      <c r="AM100" s="217"/>
      <c r="AN100" s="218"/>
      <c r="AO100" s="217"/>
      <c r="AP100" s="218"/>
      <c r="AQ100" s="217"/>
      <c r="AR100" s="218"/>
      <c r="AS100" s="217"/>
      <c r="AT100" s="218"/>
      <c r="AU100" s="218"/>
      <c r="AV100" s="217"/>
      <c r="AW100" s="218"/>
      <c r="AX100" s="218"/>
      <c r="AY100" s="217"/>
      <c r="AZ100" s="218"/>
      <c r="BA100" s="217"/>
      <c r="BB100" s="218"/>
      <c r="BC100" s="217"/>
      <c r="BD100" s="218"/>
      <c r="BE100" s="217"/>
      <c r="BF100" s="218"/>
      <c r="BG100" s="218"/>
      <c r="BH100" s="218"/>
      <c r="BI100" s="218"/>
      <c r="BJ100" s="218"/>
      <c r="BK100" s="220"/>
      <c r="BN100" s="203"/>
      <c r="BO100" s="203"/>
    </row>
    <row r="101" spans="1:67" ht="12" customHeight="1" thickBot="1">
      <c r="A101" s="496"/>
      <c r="B101" s="497"/>
      <c r="C101" s="213"/>
      <c r="D101" s="498"/>
      <c r="E101" s="498"/>
      <c r="F101" s="498"/>
      <c r="G101" s="213"/>
      <c r="H101" s="213"/>
      <c r="I101" s="498"/>
      <c r="J101" s="498"/>
      <c r="K101" s="213"/>
      <c r="L101" s="498"/>
      <c r="M101" s="213"/>
      <c r="N101" s="498"/>
      <c r="O101" s="213"/>
      <c r="P101" s="498"/>
      <c r="Q101" s="213"/>
      <c r="R101" s="498"/>
      <c r="S101" s="213"/>
      <c r="T101" s="498"/>
      <c r="U101" s="213"/>
      <c r="V101" s="498"/>
      <c r="W101" s="213"/>
      <c r="X101" s="498"/>
      <c r="Y101" s="213"/>
      <c r="Z101" s="498"/>
      <c r="AA101" s="213"/>
      <c r="AB101" s="498"/>
      <c r="AC101" s="213"/>
      <c r="AD101" s="498"/>
      <c r="AE101" s="213"/>
      <c r="AF101" s="498"/>
      <c r="AG101" s="213"/>
      <c r="AH101" s="498"/>
      <c r="AI101" s="213"/>
      <c r="AJ101" s="498"/>
      <c r="AK101" s="213"/>
      <c r="AL101" s="498"/>
      <c r="AM101" s="213"/>
      <c r="AN101" s="498"/>
      <c r="AO101" s="213"/>
      <c r="AP101" s="498"/>
      <c r="AQ101" s="213"/>
      <c r="AR101" s="498"/>
      <c r="AS101" s="213"/>
      <c r="AT101" s="498"/>
      <c r="AU101" s="498"/>
      <c r="AV101" s="213"/>
      <c r="AW101" s="498"/>
      <c r="AX101" s="498"/>
      <c r="AY101" s="213"/>
      <c r="AZ101" s="498"/>
      <c r="BA101" s="213"/>
      <c r="BB101" s="498"/>
      <c r="BC101" s="213"/>
      <c r="BD101" s="498"/>
      <c r="BE101" s="213"/>
      <c r="BF101" s="498"/>
      <c r="BG101" s="498"/>
      <c r="BH101" s="498"/>
      <c r="BI101" s="498"/>
      <c r="BJ101" s="498"/>
      <c r="BK101" s="499"/>
      <c r="BN101" s="203"/>
      <c r="BO101" s="203"/>
    </row>
    <row r="102" spans="1:67" ht="12" customHeight="1">
      <c r="A102" s="221"/>
      <c r="B102" s="219"/>
      <c r="C102" s="217"/>
      <c r="D102" s="218"/>
      <c r="E102" s="218"/>
      <c r="F102" s="218"/>
      <c r="G102" s="217"/>
      <c r="H102" s="217"/>
      <c r="I102" s="218"/>
      <c r="J102" s="218"/>
      <c r="K102" s="217"/>
      <c r="L102" s="218"/>
      <c r="M102" s="217"/>
      <c r="N102" s="218"/>
      <c r="O102" s="217"/>
      <c r="P102" s="218"/>
      <c r="Q102" s="217"/>
      <c r="R102" s="218"/>
      <c r="S102" s="217"/>
      <c r="T102" s="218"/>
      <c r="U102" s="217"/>
      <c r="V102" s="218"/>
      <c r="W102" s="217"/>
      <c r="X102" s="218"/>
      <c r="Y102" s="217"/>
      <c r="Z102" s="218"/>
      <c r="AA102" s="217"/>
      <c r="AB102" s="218"/>
      <c r="AC102" s="217"/>
      <c r="AD102" s="218"/>
      <c r="AE102" s="217"/>
      <c r="AF102" s="218"/>
      <c r="AG102" s="217"/>
      <c r="AH102" s="218"/>
      <c r="AI102" s="217"/>
      <c r="AJ102" s="218"/>
      <c r="AK102" s="217"/>
      <c r="AL102" s="218"/>
      <c r="AM102" s="217"/>
      <c r="AN102" s="218"/>
      <c r="AO102" s="217"/>
      <c r="AP102" s="218"/>
      <c r="AQ102" s="217"/>
      <c r="AR102" s="218"/>
      <c r="AS102" s="217"/>
      <c r="AT102" s="218"/>
      <c r="AU102" s="218"/>
      <c r="AV102" s="217"/>
      <c r="AW102" s="218"/>
      <c r="AX102" s="218"/>
      <c r="AY102" s="217"/>
      <c r="AZ102" s="218"/>
      <c r="BA102" s="217"/>
      <c r="BB102" s="218"/>
      <c r="BC102" s="217"/>
      <c r="BD102" s="218"/>
      <c r="BE102" s="217"/>
      <c r="BF102" s="218"/>
      <c r="BG102" s="218"/>
      <c r="BH102" s="218"/>
      <c r="BI102" s="218"/>
      <c r="BJ102" s="218"/>
      <c r="BK102" s="220"/>
      <c r="BN102" s="203"/>
      <c r="BO102" s="203"/>
    </row>
    <row r="103" spans="1:67" ht="12" customHeight="1">
      <c r="A103" s="221"/>
      <c r="B103" s="219"/>
      <c r="C103" s="217"/>
      <c r="D103" s="218"/>
      <c r="E103" s="218"/>
      <c r="F103" s="218"/>
      <c r="G103" s="217"/>
      <c r="H103" s="217"/>
      <c r="I103" s="218"/>
      <c r="J103" s="218"/>
      <c r="K103" s="217"/>
      <c r="L103" s="218"/>
      <c r="M103" s="217"/>
      <c r="N103" s="218"/>
      <c r="O103" s="217"/>
      <c r="P103" s="218"/>
      <c r="Q103" s="217"/>
      <c r="R103" s="218"/>
      <c r="S103" s="217"/>
      <c r="T103" s="218"/>
      <c r="U103" s="217"/>
      <c r="V103" s="218"/>
      <c r="W103" s="217"/>
      <c r="X103" s="218"/>
      <c r="Y103" s="217"/>
      <c r="Z103" s="218"/>
      <c r="AA103" s="217"/>
      <c r="AB103" s="218"/>
      <c r="AC103" s="217"/>
      <c r="AD103" s="218"/>
      <c r="AE103" s="217"/>
      <c r="AF103" s="218"/>
      <c r="AG103" s="217"/>
      <c r="AH103" s="218"/>
      <c r="AI103" s="217"/>
      <c r="AJ103" s="218"/>
      <c r="AK103" s="217"/>
      <c r="AL103" s="218"/>
      <c r="AM103" s="217"/>
      <c r="AN103" s="218"/>
      <c r="AO103" s="217"/>
      <c r="AP103" s="218"/>
      <c r="AQ103" s="217"/>
      <c r="AR103" s="218"/>
      <c r="AS103" s="217"/>
      <c r="AT103" s="218"/>
      <c r="AU103" s="218"/>
      <c r="AV103" s="217"/>
      <c r="AW103" s="218"/>
      <c r="AX103" s="218"/>
      <c r="AY103" s="217"/>
      <c r="AZ103" s="218"/>
      <c r="BA103" s="217"/>
      <c r="BB103" s="218"/>
      <c r="BC103" s="217"/>
      <c r="BD103" s="218"/>
      <c r="BE103" s="217"/>
      <c r="BF103" s="218"/>
      <c r="BG103" s="218"/>
      <c r="BH103" s="218"/>
      <c r="BI103" s="218"/>
      <c r="BJ103" s="218"/>
      <c r="BK103" s="220"/>
      <c r="BN103" s="203"/>
      <c r="BO103" s="203"/>
    </row>
    <row r="104" spans="1:67" ht="12" customHeight="1">
      <c r="A104" s="221"/>
      <c r="B104" s="219"/>
      <c r="C104" s="217"/>
      <c r="D104" s="218"/>
      <c r="E104" s="218"/>
      <c r="F104" s="218"/>
      <c r="G104" s="217"/>
      <c r="H104" s="217"/>
      <c r="I104" s="218"/>
      <c r="J104" s="218"/>
      <c r="K104" s="217"/>
      <c r="L104" s="218"/>
      <c r="M104" s="217"/>
      <c r="N104" s="218"/>
      <c r="O104" s="217"/>
      <c r="P104" s="218"/>
      <c r="Q104" s="217"/>
      <c r="R104" s="218"/>
      <c r="S104" s="217"/>
      <c r="T104" s="218"/>
      <c r="U104" s="217"/>
      <c r="V104" s="218"/>
      <c r="W104" s="217"/>
      <c r="X104" s="218"/>
      <c r="Y104" s="217"/>
      <c r="Z104" s="218"/>
      <c r="AA104" s="217"/>
      <c r="AB104" s="218"/>
      <c r="AC104" s="217"/>
      <c r="AD104" s="218"/>
      <c r="AE104" s="217"/>
      <c r="AF104" s="218"/>
      <c r="AG104" s="217"/>
      <c r="AH104" s="218"/>
      <c r="AI104" s="217"/>
      <c r="AJ104" s="218"/>
      <c r="AK104" s="217"/>
      <c r="AL104" s="218"/>
      <c r="AM104" s="217"/>
      <c r="AN104" s="218"/>
      <c r="AO104" s="217"/>
      <c r="AP104" s="218"/>
      <c r="AQ104" s="217"/>
      <c r="AR104" s="218"/>
      <c r="AS104" s="217"/>
      <c r="AT104" s="218"/>
      <c r="AU104" s="218"/>
      <c r="AV104" s="217"/>
      <c r="AW104" s="218"/>
      <c r="AX104" s="218"/>
      <c r="AY104" s="217"/>
      <c r="AZ104" s="218"/>
      <c r="BA104" s="217"/>
      <c r="BB104" s="218"/>
      <c r="BC104" s="217"/>
      <c r="BD104" s="218"/>
      <c r="BE104" s="217"/>
      <c r="BF104" s="218"/>
      <c r="BG104" s="218"/>
      <c r="BH104" s="218"/>
      <c r="BI104" s="218"/>
      <c r="BJ104" s="218"/>
      <c r="BK104" s="220"/>
      <c r="BN104" s="203"/>
      <c r="BO104" s="203"/>
    </row>
    <row r="105" spans="1:67" ht="12" customHeight="1">
      <c r="A105" s="221"/>
      <c r="B105" s="219"/>
      <c r="C105" s="217"/>
      <c r="D105" s="218"/>
      <c r="E105" s="218"/>
      <c r="F105" s="218"/>
      <c r="G105" s="217"/>
      <c r="H105" s="217"/>
      <c r="I105" s="218"/>
      <c r="J105" s="218"/>
      <c r="K105" s="217"/>
      <c r="L105" s="218"/>
      <c r="M105" s="217"/>
      <c r="N105" s="218"/>
      <c r="O105" s="217"/>
      <c r="P105" s="218"/>
      <c r="Q105" s="217"/>
      <c r="R105" s="218"/>
      <c r="S105" s="217"/>
      <c r="T105" s="218"/>
      <c r="U105" s="217"/>
      <c r="V105" s="218"/>
      <c r="W105" s="217"/>
      <c r="X105" s="218"/>
      <c r="Y105" s="217"/>
      <c r="Z105" s="218"/>
      <c r="AA105" s="217"/>
      <c r="AB105" s="218"/>
      <c r="AC105" s="217"/>
      <c r="AD105" s="218"/>
      <c r="AE105" s="217"/>
      <c r="AF105" s="218"/>
      <c r="AG105" s="217"/>
      <c r="AH105" s="218"/>
      <c r="AI105" s="217"/>
      <c r="AJ105" s="218"/>
      <c r="AK105" s="217"/>
      <c r="AL105" s="218"/>
      <c r="AM105" s="217"/>
      <c r="AN105" s="218"/>
      <c r="AO105" s="217"/>
      <c r="AP105" s="218"/>
      <c r="AQ105" s="217"/>
      <c r="AR105" s="218"/>
      <c r="AS105" s="217"/>
      <c r="AT105" s="218"/>
      <c r="AU105" s="218"/>
      <c r="AV105" s="217"/>
      <c r="AW105" s="218"/>
      <c r="AX105" s="218"/>
      <c r="AY105" s="217"/>
      <c r="AZ105" s="218"/>
      <c r="BA105" s="217"/>
      <c r="BB105" s="218"/>
      <c r="BC105" s="217"/>
      <c r="BD105" s="218"/>
      <c r="BE105" s="217"/>
      <c r="BF105" s="218"/>
      <c r="BG105" s="218"/>
      <c r="BH105" s="218"/>
      <c r="BI105" s="218"/>
      <c r="BJ105" s="218"/>
      <c r="BK105" s="220"/>
      <c r="BN105" s="203"/>
      <c r="BO105" s="203"/>
    </row>
    <row r="106" spans="1:67" ht="12" customHeight="1">
      <c r="A106" s="221"/>
      <c r="B106" s="219"/>
      <c r="C106" s="217"/>
      <c r="D106" s="218"/>
      <c r="E106" s="218"/>
      <c r="F106" s="218"/>
      <c r="G106" s="217"/>
      <c r="H106" s="217"/>
      <c r="I106" s="218"/>
      <c r="J106" s="218"/>
      <c r="K106" s="217"/>
      <c r="L106" s="218"/>
      <c r="M106" s="217"/>
      <c r="N106" s="218"/>
      <c r="O106" s="217"/>
      <c r="P106" s="218"/>
      <c r="Q106" s="217"/>
      <c r="R106" s="218"/>
      <c r="S106" s="217"/>
      <c r="T106" s="218"/>
      <c r="U106" s="217"/>
      <c r="V106" s="218"/>
      <c r="W106" s="217"/>
      <c r="X106" s="218"/>
      <c r="Y106" s="217"/>
      <c r="Z106" s="218"/>
      <c r="AA106" s="217"/>
      <c r="AB106" s="218"/>
      <c r="AC106" s="217"/>
      <c r="AD106" s="218"/>
      <c r="AE106" s="217"/>
      <c r="AF106" s="218"/>
      <c r="AG106" s="217"/>
      <c r="AH106" s="218"/>
      <c r="AI106" s="217"/>
      <c r="AJ106" s="218"/>
      <c r="AK106" s="217"/>
      <c r="AL106" s="218"/>
      <c r="AM106" s="217"/>
      <c r="AN106" s="218"/>
      <c r="AO106" s="217"/>
      <c r="AP106" s="218"/>
      <c r="AQ106" s="217"/>
      <c r="AR106" s="218"/>
      <c r="AS106" s="217"/>
      <c r="AT106" s="218"/>
      <c r="AU106" s="218"/>
      <c r="AV106" s="217"/>
      <c r="AW106" s="218"/>
      <c r="AX106" s="218"/>
      <c r="AY106" s="217"/>
      <c r="AZ106" s="218"/>
      <c r="BA106" s="217"/>
      <c r="BB106" s="218"/>
      <c r="BC106" s="217"/>
      <c r="BD106" s="218"/>
      <c r="BE106" s="217"/>
      <c r="BF106" s="218"/>
      <c r="BG106" s="218"/>
      <c r="BH106" s="218"/>
      <c r="BI106" s="218"/>
      <c r="BJ106" s="218"/>
      <c r="BK106" s="220"/>
      <c r="BN106" s="203"/>
      <c r="BO106" s="203"/>
    </row>
    <row r="107" spans="1:67" ht="12" customHeight="1">
      <c r="A107" s="221"/>
      <c r="B107" s="219"/>
      <c r="C107" s="217"/>
      <c r="D107" s="218"/>
      <c r="E107" s="218"/>
      <c r="F107" s="218"/>
      <c r="G107" s="217"/>
      <c r="H107" s="217"/>
      <c r="I107" s="218"/>
      <c r="J107" s="218"/>
      <c r="K107" s="217"/>
      <c r="L107" s="218"/>
      <c r="M107" s="217"/>
      <c r="N107" s="218"/>
      <c r="O107" s="217"/>
      <c r="P107" s="218"/>
      <c r="Q107" s="217"/>
      <c r="R107" s="218"/>
      <c r="S107" s="217"/>
      <c r="T107" s="218"/>
      <c r="U107" s="217"/>
      <c r="V107" s="218"/>
      <c r="W107" s="217"/>
      <c r="X107" s="218"/>
      <c r="Y107" s="217"/>
      <c r="Z107" s="218"/>
      <c r="AA107" s="217"/>
      <c r="AB107" s="218"/>
      <c r="AC107" s="217"/>
      <c r="AD107" s="218"/>
      <c r="AE107" s="217"/>
      <c r="AF107" s="218"/>
      <c r="AG107" s="217"/>
      <c r="AH107" s="218"/>
      <c r="AI107" s="217"/>
      <c r="AJ107" s="218"/>
      <c r="AK107" s="217"/>
      <c r="AL107" s="218"/>
      <c r="AM107" s="217"/>
      <c r="AN107" s="218"/>
      <c r="AO107" s="217"/>
      <c r="AP107" s="218"/>
      <c r="AQ107" s="217"/>
      <c r="AR107" s="218"/>
      <c r="AS107" s="217"/>
      <c r="AT107" s="218"/>
      <c r="AU107" s="218"/>
      <c r="AV107" s="217"/>
      <c r="AW107" s="218"/>
      <c r="AX107" s="218"/>
      <c r="AY107" s="217"/>
      <c r="AZ107" s="218"/>
      <c r="BA107" s="217"/>
      <c r="BB107" s="218"/>
      <c r="BC107" s="217"/>
      <c r="BD107" s="218"/>
      <c r="BE107" s="217"/>
      <c r="BF107" s="218"/>
      <c r="BG107" s="218"/>
      <c r="BH107" s="218"/>
      <c r="BI107" s="218"/>
      <c r="BJ107" s="218"/>
      <c r="BK107" s="220"/>
      <c r="BN107" s="203"/>
      <c r="BO107" s="203"/>
    </row>
    <row r="108" spans="1:67" ht="12" customHeight="1" thickBot="1">
      <c r="A108" s="496"/>
      <c r="B108" s="497"/>
      <c r="C108" s="213"/>
      <c r="D108" s="498"/>
      <c r="E108" s="498"/>
      <c r="F108" s="498"/>
      <c r="G108" s="213"/>
      <c r="H108" s="213"/>
      <c r="I108" s="498"/>
      <c r="J108" s="498"/>
      <c r="K108" s="213"/>
      <c r="L108" s="498"/>
      <c r="M108" s="213"/>
      <c r="N108" s="498"/>
      <c r="O108" s="213"/>
      <c r="P108" s="498"/>
      <c r="Q108" s="213"/>
      <c r="R108" s="498"/>
      <c r="S108" s="213"/>
      <c r="T108" s="498"/>
      <c r="U108" s="213"/>
      <c r="V108" s="498"/>
      <c r="W108" s="213"/>
      <c r="X108" s="498"/>
      <c r="Y108" s="213"/>
      <c r="Z108" s="498"/>
      <c r="AA108" s="213"/>
      <c r="AB108" s="498"/>
      <c r="AC108" s="213"/>
      <c r="AD108" s="498"/>
      <c r="AE108" s="213"/>
      <c r="AF108" s="498"/>
      <c r="AG108" s="213"/>
      <c r="AH108" s="498"/>
      <c r="AI108" s="213"/>
      <c r="AJ108" s="498"/>
      <c r="AK108" s="213"/>
      <c r="AL108" s="498"/>
      <c r="AM108" s="213"/>
      <c r="AN108" s="498"/>
      <c r="AO108" s="213"/>
      <c r="AP108" s="498"/>
      <c r="AQ108" s="213"/>
      <c r="AR108" s="498"/>
      <c r="AS108" s="213"/>
      <c r="AT108" s="498"/>
      <c r="AU108" s="498"/>
      <c r="AV108" s="213"/>
      <c r="AW108" s="498"/>
      <c r="AX108" s="498"/>
      <c r="AY108" s="213"/>
      <c r="AZ108" s="498"/>
      <c r="BA108" s="213"/>
      <c r="BB108" s="498"/>
      <c r="BC108" s="213"/>
      <c r="BD108" s="498"/>
      <c r="BE108" s="213"/>
      <c r="BF108" s="498"/>
      <c r="BG108" s="498"/>
      <c r="BH108" s="498"/>
      <c r="BI108" s="498"/>
      <c r="BJ108" s="498"/>
      <c r="BK108" s="499"/>
      <c r="BN108" s="203"/>
      <c r="BO108" s="203"/>
    </row>
    <row r="109" spans="1:67" ht="12" customHeight="1">
      <c r="A109" s="221"/>
      <c r="B109" s="219"/>
      <c r="C109" s="217"/>
      <c r="D109" s="218"/>
      <c r="E109" s="218"/>
      <c r="F109" s="218"/>
      <c r="G109" s="217"/>
      <c r="H109" s="217"/>
      <c r="I109" s="218"/>
      <c r="J109" s="218"/>
      <c r="K109" s="217"/>
      <c r="L109" s="218"/>
      <c r="M109" s="217"/>
      <c r="N109" s="218"/>
      <c r="O109" s="217"/>
      <c r="P109" s="218"/>
      <c r="Q109" s="217"/>
      <c r="R109" s="218"/>
      <c r="S109" s="217"/>
      <c r="T109" s="218"/>
      <c r="U109" s="217"/>
      <c r="V109" s="218"/>
      <c r="W109" s="217"/>
      <c r="X109" s="218"/>
      <c r="Y109" s="217"/>
      <c r="Z109" s="218"/>
      <c r="AA109" s="217"/>
      <c r="AB109" s="218"/>
      <c r="AC109" s="217"/>
      <c r="AD109" s="218"/>
      <c r="AE109" s="217"/>
      <c r="AF109" s="218"/>
      <c r="AG109" s="217"/>
      <c r="AH109" s="218"/>
      <c r="AI109" s="217"/>
      <c r="AJ109" s="218"/>
      <c r="AK109" s="217"/>
      <c r="AL109" s="218"/>
      <c r="AM109" s="217"/>
      <c r="AN109" s="218"/>
      <c r="AO109" s="217"/>
      <c r="AP109" s="218"/>
      <c r="AQ109" s="217"/>
      <c r="AR109" s="218"/>
      <c r="AS109" s="217"/>
      <c r="AT109" s="218"/>
      <c r="AU109" s="218"/>
      <c r="AV109" s="217"/>
      <c r="AW109" s="218"/>
      <c r="AX109" s="218"/>
      <c r="AY109" s="217"/>
      <c r="AZ109" s="218"/>
      <c r="BA109" s="217"/>
      <c r="BB109" s="218"/>
      <c r="BC109" s="217"/>
      <c r="BD109" s="218"/>
      <c r="BE109" s="217"/>
      <c r="BF109" s="218"/>
      <c r="BG109" s="218"/>
      <c r="BH109" s="218"/>
      <c r="BI109" s="218"/>
      <c r="BJ109" s="218"/>
      <c r="BK109" s="220"/>
      <c r="BN109" s="203"/>
      <c r="BO109" s="203"/>
    </row>
    <row r="110" spans="1:67" ht="12" customHeight="1">
      <c r="A110" s="221"/>
      <c r="B110" s="219"/>
      <c r="C110" s="217"/>
      <c r="D110" s="218"/>
      <c r="E110" s="218"/>
      <c r="F110" s="218"/>
      <c r="G110" s="217"/>
      <c r="H110" s="217"/>
      <c r="I110" s="218"/>
      <c r="J110" s="218"/>
      <c r="K110" s="217"/>
      <c r="L110" s="218"/>
      <c r="M110" s="217"/>
      <c r="N110" s="218"/>
      <c r="O110" s="217"/>
      <c r="P110" s="218"/>
      <c r="Q110" s="217"/>
      <c r="R110" s="218"/>
      <c r="S110" s="217"/>
      <c r="T110" s="218"/>
      <c r="U110" s="217"/>
      <c r="V110" s="218"/>
      <c r="W110" s="217"/>
      <c r="X110" s="218"/>
      <c r="Y110" s="217"/>
      <c r="Z110" s="218"/>
      <c r="AA110" s="217"/>
      <c r="AB110" s="218"/>
      <c r="AC110" s="217"/>
      <c r="AD110" s="218"/>
      <c r="AE110" s="217"/>
      <c r="AF110" s="218"/>
      <c r="AG110" s="217"/>
      <c r="AH110" s="218"/>
      <c r="AI110" s="217"/>
      <c r="AJ110" s="218"/>
      <c r="AK110" s="217"/>
      <c r="AL110" s="218"/>
      <c r="AM110" s="217"/>
      <c r="AN110" s="218"/>
      <c r="AO110" s="217"/>
      <c r="AP110" s="218"/>
      <c r="AQ110" s="217"/>
      <c r="AR110" s="218"/>
      <c r="AS110" s="217"/>
      <c r="AT110" s="218"/>
      <c r="AU110" s="218"/>
      <c r="AV110" s="217"/>
      <c r="AW110" s="218"/>
      <c r="AX110" s="218"/>
      <c r="AY110" s="217"/>
      <c r="AZ110" s="218"/>
      <c r="BA110" s="217"/>
      <c r="BB110" s="218"/>
      <c r="BC110" s="217"/>
      <c r="BD110" s="218"/>
      <c r="BE110" s="217"/>
      <c r="BF110" s="218"/>
      <c r="BG110" s="218"/>
      <c r="BH110" s="218"/>
      <c r="BI110" s="218"/>
      <c r="BJ110" s="218"/>
      <c r="BK110" s="220"/>
      <c r="BN110" s="203"/>
      <c r="BO110" s="203"/>
    </row>
    <row r="111" spans="1:67" ht="12" customHeight="1">
      <c r="A111" s="221"/>
      <c r="B111" s="219"/>
      <c r="C111" s="217"/>
      <c r="D111" s="218"/>
      <c r="E111" s="218"/>
      <c r="F111" s="218"/>
      <c r="G111" s="217"/>
      <c r="H111" s="217"/>
      <c r="I111" s="218"/>
      <c r="J111" s="218"/>
      <c r="K111" s="217"/>
      <c r="L111" s="218"/>
      <c r="M111" s="217"/>
      <c r="N111" s="218"/>
      <c r="O111" s="217"/>
      <c r="P111" s="218"/>
      <c r="Q111" s="217"/>
      <c r="R111" s="218"/>
      <c r="S111" s="217"/>
      <c r="T111" s="218"/>
      <c r="U111" s="217"/>
      <c r="V111" s="218"/>
      <c r="W111" s="217"/>
      <c r="X111" s="218"/>
      <c r="Y111" s="217"/>
      <c r="Z111" s="218"/>
      <c r="AA111" s="217"/>
      <c r="AB111" s="218"/>
      <c r="AC111" s="217"/>
      <c r="AD111" s="218"/>
      <c r="AE111" s="217"/>
      <c r="AF111" s="218"/>
      <c r="AG111" s="217"/>
      <c r="AH111" s="218"/>
      <c r="AI111" s="217"/>
      <c r="AJ111" s="218"/>
      <c r="AK111" s="217"/>
      <c r="AL111" s="218"/>
      <c r="AM111" s="217"/>
      <c r="AN111" s="218"/>
      <c r="AO111" s="217"/>
      <c r="AP111" s="218"/>
      <c r="AQ111" s="217"/>
      <c r="AR111" s="218"/>
      <c r="AS111" s="217"/>
      <c r="AT111" s="218"/>
      <c r="AU111" s="218"/>
      <c r="AV111" s="217"/>
      <c r="AW111" s="218"/>
      <c r="AX111" s="218"/>
      <c r="AY111" s="217"/>
      <c r="AZ111" s="218"/>
      <c r="BA111" s="217"/>
      <c r="BB111" s="218"/>
      <c r="BC111" s="217"/>
      <c r="BD111" s="218"/>
      <c r="BE111" s="217"/>
      <c r="BF111" s="218"/>
      <c r="BG111" s="218"/>
      <c r="BH111" s="218"/>
      <c r="BI111" s="218"/>
      <c r="BJ111" s="218"/>
      <c r="BK111" s="220"/>
      <c r="BN111" s="203"/>
      <c r="BO111" s="203"/>
    </row>
    <row r="112" spans="1:67" ht="12" customHeight="1">
      <c r="A112" s="221"/>
      <c r="B112" s="219"/>
      <c r="C112" s="217"/>
      <c r="D112" s="218"/>
      <c r="E112" s="218"/>
      <c r="F112" s="218"/>
      <c r="G112" s="217"/>
      <c r="H112" s="217"/>
      <c r="I112" s="218"/>
      <c r="J112" s="218"/>
      <c r="K112" s="217"/>
      <c r="L112" s="218"/>
      <c r="M112" s="217"/>
      <c r="N112" s="218"/>
      <c r="O112" s="217"/>
      <c r="P112" s="218"/>
      <c r="Q112" s="217"/>
      <c r="R112" s="218"/>
      <c r="S112" s="217"/>
      <c r="T112" s="218"/>
      <c r="U112" s="217"/>
      <c r="V112" s="218"/>
      <c r="W112" s="217"/>
      <c r="X112" s="218"/>
      <c r="Y112" s="217"/>
      <c r="Z112" s="218"/>
      <c r="AA112" s="217"/>
      <c r="AB112" s="218"/>
      <c r="AC112" s="217"/>
      <c r="AD112" s="218"/>
      <c r="AE112" s="217"/>
      <c r="AF112" s="218"/>
      <c r="AG112" s="217"/>
      <c r="AH112" s="218"/>
      <c r="AI112" s="217"/>
      <c r="AJ112" s="218"/>
      <c r="AK112" s="217"/>
      <c r="AL112" s="218"/>
      <c r="AM112" s="217"/>
      <c r="AN112" s="218"/>
      <c r="AO112" s="217"/>
      <c r="AP112" s="218"/>
      <c r="AQ112" s="217"/>
      <c r="AR112" s="218"/>
      <c r="AS112" s="217"/>
      <c r="AT112" s="218"/>
      <c r="AU112" s="218"/>
      <c r="AV112" s="217"/>
      <c r="AW112" s="218"/>
      <c r="AX112" s="218"/>
      <c r="AY112" s="217"/>
      <c r="AZ112" s="218"/>
      <c r="BA112" s="217"/>
      <c r="BB112" s="218"/>
      <c r="BC112" s="217"/>
      <c r="BD112" s="218"/>
      <c r="BE112" s="217"/>
      <c r="BF112" s="218"/>
      <c r="BG112" s="218"/>
      <c r="BH112" s="218"/>
      <c r="BI112" s="218"/>
      <c r="BJ112" s="218"/>
      <c r="BK112" s="220"/>
      <c r="BN112" s="203"/>
      <c r="BO112" s="203"/>
    </row>
    <row r="113" spans="1:67" ht="12" customHeight="1">
      <c r="A113" s="221"/>
      <c r="B113" s="219"/>
      <c r="C113" s="217"/>
      <c r="D113" s="218"/>
      <c r="E113" s="218"/>
      <c r="F113" s="218"/>
      <c r="G113" s="217"/>
      <c r="H113" s="217"/>
      <c r="I113" s="218"/>
      <c r="J113" s="218"/>
      <c r="K113" s="217"/>
      <c r="L113" s="218"/>
      <c r="M113" s="217"/>
      <c r="N113" s="218"/>
      <c r="O113" s="217"/>
      <c r="P113" s="218"/>
      <c r="Q113" s="217"/>
      <c r="R113" s="218"/>
      <c r="S113" s="217"/>
      <c r="T113" s="218"/>
      <c r="U113" s="217"/>
      <c r="V113" s="218"/>
      <c r="W113" s="217"/>
      <c r="X113" s="218"/>
      <c r="Y113" s="217"/>
      <c r="Z113" s="218"/>
      <c r="AA113" s="217"/>
      <c r="AB113" s="218"/>
      <c r="AC113" s="217"/>
      <c r="AD113" s="218"/>
      <c r="AE113" s="217"/>
      <c r="AF113" s="218"/>
      <c r="AG113" s="217"/>
      <c r="AH113" s="218"/>
      <c r="AI113" s="217"/>
      <c r="AJ113" s="218"/>
      <c r="AK113" s="217"/>
      <c r="AL113" s="218"/>
      <c r="AM113" s="217"/>
      <c r="AN113" s="218"/>
      <c r="AO113" s="217"/>
      <c r="AP113" s="218"/>
      <c r="AQ113" s="217"/>
      <c r="AR113" s="218"/>
      <c r="AS113" s="217"/>
      <c r="AT113" s="218"/>
      <c r="AU113" s="218"/>
      <c r="AV113" s="217"/>
      <c r="AW113" s="218"/>
      <c r="AX113" s="218"/>
      <c r="AY113" s="217"/>
      <c r="AZ113" s="218"/>
      <c r="BA113" s="217"/>
      <c r="BB113" s="218"/>
      <c r="BC113" s="217"/>
      <c r="BD113" s="218"/>
      <c r="BE113" s="217"/>
      <c r="BF113" s="218"/>
      <c r="BG113" s="218"/>
      <c r="BH113" s="218"/>
      <c r="BI113" s="218"/>
      <c r="BJ113" s="218"/>
      <c r="BK113" s="220"/>
      <c r="BN113" s="203"/>
      <c r="BO113" s="203"/>
    </row>
    <row r="114" spans="1:67" ht="12" customHeight="1">
      <c r="A114" s="221"/>
      <c r="B114" s="219"/>
      <c r="C114" s="217"/>
      <c r="D114" s="218"/>
      <c r="E114" s="218"/>
      <c r="F114" s="218"/>
      <c r="G114" s="217"/>
      <c r="H114" s="217"/>
      <c r="I114" s="218"/>
      <c r="J114" s="218"/>
      <c r="K114" s="217"/>
      <c r="L114" s="218"/>
      <c r="M114" s="217"/>
      <c r="N114" s="218"/>
      <c r="O114" s="217"/>
      <c r="P114" s="218"/>
      <c r="Q114" s="217"/>
      <c r="R114" s="218"/>
      <c r="S114" s="217"/>
      <c r="T114" s="218"/>
      <c r="U114" s="217"/>
      <c r="V114" s="218"/>
      <c r="W114" s="217"/>
      <c r="X114" s="218"/>
      <c r="Y114" s="217"/>
      <c r="Z114" s="218"/>
      <c r="AA114" s="217"/>
      <c r="AB114" s="218"/>
      <c r="AC114" s="217"/>
      <c r="AD114" s="218"/>
      <c r="AE114" s="217"/>
      <c r="AF114" s="218"/>
      <c r="AG114" s="217"/>
      <c r="AH114" s="218"/>
      <c r="AI114" s="217"/>
      <c r="AJ114" s="218"/>
      <c r="AK114" s="217"/>
      <c r="AL114" s="218"/>
      <c r="AM114" s="217"/>
      <c r="AN114" s="218"/>
      <c r="AO114" s="217"/>
      <c r="AP114" s="218"/>
      <c r="AQ114" s="217"/>
      <c r="AR114" s="218"/>
      <c r="AS114" s="217"/>
      <c r="AT114" s="218"/>
      <c r="AU114" s="218"/>
      <c r="AV114" s="217"/>
      <c r="AW114" s="218"/>
      <c r="AX114" s="218"/>
      <c r="AY114" s="217"/>
      <c r="AZ114" s="218"/>
      <c r="BA114" s="217"/>
      <c r="BB114" s="218"/>
      <c r="BC114" s="217"/>
      <c r="BD114" s="218"/>
      <c r="BE114" s="217"/>
      <c r="BF114" s="218"/>
      <c r="BG114" s="218"/>
      <c r="BH114" s="218"/>
      <c r="BI114" s="218"/>
      <c r="BJ114" s="218"/>
      <c r="BK114" s="220"/>
      <c r="BN114" s="203"/>
      <c r="BO114" s="203"/>
    </row>
    <row r="115" spans="1:67" ht="12" customHeight="1" thickBot="1">
      <c r="A115" s="496"/>
      <c r="B115" s="497"/>
      <c r="C115" s="213"/>
      <c r="D115" s="498"/>
      <c r="E115" s="498"/>
      <c r="F115" s="498"/>
      <c r="G115" s="213"/>
      <c r="H115" s="213"/>
      <c r="I115" s="498"/>
      <c r="J115" s="498"/>
      <c r="K115" s="213"/>
      <c r="L115" s="498"/>
      <c r="M115" s="213"/>
      <c r="N115" s="498"/>
      <c r="O115" s="213"/>
      <c r="P115" s="498"/>
      <c r="Q115" s="213"/>
      <c r="R115" s="498"/>
      <c r="S115" s="213"/>
      <c r="T115" s="498"/>
      <c r="U115" s="213"/>
      <c r="V115" s="498"/>
      <c r="W115" s="213"/>
      <c r="X115" s="498"/>
      <c r="Y115" s="213"/>
      <c r="Z115" s="498"/>
      <c r="AA115" s="213"/>
      <c r="AB115" s="498"/>
      <c r="AC115" s="213"/>
      <c r="AD115" s="498"/>
      <c r="AE115" s="213"/>
      <c r="AF115" s="498"/>
      <c r="AG115" s="213"/>
      <c r="AH115" s="498"/>
      <c r="AI115" s="213"/>
      <c r="AJ115" s="498"/>
      <c r="AK115" s="213"/>
      <c r="AL115" s="498"/>
      <c r="AM115" s="213"/>
      <c r="AN115" s="498"/>
      <c r="AO115" s="213"/>
      <c r="AP115" s="498"/>
      <c r="AQ115" s="213"/>
      <c r="AR115" s="498"/>
      <c r="AS115" s="213"/>
      <c r="AT115" s="498"/>
      <c r="AU115" s="498"/>
      <c r="AV115" s="213"/>
      <c r="AW115" s="498"/>
      <c r="AX115" s="498"/>
      <c r="AY115" s="213"/>
      <c r="AZ115" s="498"/>
      <c r="BA115" s="213"/>
      <c r="BB115" s="498"/>
      <c r="BC115" s="213"/>
      <c r="BD115" s="498"/>
      <c r="BE115" s="213"/>
      <c r="BF115" s="498"/>
      <c r="BG115" s="498"/>
      <c r="BH115" s="498"/>
      <c r="BI115" s="498"/>
      <c r="BJ115" s="498"/>
      <c r="BK115" s="499"/>
      <c r="BN115" s="203"/>
      <c r="BO115" s="203"/>
    </row>
    <row r="116" spans="1:67" ht="12" customHeight="1">
      <c r="A116" s="221"/>
      <c r="B116" s="219"/>
      <c r="C116" s="217"/>
      <c r="D116" s="218"/>
      <c r="E116" s="218"/>
      <c r="F116" s="218"/>
      <c r="G116" s="217"/>
      <c r="H116" s="217"/>
      <c r="I116" s="218"/>
      <c r="J116" s="218"/>
      <c r="K116" s="217"/>
      <c r="L116" s="218"/>
      <c r="M116" s="217"/>
      <c r="N116" s="218"/>
      <c r="O116" s="217"/>
      <c r="P116" s="218"/>
      <c r="Q116" s="217"/>
      <c r="R116" s="218"/>
      <c r="S116" s="217"/>
      <c r="T116" s="218"/>
      <c r="U116" s="217"/>
      <c r="V116" s="218"/>
      <c r="W116" s="217"/>
      <c r="X116" s="218"/>
      <c r="Y116" s="217"/>
      <c r="Z116" s="218"/>
      <c r="AA116" s="217"/>
      <c r="AB116" s="218"/>
      <c r="AC116" s="217"/>
      <c r="AD116" s="218"/>
      <c r="AE116" s="217"/>
      <c r="AF116" s="218"/>
      <c r="AG116" s="217"/>
      <c r="AH116" s="218"/>
      <c r="AI116" s="217"/>
      <c r="AJ116" s="218"/>
      <c r="AK116" s="217"/>
      <c r="AL116" s="218"/>
      <c r="AM116" s="217"/>
      <c r="AN116" s="218"/>
      <c r="AO116" s="217"/>
      <c r="AP116" s="218"/>
      <c r="AQ116" s="217"/>
      <c r="AR116" s="218"/>
      <c r="AS116" s="217"/>
      <c r="AT116" s="218"/>
      <c r="AU116" s="218"/>
      <c r="AV116" s="217"/>
      <c r="AW116" s="218"/>
      <c r="AX116" s="218"/>
      <c r="AY116" s="217"/>
      <c r="AZ116" s="218"/>
      <c r="BA116" s="217"/>
      <c r="BB116" s="218"/>
      <c r="BC116" s="217"/>
      <c r="BD116" s="218"/>
      <c r="BE116" s="217"/>
      <c r="BF116" s="218"/>
      <c r="BG116" s="218"/>
      <c r="BH116" s="218"/>
      <c r="BI116" s="218"/>
      <c r="BJ116" s="218"/>
      <c r="BK116" s="220"/>
      <c r="BN116" s="203"/>
      <c r="BO116" s="203"/>
    </row>
    <row r="117" spans="1:67" ht="12" customHeight="1">
      <c r="A117" s="221"/>
      <c r="B117" s="219"/>
      <c r="C117" s="217"/>
      <c r="D117" s="218"/>
      <c r="E117" s="218"/>
      <c r="F117" s="218"/>
      <c r="G117" s="217"/>
      <c r="H117" s="217"/>
      <c r="I117" s="218"/>
      <c r="J117" s="218"/>
      <c r="K117" s="217"/>
      <c r="L117" s="218"/>
      <c r="M117" s="217"/>
      <c r="N117" s="218"/>
      <c r="O117" s="217"/>
      <c r="P117" s="218"/>
      <c r="Q117" s="217"/>
      <c r="R117" s="218"/>
      <c r="S117" s="217"/>
      <c r="T117" s="218"/>
      <c r="U117" s="217"/>
      <c r="V117" s="218"/>
      <c r="W117" s="217"/>
      <c r="X117" s="218"/>
      <c r="Y117" s="217"/>
      <c r="Z117" s="218"/>
      <c r="AA117" s="217"/>
      <c r="AB117" s="218"/>
      <c r="AC117" s="217"/>
      <c r="AD117" s="218"/>
      <c r="AE117" s="217"/>
      <c r="AF117" s="218"/>
      <c r="AG117" s="217"/>
      <c r="AH117" s="218"/>
      <c r="AI117" s="217"/>
      <c r="AJ117" s="218"/>
      <c r="AK117" s="217"/>
      <c r="AL117" s="218"/>
      <c r="AM117" s="217"/>
      <c r="AN117" s="218"/>
      <c r="AO117" s="217"/>
      <c r="AP117" s="218"/>
      <c r="AQ117" s="217"/>
      <c r="AR117" s="218"/>
      <c r="AS117" s="217"/>
      <c r="AT117" s="218"/>
      <c r="AU117" s="218"/>
      <c r="AV117" s="217"/>
      <c r="AW117" s="218"/>
      <c r="AX117" s="218"/>
      <c r="AY117" s="217"/>
      <c r="AZ117" s="218"/>
      <c r="BA117" s="217"/>
      <c r="BB117" s="218"/>
      <c r="BC117" s="217"/>
      <c r="BD117" s="218"/>
      <c r="BE117" s="217"/>
      <c r="BF117" s="218"/>
      <c r="BG117" s="218"/>
      <c r="BH117" s="218"/>
      <c r="BI117" s="218"/>
      <c r="BJ117" s="218"/>
      <c r="BK117" s="220"/>
      <c r="BN117" s="203"/>
      <c r="BO117" s="203"/>
    </row>
    <row r="118" spans="1:67" ht="12" customHeight="1">
      <c r="A118" s="221"/>
      <c r="B118" s="219"/>
      <c r="C118" s="217"/>
      <c r="D118" s="218"/>
      <c r="E118" s="218"/>
      <c r="F118" s="218"/>
      <c r="G118" s="217"/>
      <c r="H118" s="217"/>
      <c r="I118" s="218"/>
      <c r="J118" s="218"/>
      <c r="K118" s="217"/>
      <c r="L118" s="218"/>
      <c r="M118" s="217"/>
      <c r="N118" s="218"/>
      <c r="O118" s="217"/>
      <c r="P118" s="218"/>
      <c r="Q118" s="217"/>
      <c r="R118" s="218"/>
      <c r="S118" s="217"/>
      <c r="T118" s="218"/>
      <c r="U118" s="217"/>
      <c r="V118" s="218"/>
      <c r="W118" s="217"/>
      <c r="X118" s="218"/>
      <c r="Y118" s="217"/>
      <c r="Z118" s="218"/>
      <c r="AA118" s="217"/>
      <c r="AB118" s="218"/>
      <c r="AC118" s="217"/>
      <c r="AD118" s="218"/>
      <c r="AE118" s="217"/>
      <c r="AF118" s="218"/>
      <c r="AG118" s="217"/>
      <c r="AH118" s="218"/>
      <c r="AI118" s="217"/>
      <c r="AJ118" s="218"/>
      <c r="AK118" s="217"/>
      <c r="AL118" s="218"/>
      <c r="AM118" s="217"/>
      <c r="AN118" s="218"/>
      <c r="AO118" s="217"/>
      <c r="AP118" s="218"/>
      <c r="AQ118" s="217"/>
      <c r="AR118" s="218"/>
      <c r="AS118" s="217"/>
      <c r="AT118" s="218"/>
      <c r="AU118" s="218"/>
      <c r="AV118" s="217"/>
      <c r="AW118" s="218"/>
      <c r="AX118" s="218"/>
      <c r="AY118" s="217"/>
      <c r="AZ118" s="218"/>
      <c r="BA118" s="217"/>
      <c r="BB118" s="218"/>
      <c r="BC118" s="217"/>
      <c r="BD118" s="218"/>
      <c r="BE118" s="217"/>
      <c r="BF118" s="218"/>
      <c r="BG118" s="218"/>
      <c r="BH118" s="218"/>
      <c r="BI118" s="218"/>
      <c r="BJ118" s="218"/>
      <c r="BK118" s="220"/>
      <c r="BN118" s="203"/>
      <c r="BO118" s="203"/>
    </row>
    <row r="119" spans="1:67" ht="12" customHeight="1">
      <c r="A119" s="221"/>
      <c r="B119" s="219"/>
      <c r="C119" s="217"/>
      <c r="D119" s="218"/>
      <c r="E119" s="218"/>
      <c r="F119" s="218"/>
      <c r="G119" s="217"/>
      <c r="H119" s="217"/>
      <c r="I119" s="218"/>
      <c r="J119" s="218"/>
      <c r="K119" s="217"/>
      <c r="L119" s="218"/>
      <c r="M119" s="217"/>
      <c r="N119" s="218"/>
      <c r="O119" s="217"/>
      <c r="P119" s="218"/>
      <c r="Q119" s="217"/>
      <c r="R119" s="218"/>
      <c r="S119" s="217"/>
      <c r="T119" s="218"/>
      <c r="U119" s="217"/>
      <c r="V119" s="218"/>
      <c r="W119" s="217"/>
      <c r="X119" s="218"/>
      <c r="Y119" s="217"/>
      <c r="Z119" s="218"/>
      <c r="AA119" s="217"/>
      <c r="AB119" s="218"/>
      <c r="AC119" s="217"/>
      <c r="AD119" s="218"/>
      <c r="AE119" s="217"/>
      <c r="AF119" s="218"/>
      <c r="AG119" s="217"/>
      <c r="AH119" s="218"/>
      <c r="AI119" s="217"/>
      <c r="AJ119" s="218"/>
      <c r="AK119" s="217"/>
      <c r="AL119" s="218"/>
      <c r="AM119" s="217"/>
      <c r="AN119" s="218"/>
      <c r="AO119" s="217"/>
      <c r="AP119" s="218"/>
      <c r="AQ119" s="217"/>
      <c r="AR119" s="218"/>
      <c r="AS119" s="217"/>
      <c r="AT119" s="218"/>
      <c r="AU119" s="218"/>
      <c r="AV119" s="217"/>
      <c r="AW119" s="218"/>
      <c r="AX119" s="218"/>
      <c r="AY119" s="217"/>
      <c r="AZ119" s="218"/>
      <c r="BA119" s="217"/>
      <c r="BB119" s="218"/>
      <c r="BC119" s="217"/>
      <c r="BD119" s="218"/>
      <c r="BE119" s="217"/>
      <c r="BF119" s="218"/>
      <c r="BG119" s="218"/>
      <c r="BH119" s="218"/>
      <c r="BI119" s="218"/>
      <c r="BJ119" s="218"/>
      <c r="BK119" s="220"/>
      <c r="BN119" s="203"/>
      <c r="BO119" s="203"/>
    </row>
    <row r="120" spans="1:67" ht="12" customHeight="1">
      <c r="A120" s="221"/>
      <c r="B120" s="219"/>
      <c r="C120" s="217"/>
      <c r="D120" s="218"/>
      <c r="E120" s="218"/>
      <c r="F120" s="218"/>
      <c r="G120" s="217"/>
      <c r="H120" s="217"/>
      <c r="I120" s="218"/>
      <c r="J120" s="218"/>
      <c r="K120" s="217"/>
      <c r="L120" s="218"/>
      <c r="M120" s="217"/>
      <c r="N120" s="218"/>
      <c r="O120" s="217"/>
      <c r="P120" s="218"/>
      <c r="Q120" s="217"/>
      <c r="R120" s="218"/>
      <c r="S120" s="217"/>
      <c r="T120" s="218"/>
      <c r="U120" s="217"/>
      <c r="V120" s="218"/>
      <c r="W120" s="217"/>
      <c r="X120" s="218"/>
      <c r="Y120" s="217"/>
      <c r="Z120" s="218"/>
      <c r="AA120" s="217"/>
      <c r="AB120" s="218"/>
      <c r="AC120" s="217"/>
      <c r="AD120" s="218"/>
      <c r="AE120" s="217"/>
      <c r="AF120" s="218"/>
      <c r="AG120" s="217"/>
      <c r="AH120" s="218"/>
      <c r="AI120" s="217"/>
      <c r="AJ120" s="218"/>
      <c r="AK120" s="217"/>
      <c r="AL120" s="218"/>
      <c r="AM120" s="217"/>
      <c r="AN120" s="218"/>
      <c r="AO120" s="217"/>
      <c r="AP120" s="218"/>
      <c r="AQ120" s="217"/>
      <c r="AR120" s="218"/>
      <c r="AS120" s="217"/>
      <c r="AT120" s="218"/>
      <c r="AU120" s="218"/>
      <c r="AV120" s="217"/>
      <c r="AW120" s="218"/>
      <c r="AX120" s="218"/>
      <c r="AY120" s="217"/>
      <c r="AZ120" s="218"/>
      <c r="BA120" s="217"/>
      <c r="BB120" s="218"/>
      <c r="BC120" s="217"/>
      <c r="BD120" s="218"/>
      <c r="BE120" s="217"/>
      <c r="BF120" s="218"/>
      <c r="BG120" s="218"/>
      <c r="BH120" s="218"/>
      <c r="BI120" s="218"/>
      <c r="BJ120" s="218"/>
      <c r="BK120" s="220"/>
      <c r="BN120" s="203"/>
      <c r="BO120" s="203"/>
    </row>
    <row r="121" spans="1:67" ht="12" customHeight="1">
      <c r="A121" s="221"/>
      <c r="B121" s="219"/>
      <c r="C121" s="217"/>
      <c r="D121" s="218"/>
      <c r="E121" s="218"/>
      <c r="F121" s="218"/>
      <c r="G121" s="217"/>
      <c r="H121" s="217"/>
      <c r="I121" s="218"/>
      <c r="J121" s="218"/>
      <c r="K121" s="217"/>
      <c r="L121" s="218"/>
      <c r="M121" s="217"/>
      <c r="N121" s="218"/>
      <c r="O121" s="217"/>
      <c r="P121" s="218"/>
      <c r="Q121" s="217"/>
      <c r="R121" s="218"/>
      <c r="S121" s="217"/>
      <c r="T121" s="218"/>
      <c r="U121" s="217"/>
      <c r="V121" s="218"/>
      <c r="W121" s="217"/>
      <c r="X121" s="218"/>
      <c r="Y121" s="217"/>
      <c r="Z121" s="218"/>
      <c r="AA121" s="217"/>
      <c r="AB121" s="218"/>
      <c r="AC121" s="217"/>
      <c r="AD121" s="218"/>
      <c r="AE121" s="217"/>
      <c r="AF121" s="218"/>
      <c r="AG121" s="217"/>
      <c r="AH121" s="218"/>
      <c r="AI121" s="217"/>
      <c r="AJ121" s="218"/>
      <c r="AK121" s="217"/>
      <c r="AL121" s="218"/>
      <c r="AM121" s="217"/>
      <c r="AN121" s="218"/>
      <c r="AO121" s="217"/>
      <c r="AP121" s="218"/>
      <c r="AQ121" s="217"/>
      <c r="AR121" s="218"/>
      <c r="AS121" s="217"/>
      <c r="AT121" s="218"/>
      <c r="AU121" s="218"/>
      <c r="AV121" s="217"/>
      <c r="AW121" s="218"/>
      <c r="AX121" s="218"/>
      <c r="AY121" s="217"/>
      <c r="AZ121" s="218"/>
      <c r="BA121" s="217"/>
      <c r="BB121" s="218"/>
      <c r="BC121" s="217"/>
      <c r="BD121" s="218"/>
      <c r="BE121" s="217"/>
      <c r="BF121" s="218"/>
      <c r="BG121" s="218"/>
      <c r="BH121" s="218"/>
      <c r="BI121" s="218"/>
      <c r="BJ121" s="218"/>
      <c r="BK121" s="220"/>
      <c r="BN121" s="203"/>
      <c r="BO121" s="203"/>
    </row>
    <row r="122" spans="1:67" ht="12" customHeight="1" thickBot="1">
      <c r="A122" s="496"/>
      <c r="B122" s="497"/>
      <c r="C122" s="213"/>
      <c r="D122" s="498"/>
      <c r="E122" s="498"/>
      <c r="F122" s="498"/>
      <c r="G122" s="213"/>
      <c r="H122" s="213"/>
      <c r="I122" s="498"/>
      <c r="J122" s="498"/>
      <c r="K122" s="213"/>
      <c r="L122" s="498"/>
      <c r="M122" s="213"/>
      <c r="N122" s="498"/>
      <c r="O122" s="213"/>
      <c r="P122" s="498"/>
      <c r="Q122" s="213"/>
      <c r="R122" s="498"/>
      <c r="S122" s="213"/>
      <c r="T122" s="498"/>
      <c r="U122" s="213"/>
      <c r="V122" s="498"/>
      <c r="W122" s="213"/>
      <c r="X122" s="498"/>
      <c r="Y122" s="213"/>
      <c r="Z122" s="498"/>
      <c r="AA122" s="213"/>
      <c r="AB122" s="498"/>
      <c r="AC122" s="213"/>
      <c r="AD122" s="498"/>
      <c r="AE122" s="213"/>
      <c r="AF122" s="498"/>
      <c r="AG122" s="213"/>
      <c r="AH122" s="498"/>
      <c r="AI122" s="213"/>
      <c r="AJ122" s="498"/>
      <c r="AK122" s="213"/>
      <c r="AL122" s="498"/>
      <c r="AM122" s="213"/>
      <c r="AN122" s="498"/>
      <c r="AO122" s="213"/>
      <c r="AP122" s="498"/>
      <c r="AQ122" s="213"/>
      <c r="AR122" s="498"/>
      <c r="AS122" s="213"/>
      <c r="AT122" s="498"/>
      <c r="AU122" s="498"/>
      <c r="AV122" s="213"/>
      <c r="AW122" s="498"/>
      <c r="AX122" s="498"/>
      <c r="AY122" s="213"/>
      <c r="AZ122" s="498"/>
      <c r="BA122" s="213"/>
      <c r="BB122" s="498"/>
      <c r="BC122" s="213"/>
      <c r="BD122" s="498"/>
      <c r="BE122" s="213"/>
      <c r="BF122" s="498"/>
      <c r="BG122" s="498"/>
      <c r="BH122" s="498"/>
      <c r="BI122" s="498"/>
      <c r="BJ122" s="498"/>
      <c r="BK122" s="499"/>
      <c r="BN122" s="203"/>
      <c r="BO122" s="203"/>
    </row>
    <row r="123" spans="1:67" ht="12" customHeight="1">
      <c r="A123" s="221"/>
      <c r="B123" s="219"/>
      <c r="C123" s="217"/>
      <c r="D123" s="218"/>
      <c r="E123" s="218"/>
      <c r="F123" s="218"/>
      <c r="G123" s="217"/>
      <c r="H123" s="217"/>
      <c r="I123" s="218"/>
      <c r="J123" s="218"/>
      <c r="K123" s="217"/>
      <c r="L123" s="218"/>
      <c r="M123" s="217"/>
      <c r="N123" s="218"/>
      <c r="O123" s="217"/>
      <c r="P123" s="218"/>
      <c r="Q123" s="217"/>
      <c r="R123" s="218"/>
      <c r="S123" s="217"/>
      <c r="T123" s="218"/>
      <c r="U123" s="217"/>
      <c r="V123" s="218"/>
      <c r="W123" s="217"/>
      <c r="X123" s="218"/>
      <c r="Y123" s="217"/>
      <c r="Z123" s="218"/>
      <c r="AA123" s="217"/>
      <c r="AB123" s="218"/>
      <c r="AC123" s="217"/>
      <c r="AD123" s="218"/>
      <c r="AE123" s="217"/>
      <c r="AF123" s="218"/>
      <c r="AG123" s="217"/>
      <c r="AH123" s="218"/>
      <c r="AI123" s="217"/>
      <c r="AJ123" s="218"/>
      <c r="AK123" s="217"/>
      <c r="AL123" s="218"/>
      <c r="AM123" s="217"/>
      <c r="AN123" s="218"/>
      <c r="AO123" s="217"/>
      <c r="AP123" s="218"/>
      <c r="AQ123" s="217"/>
      <c r="AR123" s="218"/>
      <c r="AS123" s="217"/>
      <c r="AT123" s="218"/>
      <c r="AU123" s="218"/>
      <c r="AV123" s="217"/>
      <c r="AW123" s="218"/>
      <c r="AX123" s="218"/>
      <c r="AY123" s="217"/>
      <c r="AZ123" s="218"/>
      <c r="BA123" s="217"/>
      <c r="BB123" s="218"/>
      <c r="BC123" s="217"/>
      <c r="BD123" s="218"/>
      <c r="BE123" s="217"/>
      <c r="BF123" s="218"/>
      <c r="BG123" s="218"/>
      <c r="BH123" s="218"/>
      <c r="BI123" s="218"/>
      <c r="BJ123" s="218"/>
      <c r="BK123" s="220"/>
      <c r="BN123" s="203"/>
      <c r="BO123" s="203"/>
    </row>
    <row r="124" spans="1:67" ht="12" customHeight="1">
      <c r="A124" s="221"/>
      <c r="B124" s="219"/>
      <c r="C124" s="217"/>
      <c r="D124" s="218"/>
      <c r="E124" s="218"/>
      <c r="F124" s="218"/>
      <c r="G124" s="217"/>
      <c r="H124" s="217"/>
      <c r="I124" s="218"/>
      <c r="J124" s="218"/>
      <c r="K124" s="217"/>
      <c r="L124" s="218"/>
      <c r="M124" s="217"/>
      <c r="N124" s="218"/>
      <c r="O124" s="217"/>
      <c r="P124" s="218"/>
      <c r="Q124" s="217"/>
      <c r="R124" s="218"/>
      <c r="S124" s="217"/>
      <c r="T124" s="218"/>
      <c r="U124" s="217"/>
      <c r="V124" s="218"/>
      <c r="W124" s="217"/>
      <c r="X124" s="218"/>
      <c r="Y124" s="217"/>
      <c r="Z124" s="218"/>
      <c r="AA124" s="217"/>
      <c r="AB124" s="218"/>
      <c r="AC124" s="217"/>
      <c r="AD124" s="218"/>
      <c r="AE124" s="217"/>
      <c r="AF124" s="218"/>
      <c r="AG124" s="217"/>
      <c r="AH124" s="218"/>
      <c r="AI124" s="217"/>
      <c r="AJ124" s="218"/>
      <c r="AK124" s="217"/>
      <c r="AL124" s="218"/>
      <c r="AM124" s="217"/>
      <c r="AN124" s="218"/>
      <c r="AO124" s="217"/>
      <c r="AP124" s="218"/>
      <c r="AQ124" s="217"/>
      <c r="AR124" s="218"/>
      <c r="AS124" s="217"/>
      <c r="AT124" s="218"/>
      <c r="AU124" s="218"/>
      <c r="AV124" s="217"/>
      <c r="AW124" s="218"/>
      <c r="AX124" s="218"/>
      <c r="AY124" s="217"/>
      <c r="AZ124" s="218"/>
      <c r="BA124" s="217"/>
      <c r="BB124" s="218"/>
      <c r="BC124" s="217"/>
      <c r="BD124" s="218"/>
      <c r="BE124" s="217"/>
      <c r="BF124" s="218"/>
      <c r="BG124" s="218"/>
      <c r="BH124" s="218"/>
      <c r="BI124" s="218"/>
      <c r="BJ124" s="218"/>
      <c r="BK124" s="220"/>
      <c r="BN124" s="203"/>
      <c r="BO124" s="203"/>
    </row>
    <row r="125" spans="1:67" ht="12" customHeight="1">
      <c r="A125" s="221"/>
      <c r="B125" s="219"/>
      <c r="C125" s="217"/>
      <c r="D125" s="218"/>
      <c r="E125" s="218"/>
      <c r="F125" s="218"/>
      <c r="G125" s="217"/>
      <c r="H125" s="217"/>
      <c r="I125" s="218"/>
      <c r="J125" s="218"/>
      <c r="K125" s="217"/>
      <c r="L125" s="218"/>
      <c r="M125" s="217"/>
      <c r="N125" s="218"/>
      <c r="O125" s="217"/>
      <c r="P125" s="218"/>
      <c r="Q125" s="217"/>
      <c r="R125" s="218"/>
      <c r="S125" s="217"/>
      <c r="T125" s="218"/>
      <c r="U125" s="217"/>
      <c r="V125" s="218"/>
      <c r="W125" s="217"/>
      <c r="X125" s="218"/>
      <c r="Y125" s="217"/>
      <c r="Z125" s="218"/>
      <c r="AA125" s="217"/>
      <c r="AB125" s="218"/>
      <c r="AC125" s="217"/>
      <c r="AD125" s="218"/>
      <c r="AE125" s="217"/>
      <c r="AF125" s="218"/>
      <c r="AG125" s="217"/>
      <c r="AH125" s="218"/>
      <c r="AI125" s="217"/>
      <c r="AJ125" s="218"/>
      <c r="AK125" s="217"/>
      <c r="AL125" s="218"/>
      <c r="AM125" s="217"/>
      <c r="AN125" s="218"/>
      <c r="AO125" s="217"/>
      <c r="AP125" s="218"/>
      <c r="AQ125" s="217"/>
      <c r="AR125" s="218"/>
      <c r="AS125" s="217"/>
      <c r="AT125" s="218"/>
      <c r="AU125" s="218"/>
      <c r="AV125" s="217"/>
      <c r="AW125" s="218"/>
      <c r="AX125" s="218"/>
      <c r="AY125" s="217"/>
      <c r="AZ125" s="218"/>
      <c r="BA125" s="217"/>
      <c r="BB125" s="218"/>
      <c r="BC125" s="217"/>
      <c r="BD125" s="218"/>
      <c r="BE125" s="217"/>
      <c r="BF125" s="218"/>
      <c r="BG125" s="218"/>
      <c r="BH125" s="218"/>
      <c r="BI125" s="218"/>
      <c r="BJ125" s="218"/>
      <c r="BK125" s="220"/>
      <c r="BN125" s="203"/>
      <c r="BO125" s="203"/>
    </row>
    <row r="126" spans="1:67" ht="12" customHeight="1">
      <c r="A126" s="221"/>
      <c r="B126" s="219"/>
      <c r="C126" s="217"/>
      <c r="D126" s="218"/>
      <c r="E126" s="218"/>
      <c r="F126" s="218"/>
      <c r="G126" s="217"/>
      <c r="H126" s="217"/>
      <c r="I126" s="218"/>
      <c r="J126" s="218"/>
      <c r="K126" s="217"/>
      <c r="L126" s="218"/>
      <c r="M126" s="217"/>
      <c r="N126" s="218"/>
      <c r="O126" s="217"/>
      <c r="P126" s="218"/>
      <c r="Q126" s="217"/>
      <c r="R126" s="218"/>
      <c r="S126" s="217"/>
      <c r="T126" s="218"/>
      <c r="U126" s="217"/>
      <c r="V126" s="218"/>
      <c r="W126" s="217"/>
      <c r="X126" s="218"/>
      <c r="Y126" s="217"/>
      <c r="Z126" s="218"/>
      <c r="AA126" s="217"/>
      <c r="AB126" s="218"/>
      <c r="AC126" s="217"/>
      <c r="AD126" s="218"/>
      <c r="AE126" s="217"/>
      <c r="AF126" s="218"/>
      <c r="AG126" s="217"/>
      <c r="AH126" s="218"/>
      <c r="AI126" s="217"/>
      <c r="AJ126" s="218"/>
      <c r="AK126" s="217"/>
      <c r="AL126" s="218"/>
      <c r="AM126" s="217"/>
      <c r="AN126" s="218"/>
      <c r="AO126" s="217"/>
      <c r="AP126" s="218"/>
      <c r="AQ126" s="217"/>
      <c r="AR126" s="218"/>
      <c r="AS126" s="217"/>
      <c r="AT126" s="218"/>
      <c r="AU126" s="218"/>
      <c r="AV126" s="217"/>
      <c r="AW126" s="218"/>
      <c r="AX126" s="218"/>
      <c r="AY126" s="217"/>
      <c r="AZ126" s="218"/>
      <c r="BA126" s="217"/>
      <c r="BB126" s="218"/>
      <c r="BC126" s="217"/>
      <c r="BD126" s="218"/>
      <c r="BE126" s="217"/>
      <c r="BF126" s="218"/>
      <c r="BG126" s="218"/>
      <c r="BH126" s="218"/>
      <c r="BI126" s="218"/>
      <c r="BJ126" s="218"/>
      <c r="BK126" s="220"/>
      <c r="BN126" s="203"/>
      <c r="BO126" s="203"/>
    </row>
    <row r="127" spans="1:67" ht="12" customHeight="1">
      <c r="A127" s="221"/>
      <c r="B127" s="219"/>
      <c r="C127" s="217"/>
      <c r="D127" s="218"/>
      <c r="E127" s="218"/>
      <c r="F127" s="218"/>
      <c r="G127" s="217"/>
      <c r="H127" s="217"/>
      <c r="I127" s="218"/>
      <c r="J127" s="218"/>
      <c r="K127" s="217"/>
      <c r="L127" s="218"/>
      <c r="M127" s="217"/>
      <c r="N127" s="218"/>
      <c r="O127" s="217"/>
      <c r="P127" s="218"/>
      <c r="Q127" s="217"/>
      <c r="R127" s="218"/>
      <c r="S127" s="217"/>
      <c r="T127" s="218"/>
      <c r="U127" s="217"/>
      <c r="V127" s="218"/>
      <c r="W127" s="217"/>
      <c r="X127" s="218"/>
      <c r="Y127" s="217"/>
      <c r="Z127" s="218"/>
      <c r="AA127" s="217"/>
      <c r="AB127" s="218"/>
      <c r="AC127" s="217"/>
      <c r="AD127" s="218"/>
      <c r="AE127" s="217"/>
      <c r="AF127" s="218"/>
      <c r="AG127" s="217"/>
      <c r="AH127" s="218"/>
      <c r="AI127" s="217"/>
      <c r="AJ127" s="218"/>
      <c r="AK127" s="217"/>
      <c r="AL127" s="218"/>
      <c r="AM127" s="217"/>
      <c r="AN127" s="218"/>
      <c r="AO127" s="217"/>
      <c r="AP127" s="218"/>
      <c r="AQ127" s="217"/>
      <c r="AR127" s="218"/>
      <c r="AS127" s="217"/>
      <c r="AT127" s="218"/>
      <c r="AU127" s="218"/>
      <c r="AV127" s="217"/>
      <c r="AW127" s="218"/>
      <c r="AX127" s="218"/>
      <c r="AY127" s="217"/>
      <c r="AZ127" s="218"/>
      <c r="BA127" s="217"/>
      <c r="BB127" s="218"/>
      <c r="BC127" s="217"/>
      <c r="BD127" s="218"/>
      <c r="BE127" s="217"/>
      <c r="BF127" s="218"/>
      <c r="BG127" s="218"/>
      <c r="BH127" s="218"/>
      <c r="BI127" s="218"/>
      <c r="BJ127" s="218"/>
      <c r="BK127" s="220"/>
      <c r="BN127" s="203"/>
      <c r="BO127" s="203"/>
    </row>
    <row r="128" spans="1:67" ht="12" customHeight="1">
      <c r="A128" s="221"/>
      <c r="B128" s="219"/>
      <c r="C128" s="217"/>
      <c r="D128" s="218"/>
      <c r="E128" s="218"/>
      <c r="F128" s="218"/>
      <c r="G128" s="217"/>
      <c r="H128" s="217"/>
      <c r="I128" s="218"/>
      <c r="J128" s="218"/>
      <c r="K128" s="217"/>
      <c r="L128" s="218"/>
      <c r="M128" s="217"/>
      <c r="N128" s="218"/>
      <c r="O128" s="217"/>
      <c r="P128" s="218"/>
      <c r="Q128" s="217"/>
      <c r="R128" s="218"/>
      <c r="S128" s="217"/>
      <c r="T128" s="218"/>
      <c r="U128" s="217"/>
      <c r="V128" s="218"/>
      <c r="W128" s="217"/>
      <c r="X128" s="218"/>
      <c r="Y128" s="217"/>
      <c r="Z128" s="218"/>
      <c r="AA128" s="217"/>
      <c r="AB128" s="218"/>
      <c r="AC128" s="217"/>
      <c r="AD128" s="218"/>
      <c r="AE128" s="217"/>
      <c r="AF128" s="218"/>
      <c r="AG128" s="217"/>
      <c r="AH128" s="218"/>
      <c r="AI128" s="217"/>
      <c r="AJ128" s="218"/>
      <c r="AK128" s="217"/>
      <c r="AL128" s="218"/>
      <c r="AM128" s="217"/>
      <c r="AN128" s="218"/>
      <c r="AO128" s="217"/>
      <c r="AP128" s="218"/>
      <c r="AQ128" s="217"/>
      <c r="AR128" s="218"/>
      <c r="AS128" s="217"/>
      <c r="AT128" s="218"/>
      <c r="AU128" s="218"/>
      <c r="AV128" s="217"/>
      <c r="AW128" s="218"/>
      <c r="AX128" s="218"/>
      <c r="AY128" s="217"/>
      <c r="AZ128" s="218"/>
      <c r="BA128" s="217"/>
      <c r="BB128" s="218"/>
      <c r="BC128" s="217"/>
      <c r="BD128" s="218"/>
      <c r="BE128" s="217"/>
      <c r="BF128" s="218"/>
      <c r="BG128" s="218"/>
      <c r="BH128" s="218"/>
      <c r="BI128" s="218"/>
      <c r="BJ128" s="218"/>
      <c r="BK128" s="220"/>
      <c r="BN128" s="203"/>
      <c r="BO128" s="203"/>
    </row>
    <row r="129" spans="1:67" ht="12" customHeight="1" thickBot="1">
      <c r="A129" s="496"/>
      <c r="B129" s="497"/>
      <c r="C129" s="213"/>
      <c r="D129" s="498"/>
      <c r="E129" s="498"/>
      <c r="F129" s="498"/>
      <c r="G129" s="213"/>
      <c r="H129" s="213"/>
      <c r="I129" s="498"/>
      <c r="J129" s="498"/>
      <c r="K129" s="213"/>
      <c r="L129" s="498"/>
      <c r="M129" s="213"/>
      <c r="N129" s="498"/>
      <c r="O129" s="213"/>
      <c r="P129" s="498"/>
      <c r="Q129" s="213"/>
      <c r="R129" s="498"/>
      <c r="S129" s="213"/>
      <c r="T129" s="498"/>
      <c r="U129" s="213"/>
      <c r="V129" s="498"/>
      <c r="W129" s="213"/>
      <c r="X129" s="498"/>
      <c r="Y129" s="213"/>
      <c r="Z129" s="498"/>
      <c r="AA129" s="213"/>
      <c r="AB129" s="498"/>
      <c r="AC129" s="213"/>
      <c r="AD129" s="498"/>
      <c r="AE129" s="213"/>
      <c r="AF129" s="498"/>
      <c r="AG129" s="213"/>
      <c r="AH129" s="498"/>
      <c r="AI129" s="213"/>
      <c r="AJ129" s="498"/>
      <c r="AK129" s="213"/>
      <c r="AL129" s="498"/>
      <c r="AM129" s="213"/>
      <c r="AN129" s="498"/>
      <c r="AO129" s="213"/>
      <c r="AP129" s="498"/>
      <c r="AQ129" s="213"/>
      <c r="AR129" s="498"/>
      <c r="AS129" s="213"/>
      <c r="AT129" s="498"/>
      <c r="AU129" s="498"/>
      <c r="AV129" s="213"/>
      <c r="AW129" s="498"/>
      <c r="AX129" s="498"/>
      <c r="AY129" s="213"/>
      <c r="AZ129" s="498"/>
      <c r="BA129" s="213"/>
      <c r="BB129" s="498"/>
      <c r="BC129" s="213"/>
      <c r="BD129" s="498"/>
      <c r="BE129" s="213"/>
      <c r="BF129" s="498"/>
      <c r="BG129" s="498"/>
      <c r="BH129" s="498"/>
      <c r="BI129" s="498"/>
      <c r="BJ129" s="498"/>
      <c r="BK129" s="499"/>
      <c r="BN129" s="203"/>
      <c r="BO129" s="203"/>
    </row>
    <row r="130" spans="1:67" ht="12" customHeight="1">
      <c r="A130" s="221"/>
      <c r="B130" s="219"/>
      <c r="C130" s="217"/>
      <c r="D130" s="218"/>
      <c r="E130" s="218"/>
      <c r="F130" s="218"/>
      <c r="G130" s="217"/>
      <c r="H130" s="217"/>
      <c r="I130" s="218"/>
      <c r="J130" s="218"/>
      <c r="K130" s="217"/>
      <c r="L130" s="218"/>
      <c r="M130" s="217"/>
      <c r="N130" s="218"/>
      <c r="O130" s="217"/>
      <c r="P130" s="218"/>
      <c r="Q130" s="217"/>
      <c r="R130" s="218"/>
      <c r="S130" s="217"/>
      <c r="T130" s="218"/>
      <c r="U130" s="217"/>
      <c r="V130" s="218"/>
      <c r="W130" s="217"/>
      <c r="X130" s="218"/>
      <c r="Y130" s="217"/>
      <c r="Z130" s="218"/>
      <c r="AA130" s="217"/>
      <c r="AB130" s="218"/>
      <c r="AC130" s="217"/>
      <c r="AD130" s="218"/>
      <c r="AE130" s="217"/>
      <c r="AF130" s="218"/>
      <c r="AG130" s="217"/>
      <c r="AH130" s="218"/>
      <c r="AI130" s="217"/>
      <c r="AJ130" s="218"/>
      <c r="AK130" s="217"/>
      <c r="AL130" s="218"/>
      <c r="AM130" s="217"/>
      <c r="AN130" s="218"/>
      <c r="AO130" s="217"/>
      <c r="AP130" s="218"/>
      <c r="AQ130" s="217"/>
      <c r="AR130" s="218"/>
      <c r="AS130" s="217"/>
      <c r="AT130" s="218"/>
      <c r="AU130" s="218"/>
      <c r="AV130" s="217"/>
      <c r="AW130" s="218"/>
      <c r="AX130" s="218"/>
      <c r="AY130" s="217"/>
      <c r="AZ130" s="218"/>
      <c r="BA130" s="217"/>
      <c r="BB130" s="218"/>
      <c r="BC130" s="217"/>
      <c r="BD130" s="218"/>
      <c r="BE130" s="217"/>
      <c r="BF130" s="218"/>
      <c r="BG130" s="218"/>
      <c r="BH130" s="218"/>
      <c r="BI130" s="218"/>
      <c r="BJ130" s="218"/>
      <c r="BK130" s="220"/>
      <c r="BN130" s="203"/>
      <c r="BO130" s="203"/>
    </row>
    <row r="131" spans="1:67" ht="12" customHeight="1">
      <c r="A131" s="221"/>
      <c r="B131" s="219"/>
      <c r="C131" s="217"/>
      <c r="D131" s="218"/>
      <c r="E131" s="218"/>
      <c r="F131" s="218"/>
      <c r="G131" s="217"/>
      <c r="H131" s="217"/>
      <c r="I131" s="218"/>
      <c r="J131" s="218"/>
      <c r="K131" s="217"/>
      <c r="L131" s="218"/>
      <c r="M131" s="217"/>
      <c r="N131" s="218"/>
      <c r="O131" s="217"/>
      <c r="P131" s="218"/>
      <c r="Q131" s="217"/>
      <c r="R131" s="218"/>
      <c r="S131" s="217"/>
      <c r="T131" s="218"/>
      <c r="U131" s="217"/>
      <c r="V131" s="218"/>
      <c r="W131" s="217"/>
      <c r="X131" s="218"/>
      <c r="Y131" s="217"/>
      <c r="Z131" s="218"/>
      <c r="AA131" s="217"/>
      <c r="AB131" s="218"/>
      <c r="AC131" s="217"/>
      <c r="AD131" s="218"/>
      <c r="AE131" s="217"/>
      <c r="AF131" s="218"/>
      <c r="AG131" s="217"/>
      <c r="AH131" s="218"/>
      <c r="AI131" s="217"/>
      <c r="AJ131" s="218"/>
      <c r="AK131" s="217"/>
      <c r="AL131" s="218"/>
      <c r="AM131" s="217"/>
      <c r="AN131" s="218"/>
      <c r="AO131" s="217"/>
      <c r="AP131" s="218"/>
      <c r="AQ131" s="217"/>
      <c r="AR131" s="218"/>
      <c r="AS131" s="217"/>
      <c r="AT131" s="218"/>
      <c r="AU131" s="218"/>
      <c r="AV131" s="217"/>
      <c r="AW131" s="218"/>
      <c r="AX131" s="218"/>
      <c r="AY131" s="217"/>
      <c r="AZ131" s="218"/>
      <c r="BA131" s="217"/>
      <c r="BB131" s="218"/>
      <c r="BC131" s="217"/>
      <c r="BD131" s="218"/>
      <c r="BE131" s="217"/>
      <c r="BF131" s="218"/>
      <c r="BG131" s="218"/>
      <c r="BH131" s="218"/>
      <c r="BI131" s="218"/>
      <c r="BJ131" s="218"/>
      <c r="BK131" s="220"/>
      <c r="BN131" s="203"/>
      <c r="BO131" s="203"/>
    </row>
    <row r="132" spans="1:67" ht="12" customHeight="1">
      <c r="A132" s="221"/>
      <c r="B132" s="219"/>
      <c r="C132" s="217"/>
      <c r="D132" s="218"/>
      <c r="E132" s="218"/>
      <c r="F132" s="218"/>
      <c r="G132" s="217"/>
      <c r="H132" s="217"/>
      <c r="I132" s="218"/>
      <c r="J132" s="218"/>
      <c r="K132" s="217"/>
      <c r="L132" s="218"/>
      <c r="M132" s="217"/>
      <c r="N132" s="218"/>
      <c r="O132" s="217"/>
      <c r="P132" s="218"/>
      <c r="Q132" s="217"/>
      <c r="R132" s="218"/>
      <c r="S132" s="217"/>
      <c r="T132" s="218"/>
      <c r="U132" s="217"/>
      <c r="V132" s="218"/>
      <c r="W132" s="217"/>
      <c r="X132" s="218"/>
      <c r="Y132" s="217"/>
      <c r="Z132" s="218"/>
      <c r="AA132" s="217"/>
      <c r="AB132" s="218"/>
      <c r="AC132" s="217"/>
      <c r="AD132" s="218"/>
      <c r="AE132" s="217"/>
      <c r="AF132" s="218"/>
      <c r="AG132" s="217"/>
      <c r="AH132" s="218"/>
      <c r="AI132" s="217"/>
      <c r="AJ132" s="218"/>
      <c r="AK132" s="217"/>
      <c r="AL132" s="218"/>
      <c r="AM132" s="217"/>
      <c r="AN132" s="218"/>
      <c r="AO132" s="217"/>
      <c r="AP132" s="218"/>
      <c r="AQ132" s="217"/>
      <c r="AR132" s="218"/>
      <c r="AS132" s="217"/>
      <c r="AT132" s="218"/>
      <c r="AU132" s="218"/>
      <c r="AV132" s="217"/>
      <c r="AW132" s="218"/>
      <c r="AX132" s="218"/>
      <c r="AY132" s="217"/>
      <c r="AZ132" s="218"/>
      <c r="BA132" s="217"/>
      <c r="BB132" s="218"/>
      <c r="BC132" s="217"/>
      <c r="BD132" s="218"/>
      <c r="BE132" s="217"/>
      <c r="BF132" s="218"/>
      <c r="BG132" s="218"/>
      <c r="BH132" s="218"/>
      <c r="BI132" s="218"/>
      <c r="BJ132" s="218"/>
      <c r="BK132" s="220"/>
      <c r="BN132" s="203"/>
      <c r="BO132" s="203"/>
    </row>
    <row r="133" spans="1:67" ht="12" customHeight="1">
      <c r="A133" s="221"/>
      <c r="B133" s="219"/>
      <c r="C133" s="217"/>
      <c r="D133" s="218"/>
      <c r="E133" s="218"/>
      <c r="F133" s="218"/>
      <c r="G133" s="217"/>
      <c r="H133" s="217"/>
      <c r="I133" s="218"/>
      <c r="J133" s="218"/>
      <c r="K133" s="217"/>
      <c r="L133" s="218"/>
      <c r="M133" s="217"/>
      <c r="N133" s="218"/>
      <c r="O133" s="217"/>
      <c r="P133" s="218"/>
      <c r="Q133" s="217"/>
      <c r="R133" s="218"/>
      <c r="S133" s="217"/>
      <c r="T133" s="218"/>
      <c r="U133" s="217"/>
      <c r="V133" s="218"/>
      <c r="W133" s="217"/>
      <c r="X133" s="218"/>
      <c r="Y133" s="217"/>
      <c r="Z133" s="218"/>
      <c r="AA133" s="217"/>
      <c r="AB133" s="218"/>
      <c r="AC133" s="217"/>
      <c r="AD133" s="218"/>
      <c r="AE133" s="217"/>
      <c r="AF133" s="218"/>
      <c r="AG133" s="217"/>
      <c r="AH133" s="218"/>
      <c r="AI133" s="217"/>
      <c r="AJ133" s="218"/>
      <c r="AK133" s="217"/>
      <c r="AL133" s="218"/>
      <c r="AM133" s="217"/>
      <c r="AN133" s="218"/>
      <c r="AO133" s="217"/>
      <c r="AP133" s="218"/>
      <c r="AQ133" s="217"/>
      <c r="AR133" s="218"/>
      <c r="AS133" s="217"/>
      <c r="AT133" s="218"/>
      <c r="AU133" s="218"/>
      <c r="AV133" s="217"/>
      <c r="AW133" s="218"/>
      <c r="AX133" s="218"/>
      <c r="AY133" s="217"/>
      <c r="AZ133" s="218"/>
      <c r="BA133" s="217"/>
      <c r="BB133" s="218"/>
      <c r="BC133" s="217"/>
      <c r="BD133" s="218"/>
      <c r="BE133" s="217"/>
      <c r="BF133" s="218"/>
      <c r="BG133" s="218"/>
      <c r="BH133" s="218"/>
      <c r="BI133" s="218"/>
      <c r="BJ133" s="218"/>
      <c r="BK133" s="220"/>
      <c r="BN133" s="203"/>
      <c r="BO133" s="203"/>
    </row>
    <row r="134" spans="1:67" ht="12" customHeight="1">
      <c r="A134" s="221"/>
      <c r="B134" s="219"/>
      <c r="C134" s="217"/>
      <c r="D134" s="218"/>
      <c r="E134" s="218"/>
      <c r="F134" s="218"/>
      <c r="G134" s="217"/>
      <c r="H134" s="217"/>
      <c r="I134" s="218"/>
      <c r="J134" s="218"/>
      <c r="K134" s="217"/>
      <c r="L134" s="218"/>
      <c r="M134" s="217"/>
      <c r="N134" s="218"/>
      <c r="O134" s="217"/>
      <c r="P134" s="218"/>
      <c r="Q134" s="217"/>
      <c r="R134" s="218"/>
      <c r="S134" s="217"/>
      <c r="T134" s="218"/>
      <c r="U134" s="217"/>
      <c r="V134" s="218"/>
      <c r="W134" s="217"/>
      <c r="X134" s="218"/>
      <c r="Y134" s="217"/>
      <c r="Z134" s="218"/>
      <c r="AA134" s="217"/>
      <c r="AB134" s="218"/>
      <c r="AC134" s="217"/>
      <c r="AD134" s="218"/>
      <c r="AE134" s="217"/>
      <c r="AF134" s="218"/>
      <c r="AG134" s="217"/>
      <c r="AH134" s="218"/>
      <c r="AI134" s="217"/>
      <c r="AJ134" s="218"/>
      <c r="AK134" s="217"/>
      <c r="AL134" s="218"/>
      <c r="AM134" s="217"/>
      <c r="AN134" s="218"/>
      <c r="AO134" s="217"/>
      <c r="AP134" s="218"/>
      <c r="AQ134" s="217"/>
      <c r="AR134" s="218"/>
      <c r="AS134" s="217"/>
      <c r="AT134" s="218"/>
      <c r="AU134" s="218"/>
      <c r="AV134" s="217"/>
      <c r="AW134" s="218"/>
      <c r="AX134" s="218"/>
      <c r="AY134" s="217"/>
      <c r="AZ134" s="218"/>
      <c r="BA134" s="217"/>
      <c r="BB134" s="218"/>
      <c r="BC134" s="217"/>
      <c r="BD134" s="218"/>
      <c r="BE134" s="217"/>
      <c r="BF134" s="218"/>
      <c r="BG134" s="218"/>
      <c r="BH134" s="218"/>
      <c r="BI134" s="218"/>
      <c r="BJ134" s="218"/>
      <c r="BK134" s="220"/>
      <c r="BN134" s="203"/>
      <c r="BO134" s="203"/>
    </row>
    <row r="135" spans="1:67" ht="12" customHeight="1">
      <c r="A135" s="221"/>
      <c r="B135" s="219"/>
      <c r="C135" s="217"/>
      <c r="D135" s="218"/>
      <c r="E135" s="218"/>
      <c r="F135" s="218"/>
      <c r="G135" s="217"/>
      <c r="H135" s="217"/>
      <c r="I135" s="218"/>
      <c r="J135" s="218"/>
      <c r="K135" s="217"/>
      <c r="L135" s="218"/>
      <c r="M135" s="217"/>
      <c r="N135" s="218"/>
      <c r="O135" s="217"/>
      <c r="P135" s="218"/>
      <c r="Q135" s="217"/>
      <c r="R135" s="218"/>
      <c r="S135" s="217"/>
      <c r="T135" s="218"/>
      <c r="U135" s="217"/>
      <c r="V135" s="218"/>
      <c r="W135" s="217"/>
      <c r="X135" s="218"/>
      <c r="Y135" s="217"/>
      <c r="Z135" s="218"/>
      <c r="AA135" s="217"/>
      <c r="AB135" s="218"/>
      <c r="AC135" s="217"/>
      <c r="AD135" s="218"/>
      <c r="AE135" s="217"/>
      <c r="AF135" s="218"/>
      <c r="AG135" s="217"/>
      <c r="AH135" s="218"/>
      <c r="AI135" s="217"/>
      <c r="AJ135" s="218"/>
      <c r="AK135" s="217"/>
      <c r="AL135" s="218"/>
      <c r="AM135" s="217"/>
      <c r="AN135" s="218"/>
      <c r="AO135" s="217"/>
      <c r="AP135" s="218"/>
      <c r="AQ135" s="217"/>
      <c r="AR135" s="218"/>
      <c r="AS135" s="217"/>
      <c r="AT135" s="218"/>
      <c r="AU135" s="218"/>
      <c r="AV135" s="217"/>
      <c r="AW135" s="218"/>
      <c r="AX135" s="218"/>
      <c r="AY135" s="217"/>
      <c r="AZ135" s="218"/>
      <c r="BA135" s="217"/>
      <c r="BB135" s="218"/>
      <c r="BC135" s="217"/>
      <c r="BD135" s="218"/>
      <c r="BE135" s="217"/>
      <c r="BF135" s="218"/>
      <c r="BG135" s="218"/>
      <c r="BH135" s="218"/>
      <c r="BI135" s="218"/>
      <c r="BJ135" s="218"/>
      <c r="BK135" s="220"/>
      <c r="BN135" s="203"/>
      <c r="BO135" s="203"/>
    </row>
    <row r="136" spans="1:67" ht="12" customHeight="1" thickBot="1">
      <c r="A136" s="496"/>
      <c r="B136" s="497"/>
      <c r="C136" s="213"/>
      <c r="D136" s="498"/>
      <c r="E136" s="498"/>
      <c r="F136" s="498"/>
      <c r="G136" s="213"/>
      <c r="H136" s="213"/>
      <c r="I136" s="498"/>
      <c r="J136" s="498"/>
      <c r="K136" s="213"/>
      <c r="L136" s="498"/>
      <c r="M136" s="213"/>
      <c r="N136" s="498"/>
      <c r="O136" s="213"/>
      <c r="P136" s="498"/>
      <c r="Q136" s="213"/>
      <c r="R136" s="498"/>
      <c r="S136" s="213"/>
      <c r="T136" s="498"/>
      <c r="U136" s="213"/>
      <c r="V136" s="498"/>
      <c r="W136" s="213"/>
      <c r="X136" s="498"/>
      <c r="Y136" s="213"/>
      <c r="Z136" s="498"/>
      <c r="AA136" s="213"/>
      <c r="AB136" s="498"/>
      <c r="AC136" s="213"/>
      <c r="AD136" s="498"/>
      <c r="AE136" s="213"/>
      <c r="AF136" s="498"/>
      <c r="AG136" s="213"/>
      <c r="AH136" s="498"/>
      <c r="AI136" s="213"/>
      <c r="AJ136" s="498"/>
      <c r="AK136" s="213"/>
      <c r="AL136" s="498"/>
      <c r="AM136" s="213"/>
      <c r="AN136" s="498"/>
      <c r="AO136" s="213"/>
      <c r="AP136" s="498"/>
      <c r="AQ136" s="213"/>
      <c r="AR136" s="498"/>
      <c r="AS136" s="213"/>
      <c r="AT136" s="498"/>
      <c r="AU136" s="498"/>
      <c r="AV136" s="213"/>
      <c r="AW136" s="498"/>
      <c r="AX136" s="498"/>
      <c r="AY136" s="213"/>
      <c r="AZ136" s="498"/>
      <c r="BA136" s="213"/>
      <c r="BB136" s="498"/>
      <c r="BC136" s="213"/>
      <c r="BD136" s="498"/>
      <c r="BE136" s="213"/>
      <c r="BF136" s="498"/>
      <c r="BG136" s="498"/>
      <c r="BH136" s="498"/>
      <c r="BI136" s="498"/>
      <c r="BJ136" s="498"/>
      <c r="BK136" s="499"/>
      <c r="BN136" s="203"/>
      <c r="BO136" s="203"/>
    </row>
    <row r="137" spans="1:67" ht="12" customHeight="1">
      <c r="A137" s="221"/>
      <c r="B137" s="219"/>
      <c r="C137" s="217"/>
      <c r="D137" s="218"/>
      <c r="E137" s="218"/>
      <c r="F137" s="218"/>
      <c r="G137" s="217"/>
      <c r="H137" s="217"/>
      <c r="I137" s="218"/>
      <c r="J137" s="218"/>
      <c r="K137" s="217"/>
      <c r="L137" s="218"/>
      <c r="M137" s="217"/>
      <c r="N137" s="218"/>
      <c r="O137" s="217"/>
      <c r="P137" s="218"/>
      <c r="Q137" s="217"/>
      <c r="R137" s="218"/>
      <c r="S137" s="217"/>
      <c r="T137" s="218"/>
      <c r="U137" s="217"/>
      <c r="V137" s="218"/>
      <c r="W137" s="217"/>
      <c r="X137" s="218"/>
      <c r="Y137" s="217"/>
      <c r="Z137" s="218"/>
      <c r="AA137" s="217"/>
      <c r="AB137" s="218"/>
      <c r="AC137" s="217"/>
      <c r="AD137" s="218"/>
      <c r="AE137" s="217"/>
      <c r="AF137" s="218"/>
      <c r="AG137" s="217"/>
      <c r="AH137" s="218"/>
      <c r="AI137" s="217"/>
      <c r="AJ137" s="218"/>
      <c r="AK137" s="217"/>
      <c r="AL137" s="218"/>
      <c r="AM137" s="217"/>
      <c r="AN137" s="218"/>
      <c r="AO137" s="217"/>
      <c r="AP137" s="218"/>
      <c r="AQ137" s="217"/>
      <c r="AR137" s="218"/>
      <c r="AS137" s="217"/>
      <c r="AT137" s="218"/>
      <c r="AU137" s="218"/>
      <c r="AV137" s="217"/>
      <c r="AW137" s="218"/>
      <c r="AX137" s="218"/>
      <c r="AY137" s="217"/>
      <c r="AZ137" s="218"/>
      <c r="BA137" s="217"/>
      <c r="BB137" s="218"/>
      <c r="BC137" s="217"/>
      <c r="BD137" s="218"/>
      <c r="BE137" s="217"/>
      <c r="BF137" s="218"/>
      <c r="BG137" s="218"/>
      <c r="BH137" s="218"/>
      <c r="BI137" s="218"/>
      <c r="BJ137" s="218"/>
      <c r="BK137" s="220"/>
      <c r="BN137" s="203"/>
      <c r="BO137" s="203"/>
    </row>
    <row r="138" spans="1:67" ht="12" customHeight="1">
      <c r="A138" s="221"/>
      <c r="B138" s="219"/>
      <c r="C138" s="217"/>
      <c r="D138" s="218"/>
      <c r="E138" s="218"/>
      <c r="F138" s="218"/>
      <c r="G138" s="217"/>
      <c r="H138" s="217"/>
      <c r="I138" s="218"/>
      <c r="J138" s="218"/>
      <c r="K138" s="217"/>
      <c r="L138" s="218"/>
      <c r="M138" s="217"/>
      <c r="N138" s="218"/>
      <c r="O138" s="217"/>
      <c r="P138" s="218"/>
      <c r="Q138" s="217"/>
      <c r="R138" s="218"/>
      <c r="S138" s="217"/>
      <c r="T138" s="218"/>
      <c r="U138" s="217"/>
      <c r="V138" s="218"/>
      <c r="W138" s="217"/>
      <c r="X138" s="218"/>
      <c r="Y138" s="217"/>
      <c r="Z138" s="218"/>
      <c r="AA138" s="217"/>
      <c r="AB138" s="218"/>
      <c r="AC138" s="217"/>
      <c r="AD138" s="218"/>
      <c r="AE138" s="217"/>
      <c r="AF138" s="218"/>
      <c r="AG138" s="217"/>
      <c r="AH138" s="218"/>
      <c r="AI138" s="217"/>
      <c r="AJ138" s="218"/>
      <c r="AK138" s="217"/>
      <c r="AL138" s="218"/>
      <c r="AM138" s="217"/>
      <c r="AN138" s="218"/>
      <c r="AO138" s="217"/>
      <c r="AP138" s="218"/>
      <c r="AQ138" s="217"/>
      <c r="AR138" s="218"/>
      <c r="AS138" s="217"/>
      <c r="AT138" s="218"/>
      <c r="AU138" s="218"/>
      <c r="AV138" s="217"/>
      <c r="AW138" s="218"/>
      <c r="AX138" s="218"/>
      <c r="AY138" s="217"/>
      <c r="AZ138" s="218"/>
      <c r="BA138" s="217"/>
      <c r="BB138" s="218"/>
      <c r="BC138" s="217"/>
      <c r="BD138" s="218"/>
      <c r="BE138" s="217"/>
      <c r="BF138" s="218"/>
      <c r="BG138" s="218"/>
      <c r="BH138" s="218"/>
      <c r="BI138" s="218"/>
      <c r="BJ138" s="218"/>
      <c r="BK138" s="220"/>
      <c r="BN138" s="203"/>
      <c r="BO138" s="203"/>
    </row>
    <row r="139" spans="1:67" ht="12" customHeight="1">
      <c r="A139" s="221"/>
      <c r="B139" s="219"/>
      <c r="C139" s="217"/>
      <c r="D139" s="218"/>
      <c r="E139" s="218"/>
      <c r="F139" s="218"/>
      <c r="G139" s="217"/>
      <c r="H139" s="217"/>
      <c r="I139" s="218"/>
      <c r="J139" s="218"/>
      <c r="K139" s="217"/>
      <c r="L139" s="218"/>
      <c r="M139" s="217"/>
      <c r="N139" s="218"/>
      <c r="O139" s="217"/>
      <c r="P139" s="218"/>
      <c r="Q139" s="217"/>
      <c r="R139" s="218"/>
      <c r="S139" s="217"/>
      <c r="T139" s="218"/>
      <c r="U139" s="217"/>
      <c r="V139" s="218"/>
      <c r="W139" s="217"/>
      <c r="X139" s="218"/>
      <c r="Y139" s="217"/>
      <c r="Z139" s="218"/>
      <c r="AA139" s="217"/>
      <c r="AB139" s="218"/>
      <c r="AC139" s="217"/>
      <c r="AD139" s="218"/>
      <c r="AE139" s="217"/>
      <c r="AF139" s="218"/>
      <c r="AG139" s="217"/>
      <c r="AH139" s="218"/>
      <c r="AI139" s="217"/>
      <c r="AJ139" s="218"/>
      <c r="AK139" s="217"/>
      <c r="AL139" s="218"/>
      <c r="AM139" s="217"/>
      <c r="AN139" s="218"/>
      <c r="AO139" s="217"/>
      <c r="AP139" s="218"/>
      <c r="AQ139" s="217"/>
      <c r="AR139" s="218"/>
      <c r="AS139" s="217"/>
      <c r="AT139" s="218"/>
      <c r="AU139" s="218"/>
      <c r="AV139" s="217"/>
      <c r="AW139" s="218"/>
      <c r="AX139" s="218"/>
      <c r="AY139" s="217"/>
      <c r="AZ139" s="218"/>
      <c r="BA139" s="217"/>
      <c r="BB139" s="218"/>
      <c r="BC139" s="217"/>
      <c r="BD139" s="218"/>
      <c r="BE139" s="217"/>
      <c r="BF139" s="218"/>
      <c r="BG139" s="218"/>
      <c r="BH139" s="218"/>
      <c r="BI139" s="218"/>
      <c r="BJ139" s="218"/>
      <c r="BK139" s="220"/>
      <c r="BN139" s="203"/>
      <c r="BO139" s="203"/>
    </row>
    <row r="140" spans="1:67" ht="12" customHeight="1">
      <c r="A140" s="221"/>
      <c r="B140" s="219"/>
      <c r="C140" s="217"/>
      <c r="D140" s="218"/>
      <c r="E140" s="218"/>
      <c r="F140" s="218"/>
      <c r="G140" s="217"/>
      <c r="H140" s="217"/>
      <c r="I140" s="218"/>
      <c r="J140" s="218"/>
      <c r="K140" s="217"/>
      <c r="L140" s="218"/>
      <c r="M140" s="217"/>
      <c r="N140" s="218"/>
      <c r="O140" s="217"/>
      <c r="P140" s="218"/>
      <c r="Q140" s="217"/>
      <c r="R140" s="218"/>
      <c r="S140" s="217"/>
      <c r="T140" s="218"/>
      <c r="U140" s="217"/>
      <c r="V140" s="218"/>
      <c r="W140" s="217"/>
      <c r="X140" s="218"/>
      <c r="Y140" s="217"/>
      <c r="Z140" s="218"/>
      <c r="AA140" s="217"/>
      <c r="AB140" s="218"/>
      <c r="AC140" s="217"/>
      <c r="AD140" s="218"/>
      <c r="AE140" s="217"/>
      <c r="AF140" s="218"/>
      <c r="AG140" s="217"/>
      <c r="AH140" s="218"/>
      <c r="AI140" s="217"/>
      <c r="AJ140" s="218"/>
      <c r="AK140" s="217"/>
      <c r="AL140" s="218"/>
      <c r="AM140" s="217"/>
      <c r="AN140" s="218"/>
      <c r="AO140" s="217"/>
      <c r="AP140" s="218"/>
      <c r="AQ140" s="217"/>
      <c r="AR140" s="218"/>
      <c r="AS140" s="217"/>
      <c r="AT140" s="218"/>
      <c r="AU140" s="218"/>
      <c r="AV140" s="217"/>
      <c r="AW140" s="218"/>
      <c r="AX140" s="218"/>
      <c r="AY140" s="217"/>
      <c r="AZ140" s="218"/>
      <c r="BA140" s="217"/>
      <c r="BB140" s="218"/>
      <c r="BC140" s="217"/>
      <c r="BD140" s="218"/>
      <c r="BE140" s="217"/>
      <c r="BF140" s="218"/>
      <c r="BG140" s="218"/>
      <c r="BH140" s="218"/>
      <c r="BI140" s="218"/>
      <c r="BJ140" s="218"/>
      <c r="BK140" s="220"/>
      <c r="BN140" s="203"/>
      <c r="BO140" s="203"/>
    </row>
    <row r="141" spans="1:67" ht="12" customHeight="1">
      <c r="A141" s="221"/>
      <c r="B141" s="219"/>
      <c r="C141" s="217"/>
      <c r="D141" s="218"/>
      <c r="E141" s="218"/>
      <c r="F141" s="218"/>
      <c r="G141" s="217"/>
      <c r="H141" s="217"/>
      <c r="I141" s="218"/>
      <c r="J141" s="218"/>
      <c r="K141" s="217"/>
      <c r="L141" s="218"/>
      <c r="M141" s="217"/>
      <c r="N141" s="218"/>
      <c r="O141" s="217"/>
      <c r="P141" s="218"/>
      <c r="Q141" s="217"/>
      <c r="R141" s="218"/>
      <c r="S141" s="217"/>
      <c r="T141" s="218"/>
      <c r="U141" s="217"/>
      <c r="V141" s="218"/>
      <c r="W141" s="217"/>
      <c r="X141" s="218"/>
      <c r="Y141" s="217"/>
      <c r="Z141" s="218"/>
      <c r="AA141" s="217"/>
      <c r="AB141" s="218"/>
      <c r="AC141" s="217"/>
      <c r="AD141" s="218"/>
      <c r="AE141" s="217"/>
      <c r="AF141" s="218"/>
      <c r="AG141" s="217"/>
      <c r="AH141" s="218"/>
      <c r="AI141" s="217"/>
      <c r="AJ141" s="218"/>
      <c r="AK141" s="217"/>
      <c r="AL141" s="218"/>
      <c r="AM141" s="217"/>
      <c r="AN141" s="218"/>
      <c r="AO141" s="217"/>
      <c r="AP141" s="218"/>
      <c r="AQ141" s="217"/>
      <c r="AR141" s="218"/>
      <c r="AS141" s="217"/>
      <c r="AT141" s="218"/>
      <c r="AU141" s="218"/>
      <c r="AV141" s="217"/>
      <c r="AW141" s="218"/>
      <c r="AX141" s="218"/>
      <c r="AY141" s="217"/>
      <c r="AZ141" s="218"/>
      <c r="BA141" s="217"/>
      <c r="BB141" s="218"/>
      <c r="BC141" s="217"/>
      <c r="BD141" s="218"/>
      <c r="BE141" s="217"/>
      <c r="BF141" s="218"/>
      <c r="BG141" s="218"/>
      <c r="BH141" s="218"/>
      <c r="BI141" s="218"/>
      <c r="BJ141" s="218"/>
      <c r="BK141" s="220"/>
      <c r="BN141" s="203"/>
      <c r="BO141" s="203"/>
    </row>
    <row r="142" spans="1:67" ht="12" customHeight="1">
      <c r="A142" s="221"/>
      <c r="B142" s="219"/>
      <c r="C142" s="217"/>
      <c r="D142" s="218"/>
      <c r="E142" s="218"/>
      <c r="F142" s="218"/>
      <c r="G142" s="217"/>
      <c r="H142" s="217"/>
      <c r="I142" s="218"/>
      <c r="J142" s="218"/>
      <c r="K142" s="217"/>
      <c r="L142" s="218"/>
      <c r="M142" s="217"/>
      <c r="N142" s="218"/>
      <c r="O142" s="217"/>
      <c r="P142" s="218"/>
      <c r="Q142" s="217"/>
      <c r="R142" s="218"/>
      <c r="S142" s="217"/>
      <c r="T142" s="218"/>
      <c r="U142" s="217"/>
      <c r="V142" s="218"/>
      <c r="W142" s="217"/>
      <c r="X142" s="218"/>
      <c r="Y142" s="217"/>
      <c r="Z142" s="218"/>
      <c r="AA142" s="217"/>
      <c r="AB142" s="218"/>
      <c r="AC142" s="217"/>
      <c r="AD142" s="218"/>
      <c r="AE142" s="217"/>
      <c r="AF142" s="218"/>
      <c r="AG142" s="217"/>
      <c r="AH142" s="218"/>
      <c r="AI142" s="217"/>
      <c r="AJ142" s="218"/>
      <c r="AK142" s="217"/>
      <c r="AL142" s="218"/>
      <c r="AM142" s="217"/>
      <c r="AN142" s="218"/>
      <c r="AO142" s="217"/>
      <c r="AP142" s="218"/>
      <c r="AQ142" s="217"/>
      <c r="AR142" s="218"/>
      <c r="AS142" s="217"/>
      <c r="AT142" s="218"/>
      <c r="AU142" s="218"/>
      <c r="AV142" s="217"/>
      <c r="AW142" s="218"/>
      <c r="AX142" s="218"/>
      <c r="AY142" s="217"/>
      <c r="AZ142" s="218"/>
      <c r="BA142" s="217"/>
      <c r="BB142" s="218"/>
      <c r="BC142" s="217"/>
      <c r="BD142" s="218"/>
      <c r="BE142" s="217"/>
      <c r="BF142" s="218"/>
      <c r="BG142" s="218"/>
      <c r="BH142" s="218"/>
      <c r="BI142" s="218"/>
      <c r="BJ142" s="218"/>
      <c r="BK142" s="220"/>
      <c r="BN142" s="203"/>
      <c r="BO142" s="203"/>
    </row>
    <row r="143" spans="1:67" ht="12" customHeight="1" thickBot="1">
      <c r="A143" s="496"/>
      <c r="B143" s="497"/>
      <c r="C143" s="213"/>
      <c r="D143" s="498"/>
      <c r="E143" s="498"/>
      <c r="F143" s="498"/>
      <c r="G143" s="213"/>
      <c r="H143" s="213"/>
      <c r="I143" s="498"/>
      <c r="J143" s="498"/>
      <c r="K143" s="213"/>
      <c r="L143" s="498"/>
      <c r="M143" s="213"/>
      <c r="N143" s="498"/>
      <c r="O143" s="213"/>
      <c r="P143" s="498"/>
      <c r="Q143" s="213"/>
      <c r="R143" s="498"/>
      <c r="S143" s="213"/>
      <c r="T143" s="498"/>
      <c r="U143" s="213"/>
      <c r="V143" s="498"/>
      <c r="W143" s="213"/>
      <c r="X143" s="498"/>
      <c r="Y143" s="213"/>
      <c r="Z143" s="498"/>
      <c r="AA143" s="213"/>
      <c r="AB143" s="498"/>
      <c r="AC143" s="213"/>
      <c r="AD143" s="498"/>
      <c r="AE143" s="213"/>
      <c r="AF143" s="498"/>
      <c r="AG143" s="213"/>
      <c r="AH143" s="498"/>
      <c r="AI143" s="213"/>
      <c r="AJ143" s="498"/>
      <c r="AK143" s="213"/>
      <c r="AL143" s="498"/>
      <c r="AM143" s="213"/>
      <c r="AN143" s="498"/>
      <c r="AO143" s="213"/>
      <c r="AP143" s="498"/>
      <c r="AQ143" s="213"/>
      <c r="AR143" s="498"/>
      <c r="AS143" s="213"/>
      <c r="AT143" s="498"/>
      <c r="AU143" s="498"/>
      <c r="AV143" s="213"/>
      <c r="AW143" s="498"/>
      <c r="AX143" s="498"/>
      <c r="AY143" s="213"/>
      <c r="AZ143" s="498"/>
      <c r="BA143" s="213"/>
      <c r="BB143" s="498"/>
      <c r="BC143" s="213"/>
      <c r="BD143" s="498"/>
      <c r="BE143" s="213"/>
      <c r="BF143" s="498"/>
      <c r="BG143" s="498"/>
      <c r="BH143" s="498"/>
      <c r="BI143" s="498"/>
      <c r="BJ143" s="498"/>
      <c r="BK143" s="499"/>
      <c r="BN143" s="203"/>
      <c r="BO143" s="203"/>
    </row>
    <row r="144" spans="1:67" ht="12" customHeight="1">
      <c r="A144" s="221"/>
      <c r="B144" s="219"/>
      <c r="C144" s="217"/>
      <c r="D144" s="218"/>
      <c r="E144" s="218"/>
      <c r="F144" s="218"/>
      <c r="G144" s="217"/>
      <c r="H144" s="217"/>
      <c r="I144" s="218"/>
      <c r="J144" s="218"/>
      <c r="K144" s="217"/>
      <c r="L144" s="218"/>
      <c r="M144" s="217"/>
      <c r="N144" s="218"/>
      <c r="O144" s="217"/>
      <c r="P144" s="218"/>
      <c r="Q144" s="217"/>
      <c r="R144" s="218"/>
      <c r="S144" s="217"/>
      <c r="T144" s="218"/>
      <c r="U144" s="217"/>
      <c r="V144" s="218"/>
      <c r="W144" s="217"/>
      <c r="X144" s="218"/>
      <c r="Y144" s="217"/>
      <c r="Z144" s="218"/>
      <c r="AA144" s="217"/>
      <c r="AB144" s="218"/>
      <c r="AC144" s="217"/>
      <c r="AD144" s="218"/>
      <c r="AE144" s="217"/>
      <c r="AF144" s="218"/>
      <c r="AG144" s="217"/>
      <c r="AH144" s="218"/>
      <c r="AI144" s="217"/>
      <c r="AJ144" s="218"/>
      <c r="AK144" s="217"/>
      <c r="AL144" s="218"/>
      <c r="AM144" s="217"/>
      <c r="AN144" s="218"/>
      <c r="AO144" s="217"/>
      <c r="AP144" s="218"/>
      <c r="AQ144" s="217"/>
      <c r="AR144" s="218"/>
      <c r="AS144" s="217"/>
      <c r="AT144" s="218"/>
      <c r="AU144" s="218"/>
      <c r="AV144" s="217"/>
      <c r="AW144" s="218"/>
      <c r="AX144" s="218"/>
      <c r="AY144" s="217"/>
      <c r="AZ144" s="218"/>
      <c r="BA144" s="217"/>
      <c r="BB144" s="218"/>
      <c r="BC144" s="217"/>
      <c r="BD144" s="218"/>
      <c r="BE144" s="217"/>
      <c r="BF144" s="218"/>
      <c r="BG144" s="218"/>
      <c r="BH144" s="218"/>
      <c r="BI144" s="218"/>
      <c r="BJ144" s="218"/>
      <c r="BK144" s="220"/>
      <c r="BN144" s="203"/>
      <c r="BO144" s="203"/>
    </row>
    <row r="145" spans="1:67" ht="12" customHeight="1">
      <c r="A145" s="221"/>
      <c r="B145" s="219"/>
      <c r="C145" s="217"/>
      <c r="D145" s="218"/>
      <c r="E145" s="218"/>
      <c r="F145" s="218"/>
      <c r="G145" s="217"/>
      <c r="H145" s="217"/>
      <c r="I145" s="218"/>
      <c r="J145" s="218"/>
      <c r="K145" s="217"/>
      <c r="L145" s="218"/>
      <c r="M145" s="217"/>
      <c r="N145" s="218"/>
      <c r="O145" s="217"/>
      <c r="P145" s="218"/>
      <c r="Q145" s="217"/>
      <c r="R145" s="218"/>
      <c r="S145" s="217"/>
      <c r="T145" s="218"/>
      <c r="U145" s="217"/>
      <c r="V145" s="218"/>
      <c r="W145" s="217"/>
      <c r="X145" s="218"/>
      <c r="Y145" s="217"/>
      <c r="Z145" s="218"/>
      <c r="AA145" s="217"/>
      <c r="AB145" s="218"/>
      <c r="AC145" s="217"/>
      <c r="AD145" s="218"/>
      <c r="AE145" s="217"/>
      <c r="AF145" s="218"/>
      <c r="AG145" s="217"/>
      <c r="AH145" s="218"/>
      <c r="AI145" s="217"/>
      <c r="AJ145" s="218"/>
      <c r="AK145" s="217"/>
      <c r="AL145" s="218"/>
      <c r="AM145" s="217"/>
      <c r="AN145" s="218"/>
      <c r="AO145" s="217"/>
      <c r="AP145" s="218"/>
      <c r="AQ145" s="217"/>
      <c r="AR145" s="218"/>
      <c r="AS145" s="217"/>
      <c r="AT145" s="218"/>
      <c r="AU145" s="218"/>
      <c r="AV145" s="217"/>
      <c r="AW145" s="218"/>
      <c r="AX145" s="218"/>
      <c r="AY145" s="217"/>
      <c r="AZ145" s="218"/>
      <c r="BA145" s="217"/>
      <c r="BB145" s="218"/>
      <c r="BC145" s="217"/>
      <c r="BD145" s="218"/>
      <c r="BE145" s="217"/>
      <c r="BF145" s="218"/>
      <c r="BG145" s="218"/>
      <c r="BH145" s="218"/>
      <c r="BI145" s="218"/>
      <c r="BJ145" s="218"/>
      <c r="BK145" s="220"/>
      <c r="BN145" s="203"/>
      <c r="BO145" s="203"/>
    </row>
    <row r="146" spans="1:67" ht="12" customHeight="1">
      <c r="A146" s="221"/>
      <c r="B146" s="219"/>
      <c r="C146" s="217"/>
      <c r="D146" s="218"/>
      <c r="E146" s="218"/>
      <c r="F146" s="218"/>
      <c r="G146" s="217"/>
      <c r="H146" s="217"/>
      <c r="I146" s="218"/>
      <c r="J146" s="218"/>
      <c r="K146" s="217"/>
      <c r="L146" s="218"/>
      <c r="M146" s="217"/>
      <c r="N146" s="218"/>
      <c r="O146" s="217"/>
      <c r="P146" s="218"/>
      <c r="Q146" s="217"/>
      <c r="R146" s="218"/>
      <c r="S146" s="217"/>
      <c r="T146" s="218"/>
      <c r="U146" s="217"/>
      <c r="V146" s="218"/>
      <c r="W146" s="217"/>
      <c r="X146" s="218"/>
      <c r="Y146" s="217"/>
      <c r="Z146" s="218"/>
      <c r="AA146" s="217"/>
      <c r="AB146" s="218"/>
      <c r="AC146" s="217"/>
      <c r="AD146" s="218"/>
      <c r="AE146" s="217"/>
      <c r="AF146" s="218"/>
      <c r="AG146" s="217"/>
      <c r="AH146" s="218"/>
      <c r="AI146" s="217"/>
      <c r="AJ146" s="218"/>
      <c r="AK146" s="217"/>
      <c r="AL146" s="218"/>
      <c r="AM146" s="217"/>
      <c r="AN146" s="218"/>
      <c r="AO146" s="217"/>
      <c r="AP146" s="218"/>
      <c r="AQ146" s="217"/>
      <c r="AR146" s="218"/>
      <c r="AS146" s="217"/>
      <c r="AT146" s="218"/>
      <c r="AU146" s="218"/>
      <c r="AV146" s="217"/>
      <c r="AW146" s="218"/>
      <c r="AX146" s="218"/>
      <c r="AY146" s="217"/>
      <c r="AZ146" s="218"/>
      <c r="BA146" s="217"/>
      <c r="BB146" s="218"/>
      <c r="BC146" s="217"/>
      <c r="BD146" s="218"/>
      <c r="BE146" s="217"/>
      <c r="BF146" s="218"/>
      <c r="BG146" s="218"/>
      <c r="BH146" s="218"/>
      <c r="BI146" s="218"/>
      <c r="BJ146" s="218"/>
      <c r="BK146" s="220"/>
      <c r="BN146" s="203"/>
      <c r="BO146" s="203"/>
    </row>
    <row r="147" spans="1:67" ht="12" customHeight="1">
      <c r="A147" s="221"/>
      <c r="B147" s="219"/>
      <c r="C147" s="217"/>
      <c r="D147" s="218"/>
      <c r="E147" s="218"/>
      <c r="F147" s="218"/>
      <c r="G147" s="217"/>
      <c r="H147" s="217"/>
      <c r="I147" s="218"/>
      <c r="J147" s="218"/>
      <c r="K147" s="217"/>
      <c r="L147" s="218"/>
      <c r="M147" s="217"/>
      <c r="N147" s="218"/>
      <c r="O147" s="217"/>
      <c r="P147" s="218"/>
      <c r="Q147" s="217"/>
      <c r="R147" s="218"/>
      <c r="S147" s="217"/>
      <c r="T147" s="218"/>
      <c r="U147" s="217"/>
      <c r="V147" s="218"/>
      <c r="W147" s="217"/>
      <c r="X147" s="218"/>
      <c r="Y147" s="217"/>
      <c r="Z147" s="218"/>
      <c r="AA147" s="217"/>
      <c r="AB147" s="218"/>
      <c r="AC147" s="217"/>
      <c r="AD147" s="218"/>
      <c r="AE147" s="217"/>
      <c r="AF147" s="218"/>
      <c r="AG147" s="217"/>
      <c r="AH147" s="218"/>
      <c r="AI147" s="217"/>
      <c r="AJ147" s="218"/>
      <c r="AK147" s="217"/>
      <c r="AL147" s="218"/>
      <c r="AM147" s="217"/>
      <c r="AN147" s="218"/>
      <c r="AO147" s="217"/>
      <c r="AP147" s="218"/>
      <c r="AQ147" s="217"/>
      <c r="AR147" s="218"/>
      <c r="AS147" s="217"/>
      <c r="AT147" s="218"/>
      <c r="AU147" s="218"/>
      <c r="AV147" s="217"/>
      <c r="AW147" s="218"/>
      <c r="AX147" s="218"/>
      <c r="AY147" s="217"/>
      <c r="AZ147" s="218"/>
      <c r="BA147" s="217"/>
      <c r="BB147" s="218"/>
      <c r="BC147" s="217"/>
      <c r="BD147" s="218"/>
      <c r="BE147" s="217"/>
      <c r="BF147" s="218"/>
      <c r="BG147" s="218"/>
      <c r="BH147" s="218"/>
      <c r="BI147" s="218"/>
      <c r="BJ147" s="218"/>
      <c r="BK147" s="220"/>
      <c r="BN147" s="203"/>
      <c r="BO147" s="203"/>
    </row>
    <row r="148" spans="1:67" ht="12" customHeight="1">
      <c r="A148" s="221"/>
      <c r="B148" s="219"/>
      <c r="C148" s="217"/>
      <c r="D148" s="218"/>
      <c r="E148" s="218"/>
      <c r="F148" s="218"/>
      <c r="G148" s="217"/>
      <c r="H148" s="217"/>
      <c r="I148" s="218"/>
      <c r="J148" s="218"/>
      <c r="K148" s="217"/>
      <c r="L148" s="218"/>
      <c r="M148" s="217"/>
      <c r="N148" s="218"/>
      <c r="O148" s="217"/>
      <c r="P148" s="218"/>
      <c r="Q148" s="217"/>
      <c r="R148" s="218"/>
      <c r="S148" s="217"/>
      <c r="T148" s="218"/>
      <c r="U148" s="217"/>
      <c r="V148" s="218"/>
      <c r="W148" s="217"/>
      <c r="X148" s="218"/>
      <c r="Y148" s="217"/>
      <c r="Z148" s="218"/>
      <c r="AA148" s="217"/>
      <c r="AB148" s="218"/>
      <c r="AC148" s="217"/>
      <c r="AD148" s="218"/>
      <c r="AE148" s="217"/>
      <c r="AF148" s="218"/>
      <c r="AG148" s="217"/>
      <c r="AH148" s="218"/>
      <c r="AI148" s="217"/>
      <c r="AJ148" s="218"/>
      <c r="AK148" s="217"/>
      <c r="AL148" s="218"/>
      <c r="AM148" s="217"/>
      <c r="AN148" s="218"/>
      <c r="AO148" s="217"/>
      <c r="AP148" s="218"/>
      <c r="AQ148" s="217"/>
      <c r="AR148" s="218"/>
      <c r="AS148" s="217"/>
      <c r="AT148" s="218"/>
      <c r="AU148" s="218"/>
      <c r="AV148" s="217"/>
      <c r="AW148" s="218"/>
      <c r="AX148" s="218"/>
      <c r="AY148" s="217"/>
      <c r="AZ148" s="218"/>
      <c r="BA148" s="217"/>
      <c r="BB148" s="218"/>
      <c r="BC148" s="217"/>
      <c r="BD148" s="218"/>
      <c r="BE148" s="217"/>
      <c r="BF148" s="218"/>
      <c r="BG148" s="218"/>
      <c r="BH148" s="218"/>
      <c r="BI148" s="218"/>
      <c r="BJ148" s="218"/>
      <c r="BK148" s="220"/>
      <c r="BN148" s="203"/>
      <c r="BO148" s="203"/>
    </row>
    <row r="149" spans="1:67" ht="12" customHeight="1">
      <c r="A149" s="221"/>
      <c r="B149" s="219"/>
      <c r="C149" s="217"/>
      <c r="D149" s="218"/>
      <c r="E149" s="218"/>
      <c r="F149" s="218"/>
      <c r="G149" s="217"/>
      <c r="H149" s="217"/>
      <c r="I149" s="218"/>
      <c r="J149" s="218"/>
      <c r="K149" s="217"/>
      <c r="L149" s="218"/>
      <c r="M149" s="217"/>
      <c r="N149" s="218"/>
      <c r="O149" s="217"/>
      <c r="P149" s="218"/>
      <c r="Q149" s="217"/>
      <c r="R149" s="218"/>
      <c r="S149" s="217"/>
      <c r="T149" s="218"/>
      <c r="U149" s="217"/>
      <c r="V149" s="218"/>
      <c r="W149" s="217"/>
      <c r="X149" s="218"/>
      <c r="Y149" s="217"/>
      <c r="Z149" s="218"/>
      <c r="AA149" s="217"/>
      <c r="AB149" s="218"/>
      <c r="AC149" s="217"/>
      <c r="AD149" s="218"/>
      <c r="AE149" s="217"/>
      <c r="AF149" s="218"/>
      <c r="AG149" s="217"/>
      <c r="AH149" s="218"/>
      <c r="AI149" s="217"/>
      <c r="AJ149" s="218"/>
      <c r="AK149" s="217"/>
      <c r="AL149" s="218"/>
      <c r="AM149" s="217"/>
      <c r="AN149" s="218"/>
      <c r="AO149" s="217"/>
      <c r="AP149" s="218"/>
      <c r="AQ149" s="217"/>
      <c r="AR149" s="218"/>
      <c r="AS149" s="217"/>
      <c r="AT149" s="218"/>
      <c r="AU149" s="218"/>
      <c r="AV149" s="217"/>
      <c r="AW149" s="218"/>
      <c r="AX149" s="218"/>
      <c r="AY149" s="217"/>
      <c r="AZ149" s="218"/>
      <c r="BA149" s="217"/>
      <c r="BB149" s="218"/>
      <c r="BC149" s="217"/>
      <c r="BD149" s="218"/>
      <c r="BE149" s="217"/>
      <c r="BF149" s="218"/>
      <c r="BG149" s="218"/>
      <c r="BH149" s="218"/>
      <c r="BI149" s="218"/>
      <c r="BJ149" s="218"/>
      <c r="BK149" s="220"/>
      <c r="BN149" s="203"/>
      <c r="BO149" s="203"/>
    </row>
    <row r="150" spans="1:67" ht="12" customHeight="1" thickBot="1">
      <c r="A150" s="496"/>
      <c r="B150" s="497"/>
      <c r="C150" s="213"/>
      <c r="D150" s="498"/>
      <c r="E150" s="498"/>
      <c r="F150" s="498"/>
      <c r="G150" s="213"/>
      <c r="H150" s="213"/>
      <c r="I150" s="498"/>
      <c r="J150" s="498"/>
      <c r="K150" s="213"/>
      <c r="L150" s="498"/>
      <c r="M150" s="213"/>
      <c r="N150" s="498"/>
      <c r="O150" s="213"/>
      <c r="P150" s="498"/>
      <c r="Q150" s="213"/>
      <c r="R150" s="498"/>
      <c r="S150" s="213"/>
      <c r="T150" s="498"/>
      <c r="U150" s="213"/>
      <c r="V150" s="498"/>
      <c r="W150" s="213"/>
      <c r="X150" s="498"/>
      <c r="Y150" s="213"/>
      <c r="Z150" s="498"/>
      <c r="AA150" s="213"/>
      <c r="AB150" s="498"/>
      <c r="AC150" s="213"/>
      <c r="AD150" s="498"/>
      <c r="AE150" s="213"/>
      <c r="AF150" s="498"/>
      <c r="AG150" s="213"/>
      <c r="AH150" s="498"/>
      <c r="AI150" s="213"/>
      <c r="AJ150" s="498"/>
      <c r="AK150" s="213"/>
      <c r="AL150" s="498"/>
      <c r="AM150" s="213"/>
      <c r="AN150" s="498"/>
      <c r="AO150" s="213"/>
      <c r="AP150" s="498"/>
      <c r="AQ150" s="213"/>
      <c r="AR150" s="498"/>
      <c r="AS150" s="213"/>
      <c r="AT150" s="498"/>
      <c r="AU150" s="498"/>
      <c r="AV150" s="213"/>
      <c r="AW150" s="498"/>
      <c r="AX150" s="498"/>
      <c r="AY150" s="213"/>
      <c r="AZ150" s="498"/>
      <c r="BA150" s="213"/>
      <c r="BB150" s="498"/>
      <c r="BC150" s="213"/>
      <c r="BD150" s="498"/>
      <c r="BE150" s="213"/>
      <c r="BF150" s="498"/>
      <c r="BG150" s="498"/>
      <c r="BH150" s="498"/>
      <c r="BI150" s="498"/>
      <c r="BJ150" s="498"/>
      <c r="BK150" s="499"/>
      <c r="BN150" s="203"/>
      <c r="BO150" s="203"/>
    </row>
    <row r="151" spans="1:67" ht="12" customHeight="1">
      <c r="A151" s="221"/>
      <c r="B151" s="219"/>
      <c r="C151" s="217"/>
      <c r="D151" s="218"/>
      <c r="E151" s="218"/>
      <c r="F151" s="218"/>
      <c r="G151" s="217"/>
      <c r="H151" s="217"/>
      <c r="I151" s="218"/>
      <c r="J151" s="218"/>
      <c r="K151" s="217"/>
      <c r="L151" s="218"/>
      <c r="M151" s="217"/>
      <c r="N151" s="218"/>
      <c r="O151" s="217"/>
      <c r="P151" s="218"/>
      <c r="Q151" s="217"/>
      <c r="R151" s="218"/>
      <c r="S151" s="217"/>
      <c r="T151" s="218"/>
      <c r="U151" s="217"/>
      <c r="V151" s="218"/>
      <c r="W151" s="217"/>
      <c r="X151" s="218"/>
      <c r="Y151" s="217"/>
      <c r="Z151" s="218"/>
      <c r="AA151" s="217"/>
      <c r="AB151" s="218"/>
      <c r="AC151" s="217"/>
      <c r="AD151" s="218"/>
      <c r="AE151" s="217"/>
      <c r="AF151" s="218"/>
      <c r="AG151" s="217"/>
      <c r="AH151" s="218"/>
      <c r="AI151" s="217"/>
      <c r="AJ151" s="218"/>
      <c r="AK151" s="217"/>
      <c r="AL151" s="218"/>
      <c r="AM151" s="217"/>
      <c r="AN151" s="218"/>
      <c r="AO151" s="217"/>
      <c r="AP151" s="218"/>
      <c r="AQ151" s="217"/>
      <c r="AR151" s="218"/>
      <c r="AS151" s="217"/>
      <c r="AT151" s="218"/>
      <c r="AU151" s="218"/>
      <c r="AV151" s="217"/>
      <c r="AW151" s="218"/>
      <c r="AX151" s="218"/>
      <c r="AY151" s="217"/>
      <c r="AZ151" s="218"/>
      <c r="BA151" s="217"/>
      <c r="BB151" s="218"/>
      <c r="BC151" s="217"/>
      <c r="BD151" s="218"/>
      <c r="BE151" s="217"/>
      <c r="BF151" s="218"/>
      <c r="BG151" s="218"/>
      <c r="BH151" s="218"/>
      <c r="BI151" s="218"/>
      <c r="BJ151" s="218"/>
      <c r="BK151" s="220"/>
      <c r="BN151" s="203"/>
      <c r="BO151" s="203"/>
    </row>
    <row r="152" spans="1:67" ht="12" customHeight="1">
      <c r="A152" s="221"/>
      <c r="B152" s="219"/>
      <c r="C152" s="217"/>
      <c r="D152" s="218"/>
      <c r="E152" s="218"/>
      <c r="F152" s="218"/>
      <c r="G152" s="217"/>
      <c r="H152" s="217"/>
      <c r="I152" s="218"/>
      <c r="J152" s="218"/>
      <c r="K152" s="217"/>
      <c r="L152" s="218"/>
      <c r="M152" s="217"/>
      <c r="N152" s="218"/>
      <c r="O152" s="217"/>
      <c r="P152" s="218"/>
      <c r="Q152" s="217"/>
      <c r="R152" s="218"/>
      <c r="S152" s="217"/>
      <c r="T152" s="218"/>
      <c r="U152" s="217"/>
      <c r="V152" s="218"/>
      <c r="W152" s="217"/>
      <c r="X152" s="218"/>
      <c r="Y152" s="217"/>
      <c r="Z152" s="218"/>
      <c r="AA152" s="217"/>
      <c r="AB152" s="218"/>
      <c r="AC152" s="217"/>
      <c r="AD152" s="218"/>
      <c r="AE152" s="217"/>
      <c r="AF152" s="218"/>
      <c r="AG152" s="217"/>
      <c r="AH152" s="218"/>
      <c r="AI152" s="217"/>
      <c r="AJ152" s="218"/>
      <c r="AK152" s="217"/>
      <c r="AL152" s="218"/>
      <c r="AM152" s="217"/>
      <c r="AN152" s="218"/>
      <c r="AO152" s="217"/>
      <c r="AP152" s="218"/>
      <c r="AQ152" s="217"/>
      <c r="AR152" s="218"/>
      <c r="AS152" s="217"/>
      <c r="AT152" s="218"/>
      <c r="AU152" s="218"/>
      <c r="AV152" s="217"/>
      <c r="AW152" s="218"/>
      <c r="AX152" s="218"/>
      <c r="AY152" s="217"/>
      <c r="AZ152" s="218"/>
      <c r="BA152" s="217"/>
      <c r="BB152" s="218"/>
      <c r="BC152" s="217"/>
      <c r="BD152" s="218"/>
      <c r="BE152" s="217"/>
      <c r="BF152" s="218"/>
      <c r="BG152" s="218"/>
      <c r="BH152" s="218"/>
      <c r="BI152" s="218"/>
      <c r="BJ152" s="218"/>
      <c r="BK152" s="220"/>
      <c r="BN152" s="203"/>
      <c r="BO152" s="203"/>
    </row>
    <row r="153" spans="1:67" ht="12" customHeight="1">
      <c r="A153" s="221"/>
      <c r="B153" s="219"/>
      <c r="C153" s="217"/>
      <c r="D153" s="218"/>
      <c r="E153" s="218"/>
      <c r="F153" s="218"/>
      <c r="G153" s="217"/>
      <c r="H153" s="217"/>
      <c r="I153" s="218"/>
      <c r="J153" s="218"/>
      <c r="K153" s="217"/>
      <c r="L153" s="218"/>
      <c r="M153" s="217"/>
      <c r="N153" s="218"/>
      <c r="O153" s="217"/>
      <c r="P153" s="218"/>
      <c r="Q153" s="217"/>
      <c r="R153" s="218"/>
      <c r="S153" s="217"/>
      <c r="T153" s="218"/>
      <c r="U153" s="217"/>
      <c r="V153" s="218"/>
      <c r="W153" s="217"/>
      <c r="X153" s="218"/>
      <c r="Y153" s="217"/>
      <c r="Z153" s="218"/>
      <c r="AA153" s="217"/>
      <c r="AB153" s="218"/>
      <c r="AC153" s="217"/>
      <c r="AD153" s="218"/>
      <c r="AE153" s="217"/>
      <c r="AF153" s="218"/>
      <c r="AG153" s="217"/>
      <c r="AH153" s="218"/>
      <c r="AI153" s="217"/>
      <c r="AJ153" s="218"/>
      <c r="AK153" s="217"/>
      <c r="AL153" s="218"/>
      <c r="AM153" s="217"/>
      <c r="AN153" s="218"/>
      <c r="AO153" s="217"/>
      <c r="AP153" s="218"/>
      <c r="AQ153" s="217"/>
      <c r="AR153" s="218"/>
      <c r="AS153" s="217"/>
      <c r="AT153" s="218"/>
      <c r="AU153" s="218"/>
      <c r="AV153" s="217"/>
      <c r="AW153" s="218"/>
      <c r="AX153" s="218"/>
      <c r="AY153" s="217"/>
      <c r="AZ153" s="218"/>
      <c r="BA153" s="217"/>
      <c r="BB153" s="218"/>
      <c r="BC153" s="217"/>
      <c r="BD153" s="218"/>
      <c r="BE153" s="217"/>
      <c r="BF153" s="218"/>
      <c r="BG153" s="218"/>
      <c r="BH153" s="218"/>
      <c r="BI153" s="218"/>
      <c r="BJ153" s="218"/>
      <c r="BK153" s="220"/>
      <c r="BN153" s="203"/>
      <c r="BO153" s="203"/>
    </row>
    <row r="154" spans="1:67" ht="12" customHeight="1">
      <c r="A154" s="221"/>
      <c r="B154" s="219"/>
      <c r="C154" s="217"/>
      <c r="D154" s="218"/>
      <c r="E154" s="218"/>
      <c r="F154" s="218"/>
      <c r="G154" s="217"/>
      <c r="H154" s="217"/>
      <c r="I154" s="218"/>
      <c r="J154" s="218"/>
      <c r="K154" s="217"/>
      <c r="L154" s="218"/>
      <c r="M154" s="217"/>
      <c r="N154" s="218"/>
      <c r="O154" s="217"/>
      <c r="P154" s="218"/>
      <c r="Q154" s="217"/>
      <c r="R154" s="218"/>
      <c r="S154" s="217"/>
      <c r="T154" s="218"/>
      <c r="U154" s="217"/>
      <c r="V154" s="218"/>
      <c r="W154" s="217"/>
      <c r="X154" s="218"/>
      <c r="Y154" s="217"/>
      <c r="Z154" s="218"/>
      <c r="AA154" s="217"/>
      <c r="AB154" s="218"/>
      <c r="AC154" s="217"/>
      <c r="AD154" s="218"/>
      <c r="AE154" s="217"/>
      <c r="AF154" s="218"/>
      <c r="AG154" s="217"/>
      <c r="AH154" s="218"/>
      <c r="AI154" s="217"/>
      <c r="AJ154" s="218"/>
      <c r="AK154" s="217"/>
      <c r="AL154" s="218"/>
      <c r="AM154" s="217"/>
      <c r="AN154" s="218"/>
      <c r="AO154" s="217"/>
      <c r="AP154" s="218"/>
      <c r="AQ154" s="217"/>
      <c r="AR154" s="218"/>
      <c r="AS154" s="217"/>
      <c r="AT154" s="218"/>
      <c r="AU154" s="218"/>
      <c r="AV154" s="217"/>
      <c r="AW154" s="218"/>
      <c r="AX154" s="218"/>
      <c r="AY154" s="217"/>
      <c r="AZ154" s="218"/>
      <c r="BA154" s="217"/>
      <c r="BB154" s="218"/>
      <c r="BC154" s="217"/>
      <c r="BD154" s="218"/>
      <c r="BE154" s="217"/>
      <c r="BF154" s="218"/>
      <c r="BG154" s="218"/>
      <c r="BH154" s="218"/>
      <c r="BI154" s="218"/>
      <c r="BJ154" s="218"/>
      <c r="BK154" s="220"/>
      <c r="BN154" s="203"/>
      <c r="BO154" s="203"/>
    </row>
    <row r="155" spans="1:67" ht="12" customHeight="1">
      <c r="A155" s="221"/>
      <c r="B155" s="219"/>
      <c r="C155" s="217"/>
      <c r="D155" s="218"/>
      <c r="E155" s="218"/>
      <c r="F155" s="218"/>
      <c r="G155" s="217"/>
      <c r="H155" s="217"/>
      <c r="I155" s="218"/>
      <c r="J155" s="218"/>
      <c r="K155" s="217"/>
      <c r="L155" s="218"/>
      <c r="M155" s="217"/>
      <c r="N155" s="218"/>
      <c r="O155" s="217"/>
      <c r="P155" s="218"/>
      <c r="Q155" s="217"/>
      <c r="R155" s="218"/>
      <c r="S155" s="217"/>
      <c r="T155" s="218"/>
      <c r="U155" s="217"/>
      <c r="V155" s="218"/>
      <c r="W155" s="217"/>
      <c r="X155" s="218"/>
      <c r="Y155" s="217"/>
      <c r="Z155" s="218"/>
      <c r="AA155" s="217"/>
      <c r="AB155" s="218"/>
      <c r="AC155" s="217"/>
      <c r="AD155" s="218"/>
      <c r="AE155" s="217"/>
      <c r="AF155" s="218"/>
      <c r="AG155" s="217"/>
      <c r="AH155" s="218"/>
      <c r="AI155" s="217"/>
      <c r="AJ155" s="218"/>
      <c r="AK155" s="217"/>
      <c r="AL155" s="218"/>
      <c r="AM155" s="217"/>
      <c r="AN155" s="218"/>
      <c r="AO155" s="217"/>
      <c r="AP155" s="218"/>
      <c r="AQ155" s="217"/>
      <c r="AR155" s="218"/>
      <c r="AS155" s="217"/>
      <c r="AT155" s="218"/>
      <c r="AU155" s="218"/>
      <c r="AV155" s="217"/>
      <c r="AW155" s="218"/>
      <c r="AX155" s="218"/>
      <c r="AY155" s="217"/>
      <c r="AZ155" s="218"/>
      <c r="BA155" s="217"/>
      <c r="BB155" s="218"/>
      <c r="BC155" s="217"/>
      <c r="BD155" s="218"/>
      <c r="BE155" s="217"/>
      <c r="BF155" s="218"/>
      <c r="BG155" s="218"/>
      <c r="BH155" s="218"/>
      <c r="BI155" s="218"/>
      <c r="BJ155" s="218"/>
      <c r="BK155" s="220"/>
      <c r="BN155" s="203"/>
      <c r="BO155" s="203"/>
    </row>
    <row r="156" spans="1:67" ht="12" customHeight="1">
      <c r="A156" s="221"/>
      <c r="B156" s="219"/>
      <c r="C156" s="217"/>
      <c r="D156" s="218"/>
      <c r="E156" s="218"/>
      <c r="F156" s="218"/>
      <c r="G156" s="217"/>
      <c r="H156" s="217"/>
      <c r="I156" s="218"/>
      <c r="J156" s="218"/>
      <c r="K156" s="217"/>
      <c r="L156" s="218"/>
      <c r="M156" s="217"/>
      <c r="N156" s="218"/>
      <c r="O156" s="217"/>
      <c r="P156" s="218"/>
      <c r="Q156" s="217"/>
      <c r="R156" s="218"/>
      <c r="S156" s="217"/>
      <c r="T156" s="218"/>
      <c r="U156" s="217"/>
      <c r="V156" s="218"/>
      <c r="W156" s="217"/>
      <c r="X156" s="218"/>
      <c r="Y156" s="217"/>
      <c r="Z156" s="218"/>
      <c r="AA156" s="217"/>
      <c r="AB156" s="218"/>
      <c r="AC156" s="217"/>
      <c r="AD156" s="218"/>
      <c r="AE156" s="217"/>
      <c r="AF156" s="218"/>
      <c r="AG156" s="217"/>
      <c r="AH156" s="218"/>
      <c r="AI156" s="217"/>
      <c r="AJ156" s="218"/>
      <c r="AK156" s="217"/>
      <c r="AL156" s="218"/>
      <c r="AM156" s="217"/>
      <c r="AN156" s="218"/>
      <c r="AO156" s="217"/>
      <c r="AP156" s="218"/>
      <c r="AQ156" s="217"/>
      <c r="AR156" s="218"/>
      <c r="AS156" s="217"/>
      <c r="AT156" s="218"/>
      <c r="AU156" s="218"/>
      <c r="AV156" s="217"/>
      <c r="AW156" s="218"/>
      <c r="AX156" s="218"/>
      <c r="AY156" s="217"/>
      <c r="AZ156" s="218"/>
      <c r="BA156" s="217"/>
      <c r="BB156" s="218"/>
      <c r="BC156" s="217"/>
      <c r="BD156" s="218"/>
      <c r="BE156" s="217"/>
      <c r="BF156" s="218"/>
      <c r="BG156" s="218"/>
      <c r="BH156" s="218"/>
      <c r="BI156" s="218"/>
      <c r="BJ156" s="218"/>
      <c r="BK156" s="220"/>
      <c r="BN156" s="203"/>
      <c r="BO156" s="203"/>
    </row>
    <row r="157" spans="1:67" ht="12" customHeight="1" thickBot="1">
      <c r="A157" s="496"/>
      <c r="B157" s="497"/>
      <c r="C157" s="213"/>
      <c r="D157" s="498"/>
      <c r="E157" s="498"/>
      <c r="F157" s="498"/>
      <c r="G157" s="213"/>
      <c r="H157" s="213"/>
      <c r="I157" s="498"/>
      <c r="J157" s="498"/>
      <c r="K157" s="213"/>
      <c r="L157" s="498"/>
      <c r="M157" s="213"/>
      <c r="N157" s="498"/>
      <c r="O157" s="213"/>
      <c r="P157" s="498"/>
      <c r="Q157" s="213"/>
      <c r="R157" s="498"/>
      <c r="S157" s="213"/>
      <c r="T157" s="498"/>
      <c r="U157" s="213"/>
      <c r="V157" s="498"/>
      <c r="W157" s="213"/>
      <c r="X157" s="498"/>
      <c r="Y157" s="213"/>
      <c r="Z157" s="498"/>
      <c r="AA157" s="213"/>
      <c r="AB157" s="498"/>
      <c r="AC157" s="213"/>
      <c r="AD157" s="498"/>
      <c r="AE157" s="213"/>
      <c r="AF157" s="498"/>
      <c r="AG157" s="213"/>
      <c r="AH157" s="498"/>
      <c r="AI157" s="213"/>
      <c r="AJ157" s="498"/>
      <c r="AK157" s="213"/>
      <c r="AL157" s="498"/>
      <c r="AM157" s="213"/>
      <c r="AN157" s="498"/>
      <c r="AO157" s="213"/>
      <c r="AP157" s="498"/>
      <c r="AQ157" s="213"/>
      <c r="AR157" s="498"/>
      <c r="AS157" s="213"/>
      <c r="AT157" s="498"/>
      <c r="AU157" s="498"/>
      <c r="AV157" s="213"/>
      <c r="AW157" s="498"/>
      <c r="AX157" s="498"/>
      <c r="AY157" s="213"/>
      <c r="AZ157" s="498"/>
      <c r="BA157" s="213"/>
      <c r="BB157" s="498"/>
      <c r="BC157" s="213"/>
      <c r="BD157" s="498"/>
      <c r="BE157" s="213"/>
      <c r="BF157" s="498"/>
      <c r="BG157" s="498"/>
      <c r="BH157" s="498"/>
      <c r="BI157" s="498"/>
      <c r="BJ157" s="498"/>
      <c r="BK157" s="499"/>
      <c r="BN157" s="203"/>
      <c r="BO157" s="203"/>
    </row>
    <row r="158" spans="1:67" ht="12" customHeight="1">
      <c r="A158" s="221"/>
      <c r="B158" s="219"/>
      <c r="C158" s="217"/>
      <c r="D158" s="218"/>
      <c r="E158" s="218"/>
      <c r="F158" s="218"/>
      <c r="G158" s="217"/>
      <c r="H158" s="217"/>
      <c r="I158" s="218"/>
      <c r="J158" s="218"/>
      <c r="K158" s="217"/>
      <c r="L158" s="218"/>
      <c r="M158" s="217"/>
      <c r="N158" s="218"/>
      <c r="O158" s="217"/>
      <c r="P158" s="218"/>
      <c r="Q158" s="217"/>
      <c r="R158" s="218"/>
      <c r="S158" s="217"/>
      <c r="T158" s="218"/>
      <c r="U158" s="217"/>
      <c r="V158" s="218"/>
      <c r="W158" s="217"/>
      <c r="X158" s="218"/>
      <c r="Y158" s="217"/>
      <c r="Z158" s="218"/>
      <c r="AA158" s="217"/>
      <c r="AB158" s="218"/>
      <c r="AC158" s="217"/>
      <c r="AD158" s="218"/>
      <c r="AE158" s="217"/>
      <c r="AF158" s="218"/>
      <c r="AG158" s="217"/>
      <c r="AH158" s="218"/>
      <c r="AI158" s="217"/>
      <c r="AJ158" s="218"/>
      <c r="AK158" s="217"/>
      <c r="AL158" s="218"/>
      <c r="AM158" s="217"/>
      <c r="AN158" s="218"/>
      <c r="AO158" s="217"/>
      <c r="AP158" s="218"/>
      <c r="AQ158" s="217"/>
      <c r="AR158" s="218"/>
      <c r="AS158" s="217"/>
      <c r="AT158" s="218"/>
      <c r="AU158" s="218"/>
      <c r="AV158" s="217"/>
      <c r="AW158" s="218"/>
      <c r="AX158" s="218"/>
      <c r="AY158" s="217"/>
      <c r="AZ158" s="218"/>
      <c r="BA158" s="217"/>
      <c r="BB158" s="218"/>
      <c r="BC158" s="217"/>
      <c r="BD158" s="218"/>
      <c r="BE158" s="217"/>
      <c r="BF158" s="218"/>
      <c r="BG158" s="218"/>
      <c r="BH158" s="218"/>
      <c r="BI158" s="218"/>
      <c r="BJ158" s="218"/>
      <c r="BK158" s="220"/>
      <c r="BN158" s="203"/>
      <c r="BO158" s="203"/>
    </row>
    <row r="159" spans="1:67" ht="12" customHeight="1">
      <c r="A159" s="221"/>
      <c r="B159" s="219"/>
      <c r="C159" s="217"/>
      <c r="D159" s="218"/>
      <c r="E159" s="218"/>
      <c r="F159" s="218"/>
      <c r="G159" s="217"/>
      <c r="H159" s="217"/>
      <c r="I159" s="218"/>
      <c r="J159" s="218"/>
      <c r="K159" s="217"/>
      <c r="L159" s="218"/>
      <c r="M159" s="217"/>
      <c r="N159" s="218"/>
      <c r="O159" s="217"/>
      <c r="P159" s="218"/>
      <c r="Q159" s="217"/>
      <c r="R159" s="218"/>
      <c r="S159" s="217"/>
      <c r="T159" s="218"/>
      <c r="U159" s="217"/>
      <c r="V159" s="218"/>
      <c r="W159" s="217"/>
      <c r="X159" s="218"/>
      <c r="Y159" s="217"/>
      <c r="Z159" s="218"/>
      <c r="AA159" s="217"/>
      <c r="AB159" s="218"/>
      <c r="AC159" s="217"/>
      <c r="AD159" s="218"/>
      <c r="AE159" s="217"/>
      <c r="AF159" s="218"/>
      <c r="AG159" s="217"/>
      <c r="AH159" s="218"/>
      <c r="AI159" s="217"/>
      <c r="AJ159" s="218"/>
      <c r="AK159" s="217"/>
      <c r="AL159" s="218"/>
      <c r="AM159" s="217"/>
      <c r="AN159" s="218"/>
      <c r="AO159" s="217"/>
      <c r="AP159" s="218"/>
      <c r="AQ159" s="217"/>
      <c r="AR159" s="218"/>
      <c r="AS159" s="217"/>
      <c r="AT159" s="218"/>
      <c r="AU159" s="218"/>
      <c r="AV159" s="217"/>
      <c r="AW159" s="218"/>
      <c r="AX159" s="218"/>
      <c r="AY159" s="217"/>
      <c r="AZ159" s="218"/>
      <c r="BA159" s="217"/>
      <c r="BB159" s="218"/>
      <c r="BC159" s="217"/>
      <c r="BD159" s="218"/>
      <c r="BE159" s="217"/>
      <c r="BF159" s="218"/>
      <c r="BG159" s="218"/>
      <c r="BH159" s="218"/>
      <c r="BI159" s="218"/>
      <c r="BJ159" s="218"/>
      <c r="BK159" s="220"/>
      <c r="BN159" s="203"/>
      <c r="BO159" s="203"/>
    </row>
    <row r="160" spans="1:67" ht="12" customHeight="1">
      <c r="A160" s="221"/>
      <c r="B160" s="219"/>
      <c r="C160" s="217"/>
      <c r="D160" s="218"/>
      <c r="E160" s="218"/>
      <c r="F160" s="218"/>
      <c r="G160" s="217"/>
      <c r="H160" s="217"/>
      <c r="I160" s="218"/>
      <c r="J160" s="218"/>
      <c r="K160" s="217"/>
      <c r="L160" s="218"/>
      <c r="M160" s="217"/>
      <c r="N160" s="218"/>
      <c r="O160" s="217"/>
      <c r="P160" s="218"/>
      <c r="Q160" s="217"/>
      <c r="R160" s="218"/>
      <c r="S160" s="217"/>
      <c r="T160" s="218"/>
      <c r="U160" s="217"/>
      <c r="V160" s="218"/>
      <c r="W160" s="217"/>
      <c r="X160" s="218"/>
      <c r="Y160" s="217"/>
      <c r="Z160" s="218"/>
      <c r="AA160" s="217"/>
      <c r="AB160" s="218"/>
      <c r="AC160" s="217"/>
      <c r="AD160" s="218"/>
      <c r="AE160" s="217"/>
      <c r="AF160" s="218"/>
      <c r="AG160" s="217"/>
      <c r="AH160" s="218"/>
      <c r="AI160" s="217"/>
      <c r="AJ160" s="218"/>
      <c r="AK160" s="217"/>
      <c r="AL160" s="218"/>
      <c r="AM160" s="217"/>
      <c r="AN160" s="218"/>
      <c r="AO160" s="217"/>
      <c r="AP160" s="218"/>
      <c r="AQ160" s="217"/>
      <c r="AR160" s="218"/>
      <c r="AS160" s="217"/>
      <c r="AT160" s="218"/>
      <c r="AU160" s="218"/>
      <c r="AV160" s="217"/>
      <c r="AW160" s="218"/>
      <c r="AX160" s="218"/>
      <c r="AY160" s="217"/>
      <c r="AZ160" s="218"/>
      <c r="BA160" s="217"/>
      <c r="BB160" s="218"/>
      <c r="BC160" s="217"/>
      <c r="BD160" s="218"/>
      <c r="BE160" s="217"/>
      <c r="BF160" s="218"/>
      <c r="BG160" s="218"/>
      <c r="BH160" s="218"/>
      <c r="BI160" s="218"/>
      <c r="BJ160" s="218"/>
      <c r="BK160" s="220"/>
      <c r="BN160" s="203"/>
      <c r="BO160" s="203"/>
    </row>
    <row r="161" spans="1:67" ht="12" customHeight="1">
      <c r="A161" s="221"/>
      <c r="B161" s="219"/>
      <c r="C161" s="217"/>
      <c r="D161" s="218"/>
      <c r="E161" s="218"/>
      <c r="F161" s="218"/>
      <c r="G161" s="217"/>
      <c r="H161" s="217"/>
      <c r="I161" s="218"/>
      <c r="J161" s="218"/>
      <c r="K161" s="217"/>
      <c r="L161" s="218"/>
      <c r="M161" s="217"/>
      <c r="N161" s="218"/>
      <c r="O161" s="217"/>
      <c r="P161" s="218"/>
      <c r="Q161" s="217"/>
      <c r="R161" s="218"/>
      <c r="S161" s="217"/>
      <c r="T161" s="218"/>
      <c r="U161" s="217"/>
      <c r="V161" s="218"/>
      <c r="W161" s="217"/>
      <c r="X161" s="218"/>
      <c r="Y161" s="217"/>
      <c r="Z161" s="218"/>
      <c r="AA161" s="217"/>
      <c r="AB161" s="218"/>
      <c r="AC161" s="217"/>
      <c r="AD161" s="218"/>
      <c r="AE161" s="217"/>
      <c r="AF161" s="218"/>
      <c r="AG161" s="217"/>
      <c r="AH161" s="218"/>
      <c r="AI161" s="217"/>
      <c r="AJ161" s="218"/>
      <c r="AK161" s="217"/>
      <c r="AL161" s="218"/>
      <c r="AM161" s="217"/>
      <c r="AN161" s="218"/>
      <c r="AO161" s="217"/>
      <c r="AP161" s="218"/>
      <c r="AQ161" s="217"/>
      <c r="AR161" s="218"/>
      <c r="AS161" s="217"/>
      <c r="AT161" s="218"/>
      <c r="AU161" s="218"/>
      <c r="AV161" s="217"/>
      <c r="AW161" s="218"/>
      <c r="AX161" s="218"/>
      <c r="AY161" s="217"/>
      <c r="AZ161" s="218"/>
      <c r="BA161" s="217"/>
      <c r="BB161" s="218"/>
      <c r="BC161" s="217"/>
      <c r="BD161" s="218"/>
      <c r="BE161" s="217"/>
      <c r="BF161" s="218"/>
      <c r="BG161" s="218"/>
      <c r="BH161" s="218"/>
      <c r="BI161" s="218"/>
      <c r="BJ161" s="218"/>
      <c r="BK161" s="220"/>
      <c r="BN161" s="203"/>
      <c r="BO161" s="203"/>
    </row>
    <row r="162" spans="1:67" ht="12" customHeight="1">
      <c r="A162" s="221"/>
      <c r="B162" s="219"/>
      <c r="C162" s="217"/>
      <c r="D162" s="218"/>
      <c r="E162" s="218"/>
      <c r="F162" s="218"/>
      <c r="G162" s="217"/>
      <c r="H162" s="217"/>
      <c r="I162" s="218"/>
      <c r="J162" s="218"/>
      <c r="K162" s="217"/>
      <c r="L162" s="218"/>
      <c r="M162" s="217"/>
      <c r="N162" s="218"/>
      <c r="O162" s="217"/>
      <c r="P162" s="218"/>
      <c r="Q162" s="217"/>
      <c r="R162" s="218"/>
      <c r="S162" s="217"/>
      <c r="T162" s="218"/>
      <c r="U162" s="217"/>
      <c r="V162" s="218"/>
      <c r="W162" s="217"/>
      <c r="X162" s="218"/>
      <c r="Y162" s="217"/>
      <c r="Z162" s="218"/>
      <c r="AA162" s="217"/>
      <c r="AB162" s="218"/>
      <c r="AC162" s="217"/>
      <c r="AD162" s="218"/>
      <c r="AE162" s="217"/>
      <c r="AF162" s="218"/>
      <c r="AG162" s="217"/>
      <c r="AH162" s="218"/>
      <c r="AI162" s="217"/>
      <c r="AJ162" s="218"/>
      <c r="AK162" s="217"/>
      <c r="AL162" s="218"/>
      <c r="AM162" s="217"/>
      <c r="AN162" s="218"/>
      <c r="AO162" s="217"/>
      <c r="AP162" s="218"/>
      <c r="AQ162" s="217"/>
      <c r="AR162" s="218"/>
      <c r="AS162" s="217"/>
      <c r="AT162" s="218"/>
      <c r="AU162" s="218"/>
      <c r="AV162" s="217"/>
      <c r="AW162" s="218"/>
      <c r="AX162" s="218"/>
      <c r="AY162" s="217"/>
      <c r="AZ162" s="218"/>
      <c r="BA162" s="217"/>
      <c r="BB162" s="218"/>
      <c r="BC162" s="217"/>
      <c r="BD162" s="218"/>
      <c r="BE162" s="217"/>
      <c r="BF162" s="218"/>
      <c r="BG162" s="218"/>
      <c r="BH162" s="218"/>
      <c r="BI162" s="218"/>
      <c r="BJ162" s="218"/>
      <c r="BK162" s="220"/>
      <c r="BN162" s="203"/>
      <c r="BO162" s="203"/>
    </row>
    <row r="163" spans="1:67" ht="12" customHeight="1">
      <c r="A163" s="221"/>
      <c r="B163" s="219"/>
      <c r="C163" s="217"/>
      <c r="D163" s="218"/>
      <c r="E163" s="218"/>
      <c r="F163" s="218"/>
      <c r="G163" s="217"/>
      <c r="H163" s="217"/>
      <c r="I163" s="218"/>
      <c r="J163" s="218"/>
      <c r="K163" s="217"/>
      <c r="L163" s="218"/>
      <c r="M163" s="217"/>
      <c r="N163" s="218"/>
      <c r="O163" s="217"/>
      <c r="P163" s="218"/>
      <c r="Q163" s="217"/>
      <c r="R163" s="218"/>
      <c r="S163" s="217"/>
      <c r="T163" s="218"/>
      <c r="U163" s="217"/>
      <c r="V163" s="218"/>
      <c r="W163" s="217"/>
      <c r="X163" s="218"/>
      <c r="Y163" s="217"/>
      <c r="Z163" s="218"/>
      <c r="AA163" s="217"/>
      <c r="AB163" s="218"/>
      <c r="AC163" s="217"/>
      <c r="AD163" s="218"/>
      <c r="AE163" s="217"/>
      <c r="AF163" s="218"/>
      <c r="AG163" s="217"/>
      <c r="AH163" s="218"/>
      <c r="AI163" s="217"/>
      <c r="AJ163" s="218"/>
      <c r="AK163" s="217"/>
      <c r="AL163" s="218"/>
      <c r="AM163" s="217"/>
      <c r="AN163" s="218"/>
      <c r="AO163" s="217"/>
      <c r="AP163" s="218"/>
      <c r="AQ163" s="217"/>
      <c r="AR163" s="218"/>
      <c r="AS163" s="217"/>
      <c r="AT163" s="218"/>
      <c r="AU163" s="218"/>
      <c r="AV163" s="217"/>
      <c r="AW163" s="218"/>
      <c r="AX163" s="218"/>
      <c r="AY163" s="217"/>
      <c r="AZ163" s="218"/>
      <c r="BA163" s="217"/>
      <c r="BB163" s="218"/>
      <c r="BC163" s="217"/>
      <c r="BD163" s="218"/>
      <c r="BE163" s="217"/>
      <c r="BF163" s="218"/>
      <c r="BG163" s="218"/>
      <c r="BH163" s="218"/>
      <c r="BI163" s="218"/>
      <c r="BJ163" s="218"/>
      <c r="BK163" s="220"/>
      <c r="BN163" s="203"/>
      <c r="BO163" s="203"/>
    </row>
    <row r="164" spans="1:67" ht="12" customHeight="1" thickBot="1">
      <c r="A164" s="496"/>
      <c r="B164" s="497"/>
      <c r="C164" s="213"/>
      <c r="D164" s="498"/>
      <c r="E164" s="498"/>
      <c r="F164" s="498"/>
      <c r="G164" s="213"/>
      <c r="H164" s="213"/>
      <c r="I164" s="498"/>
      <c r="J164" s="498"/>
      <c r="K164" s="213"/>
      <c r="L164" s="498"/>
      <c r="M164" s="213"/>
      <c r="N164" s="498"/>
      <c r="O164" s="213"/>
      <c r="P164" s="498"/>
      <c r="Q164" s="213"/>
      <c r="R164" s="498"/>
      <c r="S164" s="213"/>
      <c r="T164" s="498"/>
      <c r="U164" s="213"/>
      <c r="V164" s="498"/>
      <c r="W164" s="213"/>
      <c r="X164" s="498"/>
      <c r="Y164" s="213"/>
      <c r="Z164" s="498"/>
      <c r="AA164" s="213"/>
      <c r="AB164" s="498"/>
      <c r="AC164" s="213"/>
      <c r="AD164" s="498"/>
      <c r="AE164" s="213"/>
      <c r="AF164" s="498"/>
      <c r="AG164" s="213"/>
      <c r="AH164" s="498"/>
      <c r="AI164" s="213"/>
      <c r="AJ164" s="498"/>
      <c r="AK164" s="213"/>
      <c r="AL164" s="498"/>
      <c r="AM164" s="213"/>
      <c r="AN164" s="498"/>
      <c r="AO164" s="213"/>
      <c r="AP164" s="498"/>
      <c r="AQ164" s="213"/>
      <c r="AR164" s="498"/>
      <c r="AS164" s="213"/>
      <c r="AT164" s="498"/>
      <c r="AU164" s="498"/>
      <c r="AV164" s="213"/>
      <c r="AW164" s="498"/>
      <c r="AX164" s="498"/>
      <c r="AY164" s="213"/>
      <c r="AZ164" s="498"/>
      <c r="BA164" s="213"/>
      <c r="BB164" s="498"/>
      <c r="BC164" s="213"/>
      <c r="BD164" s="498"/>
      <c r="BE164" s="213"/>
      <c r="BF164" s="498"/>
      <c r="BG164" s="498"/>
      <c r="BH164" s="498"/>
      <c r="BI164" s="498"/>
      <c r="BJ164" s="498"/>
      <c r="BK164" s="499"/>
      <c r="BN164" s="203"/>
      <c r="BO164" s="203"/>
    </row>
    <row r="165" spans="1:67" ht="12" customHeight="1">
      <c r="A165" s="221"/>
      <c r="B165" s="219"/>
      <c r="C165" s="217"/>
      <c r="D165" s="218"/>
      <c r="E165" s="218"/>
      <c r="F165" s="218"/>
      <c r="G165" s="217"/>
      <c r="H165" s="217"/>
      <c r="I165" s="218"/>
      <c r="J165" s="218"/>
      <c r="K165" s="217"/>
      <c r="L165" s="218"/>
      <c r="M165" s="217"/>
      <c r="N165" s="218"/>
      <c r="O165" s="217"/>
      <c r="P165" s="218"/>
      <c r="Q165" s="217"/>
      <c r="R165" s="218"/>
      <c r="S165" s="217"/>
      <c r="T165" s="218"/>
      <c r="U165" s="217"/>
      <c r="V165" s="218"/>
      <c r="W165" s="217"/>
      <c r="X165" s="218"/>
      <c r="Y165" s="217"/>
      <c r="Z165" s="218"/>
      <c r="AA165" s="217"/>
      <c r="AB165" s="218"/>
      <c r="AC165" s="217"/>
      <c r="AD165" s="218"/>
      <c r="AE165" s="217"/>
      <c r="AF165" s="218"/>
      <c r="AG165" s="217"/>
      <c r="AH165" s="218"/>
      <c r="AI165" s="217"/>
      <c r="AJ165" s="218"/>
      <c r="AK165" s="217"/>
      <c r="AL165" s="218"/>
      <c r="AM165" s="217"/>
      <c r="AN165" s="218"/>
      <c r="AO165" s="217"/>
      <c r="AP165" s="218"/>
      <c r="AQ165" s="217"/>
      <c r="AR165" s="218"/>
      <c r="AS165" s="217"/>
      <c r="AT165" s="218"/>
      <c r="AU165" s="218"/>
      <c r="AV165" s="217"/>
      <c r="AW165" s="218"/>
      <c r="AX165" s="218"/>
      <c r="AY165" s="217"/>
      <c r="AZ165" s="218"/>
      <c r="BA165" s="217"/>
      <c r="BB165" s="218"/>
      <c r="BC165" s="217"/>
      <c r="BD165" s="218"/>
      <c r="BE165" s="217"/>
      <c r="BF165" s="218"/>
      <c r="BG165" s="218"/>
      <c r="BH165" s="218"/>
      <c r="BI165" s="218"/>
      <c r="BJ165" s="218"/>
      <c r="BK165" s="220"/>
      <c r="BN165" s="203"/>
      <c r="BO165" s="203"/>
    </row>
    <row r="166" spans="1:67" ht="12" customHeight="1">
      <c r="A166" s="221"/>
      <c r="B166" s="219"/>
      <c r="C166" s="217"/>
      <c r="D166" s="218"/>
      <c r="E166" s="218"/>
      <c r="F166" s="218"/>
      <c r="G166" s="217"/>
      <c r="H166" s="217"/>
      <c r="I166" s="218"/>
      <c r="J166" s="218"/>
      <c r="K166" s="217"/>
      <c r="L166" s="218"/>
      <c r="M166" s="217"/>
      <c r="N166" s="218"/>
      <c r="O166" s="217"/>
      <c r="P166" s="218"/>
      <c r="Q166" s="217"/>
      <c r="R166" s="218"/>
      <c r="S166" s="217"/>
      <c r="T166" s="218"/>
      <c r="U166" s="217"/>
      <c r="V166" s="218"/>
      <c r="W166" s="217"/>
      <c r="X166" s="218"/>
      <c r="Y166" s="217"/>
      <c r="Z166" s="218"/>
      <c r="AA166" s="217"/>
      <c r="AB166" s="218"/>
      <c r="AC166" s="217"/>
      <c r="AD166" s="218"/>
      <c r="AE166" s="217"/>
      <c r="AF166" s="218"/>
      <c r="AG166" s="217"/>
      <c r="AH166" s="218"/>
      <c r="AI166" s="217"/>
      <c r="AJ166" s="218"/>
      <c r="AK166" s="217"/>
      <c r="AL166" s="218"/>
      <c r="AM166" s="217"/>
      <c r="AN166" s="218"/>
      <c r="AO166" s="217"/>
      <c r="AP166" s="218"/>
      <c r="AQ166" s="217"/>
      <c r="AR166" s="218"/>
      <c r="AS166" s="217"/>
      <c r="AT166" s="218"/>
      <c r="AU166" s="218"/>
      <c r="AV166" s="217"/>
      <c r="AW166" s="218"/>
      <c r="AX166" s="218"/>
      <c r="AY166" s="217"/>
      <c r="AZ166" s="218"/>
      <c r="BA166" s="217"/>
      <c r="BB166" s="218"/>
      <c r="BC166" s="217"/>
      <c r="BD166" s="218"/>
      <c r="BE166" s="217"/>
      <c r="BF166" s="218"/>
      <c r="BG166" s="218"/>
      <c r="BH166" s="218"/>
      <c r="BI166" s="218"/>
      <c r="BJ166" s="218"/>
      <c r="BK166" s="220"/>
      <c r="BN166" s="203"/>
      <c r="BO166" s="203"/>
    </row>
    <row r="167" spans="1:67" ht="12" customHeight="1">
      <c r="A167" s="221"/>
      <c r="B167" s="219"/>
      <c r="C167" s="217"/>
      <c r="D167" s="218"/>
      <c r="E167" s="218"/>
      <c r="F167" s="218"/>
      <c r="G167" s="217"/>
      <c r="H167" s="217"/>
      <c r="I167" s="218"/>
      <c r="J167" s="218"/>
      <c r="K167" s="217"/>
      <c r="L167" s="218"/>
      <c r="M167" s="217"/>
      <c r="N167" s="218"/>
      <c r="O167" s="217"/>
      <c r="P167" s="218"/>
      <c r="Q167" s="217"/>
      <c r="R167" s="218"/>
      <c r="S167" s="217"/>
      <c r="T167" s="218"/>
      <c r="U167" s="217"/>
      <c r="V167" s="218"/>
      <c r="W167" s="217"/>
      <c r="X167" s="218"/>
      <c r="Y167" s="217"/>
      <c r="Z167" s="218"/>
      <c r="AA167" s="217"/>
      <c r="AB167" s="218"/>
      <c r="AC167" s="217"/>
      <c r="AD167" s="218"/>
      <c r="AE167" s="217"/>
      <c r="AF167" s="218"/>
      <c r="AG167" s="217"/>
      <c r="AH167" s="218"/>
      <c r="AI167" s="217"/>
      <c r="AJ167" s="218"/>
      <c r="AK167" s="217"/>
      <c r="AL167" s="218"/>
      <c r="AM167" s="217"/>
      <c r="AN167" s="218"/>
      <c r="AO167" s="217"/>
      <c r="AP167" s="218"/>
      <c r="AQ167" s="217"/>
      <c r="AR167" s="218"/>
      <c r="AS167" s="217"/>
      <c r="AT167" s="218"/>
      <c r="AU167" s="218"/>
      <c r="AV167" s="217"/>
      <c r="AW167" s="218"/>
      <c r="AX167" s="218"/>
      <c r="AY167" s="217"/>
      <c r="AZ167" s="218"/>
      <c r="BA167" s="217"/>
      <c r="BB167" s="218"/>
      <c r="BC167" s="217"/>
      <c r="BD167" s="218"/>
      <c r="BE167" s="217"/>
      <c r="BF167" s="218"/>
      <c r="BG167" s="218"/>
      <c r="BH167" s="218"/>
      <c r="BI167" s="218"/>
      <c r="BJ167" s="218"/>
      <c r="BK167" s="220"/>
      <c r="BN167" s="203"/>
      <c r="BO167" s="203"/>
    </row>
    <row r="168" spans="1:67" ht="12" customHeight="1">
      <c r="A168" s="221"/>
      <c r="B168" s="219"/>
      <c r="C168" s="217"/>
      <c r="D168" s="218"/>
      <c r="E168" s="218"/>
      <c r="F168" s="218"/>
      <c r="G168" s="217"/>
      <c r="H168" s="217"/>
      <c r="I168" s="218"/>
      <c r="J168" s="218"/>
      <c r="K168" s="217"/>
      <c r="L168" s="218"/>
      <c r="M168" s="217"/>
      <c r="N168" s="218"/>
      <c r="O168" s="217"/>
      <c r="P168" s="218"/>
      <c r="Q168" s="217"/>
      <c r="R168" s="218"/>
      <c r="S168" s="217"/>
      <c r="T168" s="218"/>
      <c r="U168" s="217"/>
      <c r="V168" s="218"/>
      <c r="W168" s="217"/>
      <c r="X168" s="218"/>
      <c r="Y168" s="217"/>
      <c r="Z168" s="218"/>
      <c r="AA168" s="217"/>
      <c r="AB168" s="218"/>
      <c r="AC168" s="217"/>
      <c r="AD168" s="218"/>
      <c r="AE168" s="217"/>
      <c r="AF168" s="218"/>
      <c r="AG168" s="217"/>
      <c r="AH168" s="218"/>
      <c r="AI168" s="217"/>
      <c r="AJ168" s="218"/>
      <c r="AK168" s="217"/>
      <c r="AL168" s="218"/>
      <c r="AM168" s="217"/>
      <c r="AN168" s="218"/>
      <c r="AO168" s="217"/>
      <c r="AP168" s="218"/>
      <c r="AQ168" s="217"/>
      <c r="AR168" s="218"/>
      <c r="AS168" s="217"/>
      <c r="AT168" s="218"/>
      <c r="AU168" s="218"/>
      <c r="AV168" s="217"/>
      <c r="AW168" s="218"/>
      <c r="AX168" s="218"/>
      <c r="AY168" s="217"/>
      <c r="AZ168" s="218"/>
      <c r="BA168" s="217"/>
      <c r="BB168" s="218"/>
      <c r="BC168" s="217"/>
      <c r="BD168" s="218"/>
      <c r="BE168" s="217"/>
      <c r="BF168" s="218"/>
      <c r="BG168" s="218"/>
      <c r="BH168" s="218"/>
      <c r="BI168" s="218"/>
      <c r="BJ168" s="218"/>
      <c r="BK168" s="220"/>
      <c r="BN168" s="203"/>
      <c r="BO168" s="203"/>
    </row>
    <row r="169" spans="1:67" ht="12" customHeight="1">
      <c r="A169" s="221"/>
      <c r="B169" s="219"/>
      <c r="C169" s="217"/>
      <c r="D169" s="218"/>
      <c r="E169" s="218"/>
      <c r="F169" s="218"/>
      <c r="G169" s="217"/>
      <c r="H169" s="217"/>
      <c r="I169" s="218"/>
      <c r="J169" s="218"/>
      <c r="K169" s="217"/>
      <c r="L169" s="218"/>
      <c r="M169" s="217"/>
      <c r="N169" s="218"/>
      <c r="O169" s="217"/>
      <c r="P169" s="218"/>
      <c r="Q169" s="217"/>
      <c r="R169" s="218"/>
      <c r="S169" s="217"/>
      <c r="T169" s="218"/>
      <c r="U169" s="217"/>
      <c r="V169" s="218"/>
      <c r="W169" s="217"/>
      <c r="X169" s="218"/>
      <c r="Y169" s="217"/>
      <c r="Z169" s="218"/>
      <c r="AA169" s="217"/>
      <c r="AB169" s="218"/>
      <c r="AC169" s="217"/>
      <c r="AD169" s="218"/>
      <c r="AE169" s="217"/>
      <c r="AF169" s="218"/>
      <c r="AG169" s="217"/>
      <c r="AH169" s="218"/>
      <c r="AI169" s="217"/>
      <c r="AJ169" s="218"/>
      <c r="AK169" s="217"/>
      <c r="AL169" s="218"/>
      <c r="AM169" s="217"/>
      <c r="AN169" s="218"/>
      <c r="AO169" s="217"/>
      <c r="AP169" s="218"/>
      <c r="AQ169" s="217"/>
      <c r="AR169" s="218"/>
      <c r="AS169" s="217"/>
      <c r="AT169" s="218"/>
      <c r="AU169" s="218"/>
      <c r="AV169" s="217"/>
      <c r="AW169" s="218"/>
      <c r="AX169" s="218"/>
      <c r="AY169" s="217"/>
      <c r="AZ169" s="218"/>
      <c r="BA169" s="217"/>
      <c r="BB169" s="218"/>
      <c r="BC169" s="217"/>
      <c r="BD169" s="218"/>
      <c r="BE169" s="217"/>
      <c r="BF169" s="218"/>
      <c r="BG169" s="218"/>
      <c r="BH169" s="218"/>
      <c r="BI169" s="218"/>
      <c r="BJ169" s="218"/>
      <c r="BK169" s="220"/>
      <c r="BN169" s="203"/>
      <c r="BO169" s="203"/>
    </row>
    <row r="170" spans="1:67" ht="12" customHeight="1">
      <c r="A170" s="221"/>
      <c r="B170" s="219"/>
      <c r="C170" s="217"/>
      <c r="D170" s="218"/>
      <c r="E170" s="218"/>
      <c r="F170" s="218"/>
      <c r="G170" s="217"/>
      <c r="H170" s="217"/>
      <c r="I170" s="218"/>
      <c r="J170" s="218"/>
      <c r="K170" s="217"/>
      <c r="L170" s="218"/>
      <c r="M170" s="217"/>
      <c r="N170" s="218"/>
      <c r="O170" s="217"/>
      <c r="P170" s="218"/>
      <c r="Q170" s="217"/>
      <c r="R170" s="218"/>
      <c r="S170" s="217"/>
      <c r="T170" s="218"/>
      <c r="U170" s="217"/>
      <c r="V170" s="218"/>
      <c r="W170" s="217"/>
      <c r="X170" s="218"/>
      <c r="Y170" s="217"/>
      <c r="Z170" s="218"/>
      <c r="AA170" s="217"/>
      <c r="AB170" s="218"/>
      <c r="AC170" s="217"/>
      <c r="AD170" s="218"/>
      <c r="AE170" s="217"/>
      <c r="AF170" s="218"/>
      <c r="AG170" s="217"/>
      <c r="AH170" s="218"/>
      <c r="AI170" s="217"/>
      <c r="AJ170" s="218"/>
      <c r="AK170" s="217"/>
      <c r="AL170" s="218"/>
      <c r="AM170" s="217"/>
      <c r="AN170" s="218"/>
      <c r="AO170" s="217"/>
      <c r="AP170" s="218"/>
      <c r="AQ170" s="217"/>
      <c r="AR170" s="218"/>
      <c r="AS170" s="217"/>
      <c r="AT170" s="218"/>
      <c r="AU170" s="218"/>
      <c r="AV170" s="217"/>
      <c r="AW170" s="218"/>
      <c r="AX170" s="218"/>
      <c r="AY170" s="217"/>
      <c r="AZ170" s="218"/>
      <c r="BA170" s="217"/>
      <c r="BB170" s="218"/>
      <c r="BC170" s="217"/>
      <c r="BD170" s="218"/>
      <c r="BE170" s="217"/>
      <c r="BF170" s="218"/>
      <c r="BG170" s="218"/>
      <c r="BH170" s="218"/>
      <c r="BI170" s="218"/>
      <c r="BJ170" s="218"/>
      <c r="BK170" s="220"/>
      <c r="BN170" s="203"/>
      <c r="BO170" s="203"/>
    </row>
    <row r="171" spans="1:67" ht="12" customHeight="1" thickBot="1">
      <c r="A171" s="496"/>
      <c r="B171" s="497"/>
      <c r="C171" s="213"/>
      <c r="D171" s="498"/>
      <c r="E171" s="498"/>
      <c r="F171" s="498"/>
      <c r="G171" s="213"/>
      <c r="H171" s="213"/>
      <c r="I171" s="498"/>
      <c r="J171" s="498"/>
      <c r="K171" s="213"/>
      <c r="L171" s="498"/>
      <c r="M171" s="213"/>
      <c r="N171" s="498"/>
      <c r="O171" s="213"/>
      <c r="P171" s="498"/>
      <c r="Q171" s="213"/>
      <c r="R171" s="498"/>
      <c r="S171" s="213"/>
      <c r="T171" s="498"/>
      <c r="U171" s="213"/>
      <c r="V171" s="498"/>
      <c r="W171" s="213"/>
      <c r="X171" s="498"/>
      <c r="Y171" s="213"/>
      <c r="Z171" s="498"/>
      <c r="AA171" s="213"/>
      <c r="AB171" s="498"/>
      <c r="AC171" s="213"/>
      <c r="AD171" s="498"/>
      <c r="AE171" s="213"/>
      <c r="AF171" s="498"/>
      <c r="AG171" s="213"/>
      <c r="AH171" s="498"/>
      <c r="AI171" s="213"/>
      <c r="AJ171" s="498"/>
      <c r="AK171" s="213"/>
      <c r="AL171" s="498"/>
      <c r="AM171" s="213"/>
      <c r="AN171" s="498"/>
      <c r="AO171" s="213"/>
      <c r="AP171" s="498"/>
      <c r="AQ171" s="213"/>
      <c r="AR171" s="498"/>
      <c r="AS171" s="213"/>
      <c r="AT171" s="498"/>
      <c r="AU171" s="498"/>
      <c r="AV171" s="213"/>
      <c r="AW171" s="498"/>
      <c r="AX171" s="498"/>
      <c r="AY171" s="213"/>
      <c r="AZ171" s="498"/>
      <c r="BA171" s="213"/>
      <c r="BB171" s="498"/>
      <c r="BC171" s="213"/>
      <c r="BD171" s="498"/>
      <c r="BE171" s="213"/>
      <c r="BF171" s="498"/>
      <c r="BG171" s="498"/>
      <c r="BH171" s="498"/>
      <c r="BI171" s="498"/>
      <c r="BJ171" s="498"/>
      <c r="BK171" s="499"/>
      <c r="BN171" s="203"/>
      <c r="BO171" s="203"/>
    </row>
    <row r="172" spans="1:67" ht="12" customHeight="1">
      <c r="A172" s="221"/>
      <c r="B172" s="219"/>
      <c r="C172" s="217"/>
      <c r="D172" s="218"/>
      <c r="E172" s="218"/>
      <c r="F172" s="218"/>
      <c r="G172" s="217"/>
      <c r="H172" s="217"/>
      <c r="I172" s="218"/>
      <c r="J172" s="218"/>
      <c r="K172" s="217"/>
      <c r="L172" s="218"/>
      <c r="M172" s="217"/>
      <c r="N172" s="218"/>
      <c r="O172" s="217"/>
      <c r="P172" s="218"/>
      <c r="Q172" s="217"/>
      <c r="R172" s="218"/>
      <c r="S172" s="217"/>
      <c r="T172" s="218"/>
      <c r="U172" s="217"/>
      <c r="V172" s="218"/>
      <c r="W172" s="217"/>
      <c r="X172" s="218"/>
      <c r="Y172" s="217"/>
      <c r="Z172" s="218"/>
      <c r="AA172" s="217"/>
      <c r="AB172" s="218"/>
      <c r="AC172" s="217"/>
      <c r="AD172" s="218"/>
      <c r="AE172" s="217"/>
      <c r="AF172" s="218"/>
      <c r="AG172" s="217"/>
      <c r="AH172" s="218"/>
      <c r="AI172" s="217"/>
      <c r="AJ172" s="218"/>
      <c r="AK172" s="217"/>
      <c r="AL172" s="218"/>
      <c r="AM172" s="217"/>
      <c r="AN172" s="218"/>
      <c r="AO172" s="217"/>
      <c r="AP172" s="218"/>
      <c r="AQ172" s="217"/>
      <c r="AR172" s="218"/>
      <c r="AS172" s="217"/>
      <c r="AT172" s="218"/>
      <c r="AU172" s="218"/>
      <c r="AV172" s="217"/>
      <c r="AW172" s="218"/>
      <c r="AX172" s="218"/>
      <c r="AY172" s="217"/>
      <c r="AZ172" s="218"/>
      <c r="BA172" s="217"/>
      <c r="BB172" s="218"/>
      <c r="BC172" s="217"/>
      <c r="BD172" s="218"/>
      <c r="BE172" s="217"/>
      <c r="BF172" s="218"/>
      <c r="BG172" s="218"/>
      <c r="BH172" s="218"/>
      <c r="BI172" s="218"/>
      <c r="BJ172" s="218"/>
      <c r="BK172" s="220"/>
      <c r="BN172" s="203"/>
      <c r="BO172" s="203"/>
    </row>
    <row r="173" spans="1:67" ht="12" customHeight="1">
      <c r="A173" s="221"/>
      <c r="B173" s="219"/>
      <c r="C173" s="217"/>
      <c r="D173" s="218"/>
      <c r="E173" s="218"/>
      <c r="F173" s="218"/>
      <c r="G173" s="217"/>
      <c r="H173" s="217"/>
      <c r="I173" s="218"/>
      <c r="J173" s="218"/>
      <c r="K173" s="217"/>
      <c r="L173" s="218"/>
      <c r="M173" s="217"/>
      <c r="N173" s="218"/>
      <c r="O173" s="217"/>
      <c r="P173" s="218"/>
      <c r="Q173" s="217"/>
      <c r="R173" s="218"/>
      <c r="S173" s="217"/>
      <c r="T173" s="218"/>
      <c r="U173" s="217"/>
      <c r="V173" s="218"/>
      <c r="W173" s="217"/>
      <c r="X173" s="218"/>
      <c r="Y173" s="217"/>
      <c r="Z173" s="218"/>
      <c r="AA173" s="217"/>
      <c r="AB173" s="218"/>
      <c r="AC173" s="217"/>
      <c r="AD173" s="218"/>
      <c r="AE173" s="217"/>
      <c r="AF173" s="218"/>
      <c r="AG173" s="217"/>
      <c r="AH173" s="218"/>
      <c r="AI173" s="217"/>
      <c r="AJ173" s="218"/>
      <c r="AK173" s="217"/>
      <c r="AL173" s="218"/>
      <c r="AM173" s="217"/>
      <c r="AN173" s="218"/>
      <c r="AO173" s="217"/>
      <c r="AP173" s="218"/>
      <c r="AQ173" s="217"/>
      <c r="AR173" s="218"/>
      <c r="AS173" s="217"/>
      <c r="AT173" s="218"/>
      <c r="AU173" s="218"/>
      <c r="AV173" s="217"/>
      <c r="AW173" s="218"/>
      <c r="AX173" s="218"/>
      <c r="AY173" s="217"/>
      <c r="AZ173" s="218"/>
      <c r="BA173" s="217"/>
      <c r="BB173" s="218"/>
      <c r="BC173" s="217"/>
      <c r="BD173" s="218"/>
      <c r="BE173" s="217"/>
      <c r="BF173" s="218"/>
      <c r="BG173" s="218"/>
      <c r="BH173" s="218"/>
      <c r="BI173" s="218"/>
      <c r="BJ173" s="218"/>
      <c r="BK173" s="220"/>
      <c r="BN173" s="203"/>
      <c r="BO173" s="203"/>
    </row>
    <row r="174" spans="1:67" ht="12" customHeight="1">
      <c r="A174" s="221"/>
      <c r="B174" s="219"/>
      <c r="C174" s="217"/>
      <c r="D174" s="218"/>
      <c r="E174" s="218"/>
      <c r="F174" s="218"/>
      <c r="G174" s="217"/>
      <c r="H174" s="217"/>
      <c r="I174" s="218"/>
      <c r="J174" s="218"/>
      <c r="K174" s="217"/>
      <c r="L174" s="218"/>
      <c r="M174" s="217"/>
      <c r="N174" s="218"/>
      <c r="O174" s="217"/>
      <c r="P174" s="218"/>
      <c r="Q174" s="217"/>
      <c r="R174" s="218"/>
      <c r="S174" s="217"/>
      <c r="T174" s="218"/>
      <c r="U174" s="217"/>
      <c r="V174" s="218"/>
      <c r="W174" s="217"/>
      <c r="X174" s="218"/>
      <c r="Y174" s="217"/>
      <c r="Z174" s="218"/>
      <c r="AA174" s="217"/>
      <c r="AB174" s="218"/>
      <c r="AC174" s="217"/>
      <c r="AD174" s="218"/>
      <c r="AE174" s="217"/>
      <c r="AF174" s="218"/>
      <c r="AG174" s="217"/>
      <c r="AH174" s="218"/>
      <c r="AI174" s="217"/>
      <c r="AJ174" s="218"/>
      <c r="AK174" s="217"/>
      <c r="AL174" s="218"/>
      <c r="AM174" s="217"/>
      <c r="AN174" s="218"/>
      <c r="AO174" s="217"/>
      <c r="AP174" s="218"/>
      <c r="AQ174" s="217"/>
      <c r="AR174" s="218"/>
      <c r="AS174" s="217"/>
      <c r="AT174" s="218"/>
      <c r="AU174" s="218"/>
      <c r="AV174" s="217"/>
      <c r="AW174" s="218"/>
      <c r="AX174" s="218"/>
      <c r="AY174" s="217"/>
      <c r="AZ174" s="218"/>
      <c r="BA174" s="217"/>
      <c r="BB174" s="218"/>
      <c r="BC174" s="217"/>
      <c r="BD174" s="218"/>
      <c r="BE174" s="217"/>
      <c r="BF174" s="218"/>
      <c r="BG174" s="218"/>
      <c r="BH174" s="218"/>
      <c r="BI174" s="218"/>
      <c r="BJ174" s="218"/>
      <c r="BK174" s="220"/>
      <c r="BN174" s="203"/>
      <c r="BO174" s="203"/>
    </row>
    <row r="175" spans="1:67" ht="12" customHeight="1">
      <c r="A175" s="221"/>
      <c r="B175" s="219"/>
      <c r="C175" s="217"/>
      <c r="D175" s="218"/>
      <c r="E175" s="218"/>
      <c r="F175" s="218"/>
      <c r="G175" s="217"/>
      <c r="H175" s="217"/>
      <c r="I175" s="218"/>
      <c r="J175" s="218"/>
      <c r="K175" s="217"/>
      <c r="L175" s="218"/>
      <c r="M175" s="217"/>
      <c r="N175" s="218"/>
      <c r="O175" s="217"/>
      <c r="P175" s="218"/>
      <c r="Q175" s="217"/>
      <c r="R175" s="218"/>
      <c r="S175" s="217"/>
      <c r="T175" s="218"/>
      <c r="U175" s="217"/>
      <c r="V175" s="218"/>
      <c r="W175" s="217"/>
      <c r="X175" s="218"/>
      <c r="Y175" s="217"/>
      <c r="Z175" s="218"/>
      <c r="AA175" s="217"/>
      <c r="AB175" s="218"/>
      <c r="AC175" s="217"/>
      <c r="AD175" s="218"/>
      <c r="AE175" s="217"/>
      <c r="AF175" s="218"/>
      <c r="AG175" s="217"/>
      <c r="AH175" s="218"/>
      <c r="AI175" s="217"/>
      <c r="AJ175" s="218"/>
      <c r="AK175" s="217"/>
      <c r="AL175" s="218"/>
      <c r="AM175" s="217"/>
      <c r="AN175" s="218"/>
      <c r="AO175" s="217"/>
      <c r="AP175" s="218"/>
      <c r="AQ175" s="217"/>
      <c r="AR175" s="218"/>
      <c r="AS175" s="217"/>
      <c r="AT175" s="218"/>
      <c r="AU175" s="218"/>
      <c r="AV175" s="217"/>
      <c r="AW175" s="218"/>
      <c r="AX175" s="218"/>
      <c r="AY175" s="217"/>
      <c r="AZ175" s="218"/>
      <c r="BA175" s="217"/>
      <c r="BB175" s="218"/>
      <c r="BC175" s="217"/>
      <c r="BD175" s="218"/>
      <c r="BE175" s="217"/>
      <c r="BF175" s="218"/>
      <c r="BG175" s="218"/>
      <c r="BH175" s="218"/>
      <c r="BI175" s="218"/>
      <c r="BJ175" s="218"/>
      <c r="BK175" s="220"/>
      <c r="BN175" s="203"/>
      <c r="BO175" s="203"/>
    </row>
    <row r="176" spans="1:67" ht="12" customHeight="1">
      <c r="A176" s="221"/>
      <c r="B176" s="219"/>
      <c r="C176" s="217"/>
      <c r="D176" s="218"/>
      <c r="E176" s="218"/>
      <c r="F176" s="218"/>
      <c r="G176" s="217"/>
      <c r="H176" s="217"/>
      <c r="I176" s="218"/>
      <c r="J176" s="218"/>
      <c r="K176" s="217"/>
      <c r="L176" s="218"/>
      <c r="M176" s="217"/>
      <c r="N176" s="218"/>
      <c r="O176" s="217"/>
      <c r="P176" s="218"/>
      <c r="Q176" s="217"/>
      <c r="R176" s="218"/>
      <c r="S176" s="217"/>
      <c r="T176" s="218"/>
      <c r="U176" s="217"/>
      <c r="V176" s="218"/>
      <c r="W176" s="217"/>
      <c r="X176" s="218"/>
      <c r="Y176" s="217"/>
      <c r="Z176" s="218"/>
      <c r="AA176" s="217"/>
      <c r="AB176" s="218"/>
      <c r="AC176" s="217"/>
      <c r="AD176" s="218"/>
      <c r="AE176" s="217"/>
      <c r="AF176" s="218"/>
      <c r="AG176" s="217"/>
      <c r="AH176" s="218"/>
      <c r="AI176" s="217"/>
      <c r="AJ176" s="218"/>
      <c r="AK176" s="217"/>
      <c r="AL176" s="218"/>
      <c r="AM176" s="217"/>
      <c r="AN176" s="218"/>
      <c r="AO176" s="217"/>
      <c r="AP176" s="218"/>
      <c r="AQ176" s="217"/>
      <c r="AR176" s="218"/>
      <c r="AS176" s="217"/>
      <c r="AT176" s="218"/>
      <c r="AU176" s="218"/>
      <c r="AV176" s="217"/>
      <c r="AW176" s="218"/>
      <c r="AX176" s="218"/>
      <c r="AY176" s="217"/>
      <c r="AZ176" s="218"/>
      <c r="BA176" s="217"/>
      <c r="BB176" s="218"/>
      <c r="BC176" s="217"/>
      <c r="BD176" s="218"/>
      <c r="BE176" s="217"/>
      <c r="BF176" s="218"/>
      <c r="BG176" s="218"/>
      <c r="BH176" s="218"/>
      <c r="BI176" s="218"/>
      <c r="BJ176" s="218"/>
      <c r="BK176" s="220"/>
      <c r="BN176" s="203"/>
      <c r="BO176" s="203"/>
    </row>
    <row r="177" spans="1:67" ht="12" customHeight="1">
      <c r="A177" s="221"/>
      <c r="B177" s="219"/>
      <c r="C177" s="217"/>
      <c r="D177" s="218"/>
      <c r="E177" s="218"/>
      <c r="F177" s="218"/>
      <c r="G177" s="217"/>
      <c r="H177" s="217"/>
      <c r="I177" s="218"/>
      <c r="J177" s="218"/>
      <c r="K177" s="217"/>
      <c r="L177" s="218"/>
      <c r="M177" s="217"/>
      <c r="N177" s="218"/>
      <c r="O177" s="217"/>
      <c r="P177" s="218"/>
      <c r="Q177" s="217"/>
      <c r="R177" s="218"/>
      <c r="S177" s="217"/>
      <c r="T177" s="218"/>
      <c r="U177" s="217"/>
      <c r="V177" s="218"/>
      <c r="W177" s="217"/>
      <c r="X177" s="218"/>
      <c r="Y177" s="217"/>
      <c r="Z177" s="218"/>
      <c r="AA177" s="217"/>
      <c r="AB177" s="218"/>
      <c r="AC177" s="217"/>
      <c r="AD177" s="218"/>
      <c r="AE177" s="217"/>
      <c r="AF177" s="218"/>
      <c r="AG177" s="217"/>
      <c r="AH177" s="218"/>
      <c r="AI177" s="217"/>
      <c r="AJ177" s="218"/>
      <c r="AK177" s="217"/>
      <c r="AL177" s="218"/>
      <c r="AM177" s="217"/>
      <c r="AN177" s="218"/>
      <c r="AO177" s="217"/>
      <c r="AP177" s="218"/>
      <c r="AQ177" s="217"/>
      <c r="AR177" s="218"/>
      <c r="AS177" s="217"/>
      <c r="AT177" s="218"/>
      <c r="AU177" s="218"/>
      <c r="AV177" s="217"/>
      <c r="AW177" s="218"/>
      <c r="AX177" s="218"/>
      <c r="AY177" s="217"/>
      <c r="AZ177" s="218"/>
      <c r="BA177" s="217"/>
      <c r="BB177" s="218"/>
      <c r="BC177" s="217"/>
      <c r="BD177" s="218"/>
      <c r="BE177" s="217"/>
      <c r="BF177" s="218"/>
      <c r="BG177" s="218"/>
      <c r="BH177" s="218"/>
      <c r="BI177" s="218"/>
      <c r="BJ177" s="218"/>
      <c r="BK177" s="220"/>
      <c r="BN177" s="203"/>
      <c r="BO177" s="203"/>
    </row>
    <row r="178" spans="1:67" ht="12" customHeight="1" thickBot="1">
      <c r="A178" s="496"/>
      <c r="B178" s="497"/>
      <c r="C178" s="213"/>
      <c r="D178" s="498"/>
      <c r="E178" s="498"/>
      <c r="F178" s="498"/>
      <c r="G178" s="213"/>
      <c r="H178" s="213"/>
      <c r="I178" s="498"/>
      <c r="J178" s="498"/>
      <c r="K178" s="213"/>
      <c r="L178" s="498"/>
      <c r="M178" s="213"/>
      <c r="N178" s="498"/>
      <c r="O178" s="213"/>
      <c r="P178" s="498"/>
      <c r="Q178" s="213"/>
      <c r="R178" s="498"/>
      <c r="S178" s="213"/>
      <c r="T178" s="498"/>
      <c r="U178" s="213"/>
      <c r="V178" s="498"/>
      <c r="W178" s="213"/>
      <c r="X178" s="498"/>
      <c r="Y178" s="213"/>
      <c r="Z178" s="498"/>
      <c r="AA178" s="213"/>
      <c r="AB178" s="498"/>
      <c r="AC178" s="213"/>
      <c r="AD178" s="498"/>
      <c r="AE178" s="213"/>
      <c r="AF178" s="498"/>
      <c r="AG178" s="213"/>
      <c r="AH178" s="498"/>
      <c r="AI178" s="213"/>
      <c r="AJ178" s="498"/>
      <c r="AK178" s="213"/>
      <c r="AL178" s="498"/>
      <c r="AM178" s="213"/>
      <c r="AN178" s="498"/>
      <c r="AO178" s="213"/>
      <c r="AP178" s="498"/>
      <c r="AQ178" s="213"/>
      <c r="AR178" s="498"/>
      <c r="AS178" s="213"/>
      <c r="AT178" s="498"/>
      <c r="AU178" s="498"/>
      <c r="AV178" s="213"/>
      <c r="AW178" s="498"/>
      <c r="AX178" s="498"/>
      <c r="AY178" s="213"/>
      <c r="AZ178" s="498"/>
      <c r="BA178" s="213"/>
      <c r="BB178" s="498"/>
      <c r="BC178" s="213"/>
      <c r="BD178" s="498"/>
      <c r="BE178" s="213"/>
      <c r="BF178" s="498"/>
      <c r="BG178" s="498"/>
      <c r="BH178" s="498"/>
      <c r="BI178" s="498"/>
      <c r="BJ178" s="498"/>
      <c r="BK178" s="499"/>
      <c r="BN178" s="203"/>
      <c r="BO178" s="203"/>
    </row>
    <row r="179" spans="1:67" ht="12" customHeight="1">
      <c r="A179" s="221"/>
      <c r="B179" s="219"/>
      <c r="C179" s="217"/>
      <c r="D179" s="218"/>
      <c r="E179" s="218"/>
      <c r="F179" s="218"/>
      <c r="G179" s="217"/>
      <c r="H179" s="217"/>
      <c r="I179" s="218"/>
      <c r="J179" s="218"/>
      <c r="K179" s="217"/>
      <c r="L179" s="218"/>
      <c r="M179" s="217"/>
      <c r="N179" s="218"/>
      <c r="O179" s="217"/>
      <c r="P179" s="218"/>
      <c r="Q179" s="217"/>
      <c r="R179" s="218"/>
      <c r="S179" s="217"/>
      <c r="T179" s="218"/>
      <c r="U179" s="217"/>
      <c r="V179" s="218"/>
      <c r="W179" s="217"/>
      <c r="X179" s="218"/>
      <c r="Y179" s="217"/>
      <c r="Z179" s="218"/>
      <c r="AA179" s="217"/>
      <c r="AB179" s="218"/>
      <c r="AC179" s="217"/>
      <c r="AD179" s="218"/>
      <c r="AE179" s="217"/>
      <c r="AF179" s="218"/>
      <c r="AG179" s="217"/>
      <c r="AH179" s="218"/>
      <c r="AI179" s="217"/>
      <c r="AJ179" s="218"/>
      <c r="AK179" s="217"/>
      <c r="AL179" s="218"/>
      <c r="AM179" s="217"/>
      <c r="AN179" s="218"/>
      <c r="AO179" s="217"/>
      <c r="AP179" s="218"/>
      <c r="AQ179" s="217"/>
      <c r="AR179" s="218"/>
      <c r="AS179" s="217"/>
      <c r="AT179" s="218"/>
      <c r="AU179" s="218"/>
      <c r="AV179" s="217"/>
      <c r="AW179" s="218"/>
      <c r="AX179" s="218"/>
      <c r="AY179" s="217"/>
      <c r="AZ179" s="218"/>
      <c r="BA179" s="217"/>
      <c r="BB179" s="218"/>
      <c r="BC179" s="217"/>
      <c r="BD179" s="218"/>
      <c r="BE179" s="217"/>
      <c r="BF179" s="218"/>
      <c r="BG179" s="218"/>
      <c r="BH179" s="218"/>
      <c r="BI179" s="218"/>
      <c r="BJ179" s="218"/>
      <c r="BK179" s="220"/>
      <c r="BN179" s="203"/>
      <c r="BO179" s="203"/>
    </row>
    <row r="180" spans="1:67" ht="12" customHeight="1">
      <c r="A180" s="221"/>
      <c r="B180" s="219"/>
      <c r="C180" s="217"/>
      <c r="D180" s="218"/>
      <c r="E180" s="218"/>
      <c r="F180" s="218"/>
      <c r="G180" s="217"/>
      <c r="H180" s="217"/>
      <c r="I180" s="218"/>
      <c r="J180" s="218"/>
      <c r="K180" s="217"/>
      <c r="L180" s="218"/>
      <c r="M180" s="217"/>
      <c r="N180" s="218"/>
      <c r="O180" s="217"/>
      <c r="P180" s="218"/>
      <c r="Q180" s="217"/>
      <c r="R180" s="218"/>
      <c r="S180" s="217"/>
      <c r="T180" s="218"/>
      <c r="U180" s="217"/>
      <c r="V180" s="218"/>
      <c r="W180" s="217"/>
      <c r="X180" s="218"/>
      <c r="Y180" s="217"/>
      <c r="Z180" s="218"/>
      <c r="AA180" s="217"/>
      <c r="AB180" s="218"/>
      <c r="AC180" s="217"/>
      <c r="AD180" s="218"/>
      <c r="AE180" s="217"/>
      <c r="AF180" s="218"/>
      <c r="AG180" s="217"/>
      <c r="AH180" s="218"/>
      <c r="AI180" s="217"/>
      <c r="AJ180" s="218"/>
      <c r="AK180" s="217"/>
      <c r="AL180" s="218"/>
      <c r="AM180" s="217"/>
      <c r="AN180" s="218"/>
      <c r="AO180" s="217"/>
      <c r="AP180" s="218"/>
      <c r="AQ180" s="217"/>
      <c r="AR180" s="218"/>
      <c r="AS180" s="217"/>
      <c r="AT180" s="218"/>
      <c r="AU180" s="218"/>
      <c r="AV180" s="217"/>
      <c r="AW180" s="218"/>
      <c r="AX180" s="218"/>
      <c r="AY180" s="217"/>
      <c r="AZ180" s="218"/>
      <c r="BA180" s="217"/>
      <c r="BB180" s="218"/>
      <c r="BC180" s="217"/>
      <c r="BD180" s="218"/>
      <c r="BE180" s="217"/>
      <c r="BF180" s="218"/>
      <c r="BG180" s="218"/>
      <c r="BH180" s="218"/>
      <c r="BI180" s="218"/>
      <c r="BJ180" s="218"/>
      <c r="BK180" s="220"/>
      <c r="BN180" s="203"/>
      <c r="BO180" s="203"/>
    </row>
    <row r="181" spans="1:67" ht="12" customHeight="1">
      <c r="A181" s="221"/>
      <c r="B181" s="219"/>
      <c r="C181" s="217"/>
      <c r="D181" s="218"/>
      <c r="E181" s="218"/>
      <c r="F181" s="218"/>
      <c r="G181" s="217"/>
      <c r="H181" s="217"/>
      <c r="I181" s="218"/>
      <c r="J181" s="218"/>
      <c r="K181" s="217"/>
      <c r="L181" s="218"/>
      <c r="M181" s="217"/>
      <c r="N181" s="218"/>
      <c r="O181" s="217"/>
      <c r="P181" s="218"/>
      <c r="Q181" s="217"/>
      <c r="R181" s="218"/>
      <c r="S181" s="217"/>
      <c r="T181" s="218"/>
      <c r="U181" s="217"/>
      <c r="V181" s="218"/>
      <c r="W181" s="217"/>
      <c r="X181" s="218"/>
      <c r="Y181" s="217"/>
      <c r="Z181" s="218"/>
      <c r="AA181" s="217"/>
      <c r="AB181" s="218"/>
      <c r="AC181" s="217"/>
      <c r="AD181" s="218"/>
      <c r="AE181" s="217"/>
      <c r="AF181" s="218"/>
      <c r="AG181" s="217"/>
      <c r="AH181" s="218"/>
      <c r="AI181" s="217"/>
      <c r="AJ181" s="218"/>
      <c r="AK181" s="217"/>
      <c r="AL181" s="218"/>
      <c r="AM181" s="217"/>
      <c r="AN181" s="218"/>
      <c r="AO181" s="217"/>
      <c r="AP181" s="218"/>
      <c r="AQ181" s="217"/>
      <c r="AR181" s="218"/>
      <c r="AS181" s="217"/>
      <c r="AT181" s="218"/>
      <c r="AU181" s="218"/>
      <c r="AV181" s="217"/>
      <c r="AW181" s="218"/>
      <c r="AX181" s="218"/>
      <c r="AY181" s="217"/>
      <c r="AZ181" s="218"/>
      <c r="BA181" s="217"/>
      <c r="BB181" s="218"/>
      <c r="BC181" s="217"/>
      <c r="BD181" s="218"/>
      <c r="BE181" s="217"/>
      <c r="BF181" s="218"/>
      <c r="BG181" s="218"/>
      <c r="BH181" s="218"/>
      <c r="BI181" s="218"/>
      <c r="BJ181" s="218"/>
      <c r="BK181" s="220"/>
      <c r="BN181" s="203"/>
      <c r="BO181" s="203"/>
    </row>
    <row r="182" spans="1:67" ht="12" customHeight="1">
      <c r="A182" s="221"/>
      <c r="B182" s="219"/>
      <c r="C182" s="217"/>
      <c r="D182" s="218"/>
      <c r="E182" s="218"/>
      <c r="F182" s="218"/>
      <c r="G182" s="217"/>
      <c r="H182" s="217"/>
      <c r="I182" s="218"/>
      <c r="J182" s="218"/>
      <c r="K182" s="217"/>
      <c r="L182" s="218"/>
      <c r="M182" s="217"/>
      <c r="N182" s="218"/>
      <c r="O182" s="217"/>
      <c r="P182" s="218"/>
      <c r="Q182" s="217"/>
      <c r="R182" s="218"/>
      <c r="S182" s="217"/>
      <c r="T182" s="218"/>
      <c r="U182" s="217"/>
      <c r="V182" s="218"/>
      <c r="W182" s="217"/>
      <c r="X182" s="218"/>
      <c r="Y182" s="217"/>
      <c r="Z182" s="218"/>
      <c r="AA182" s="217"/>
      <c r="AB182" s="218"/>
      <c r="AC182" s="217"/>
      <c r="AD182" s="218"/>
      <c r="AE182" s="217"/>
      <c r="AF182" s="218"/>
      <c r="AG182" s="217"/>
      <c r="AH182" s="218"/>
      <c r="AI182" s="217"/>
      <c r="AJ182" s="218"/>
      <c r="AK182" s="217"/>
      <c r="AL182" s="218"/>
      <c r="AM182" s="217"/>
      <c r="AN182" s="218"/>
      <c r="AO182" s="217"/>
      <c r="AP182" s="218"/>
      <c r="AQ182" s="217"/>
      <c r="AR182" s="218"/>
      <c r="AS182" s="217"/>
      <c r="AT182" s="218"/>
      <c r="AU182" s="218"/>
      <c r="AV182" s="217"/>
      <c r="AW182" s="218"/>
      <c r="AX182" s="218"/>
      <c r="AY182" s="217"/>
      <c r="AZ182" s="218"/>
      <c r="BA182" s="217"/>
      <c r="BB182" s="218"/>
      <c r="BC182" s="217"/>
      <c r="BD182" s="218"/>
      <c r="BE182" s="217"/>
      <c r="BF182" s="218"/>
      <c r="BG182" s="218"/>
      <c r="BH182" s="218"/>
      <c r="BI182" s="218"/>
      <c r="BJ182" s="218"/>
      <c r="BK182" s="220"/>
      <c r="BN182" s="203"/>
      <c r="BO182" s="203"/>
    </row>
    <row r="183" spans="1:67" ht="12" customHeight="1">
      <c r="A183" s="221"/>
      <c r="B183" s="219"/>
      <c r="C183" s="217"/>
      <c r="D183" s="218"/>
      <c r="E183" s="218"/>
      <c r="F183" s="218"/>
      <c r="G183" s="217"/>
      <c r="H183" s="217"/>
      <c r="I183" s="218"/>
      <c r="J183" s="218"/>
      <c r="K183" s="217"/>
      <c r="L183" s="218"/>
      <c r="M183" s="217"/>
      <c r="N183" s="218"/>
      <c r="O183" s="217"/>
      <c r="P183" s="218"/>
      <c r="Q183" s="217"/>
      <c r="R183" s="218"/>
      <c r="S183" s="217"/>
      <c r="T183" s="218"/>
      <c r="U183" s="217"/>
      <c r="V183" s="218"/>
      <c r="W183" s="217"/>
      <c r="X183" s="218"/>
      <c r="Y183" s="217"/>
      <c r="Z183" s="218"/>
      <c r="AA183" s="217"/>
      <c r="AB183" s="218"/>
      <c r="AC183" s="217"/>
      <c r="AD183" s="218"/>
      <c r="AE183" s="217"/>
      <c r="AF183" s="218"/>
      <c r="AG183" s="217"/>
      <c r="AH183" s="218"/>
      <c r="AI183" s="217"/>
      <c r="AJ183" s="218"/>
      <c r="AK183" s="217"/>
      <c r="AL183" s="218"/>
      <c r="AM183" s="217"/>
      <c r="AN183" s="218"/>
      <c r="AO183" s="217"/>
      <c r="AP183" s="218"/>
      <c r="AQ183" s="217"/>
      <c r="AR183" s="218"/>
      <c r="AS183" s="217"/>
      <c r="AT183" s="218"/>
      <c r="AU183" s="218"/>
      <c r="AV183" s="217"/>
      <c r="AW183" s="218"/>
      <c r="AX183" s="218"/>
      <c r="AY183" s="217"/>
      <c r="AZ183" s="218"/>
      <c r="BA183" s="217"/>
      <c r="BB183" s="218"/>
      <c r="BC183" s="217"/>
      <c r="BD183" s="218"/>
      <c r="BE183" s="217"/>
      <c r="BF183" s="218"/>
      <c r="BG183" s="218"/>
      <c r="BH183" s="218"/>
      <c r="BI183" s="218"/>
      <c r="BJ183" s="218"/>
      <c r="BK183" s="220"/>
      <c r="BN183" s="203"/>
      <c r="BO183" s="203"/>
    </row>
    <row r="184" spans="1:67" ht="12" customHeight="1">
      <c r="A184" s="221"/>
      <c r="B184" s="219"/>
      <c r="C184" s="217"/>
      <c r="D184" s="218"/>
      <c r="E184" s="218"/>
      <c r="F184" s="218"/>
      <c r="G184" s="217"/>
      <c r="H184" s="217"/>
      <c r="I184" s="218"/>
      <c r="J184" s="218"/>
      <c r="K184" s="217"/>
      <c r="L184" s="218"/>
      <c r="M184" s="217"/>
      <c r="N184" s="218"/>
      <c r="O184" s="217"/>
      <c r="P184" s="218"/>
      <c r="Q184" s="217"/>
      <c r="R184" s="218"/>
      <c r="S184" s="217"/>
      <c r="T184" s="218"/>
      <c r="U184" s="217"/>
      <c r="V184" s="218"/>
      <c r="W184" s="217"/>
      <c r="X184" s="218"/>
      <c r="Y184" s="217"/>
      <c r="Z184" s="218"/>
      <c r="AA184" s="217"/>
      <c r="AB184" s="218"/>
      <c r="AC184" s="217"/>
      <c r="AD184" s="218"/>
      <c r="AE184" s="217"/>
      <c r="AF184" s="218"/>
      <c r="AG184" s="217"/>
      <c r="AH184" s="218"/>
      <c r="AI184" s="217"/>
      <c r="AJ184" s="218"/>
      <c r="AK184" s="217"/>
      <c r="AL184" s="218"/>
      <c r="AM184" s="217"/>
      <c r="AN184" s="218"/>
      <c r="AO184" s="217"/>
      <c r="AP184" s="218"/>
      <c r="AQ184" s="217"/>
      <c r="AR184" s="218"/>
      <c r="AS184" s="217"/>
      <c r="AT184" s="218"/>
      <c r="AU184" s="218"/>
      <c r="AV184" s="217"/>
      <c r="AW184" s="218"/>
      <c r="AX184" s="218"/>
      <c r="AY184" s="217"/>
      <c r="AZ184" s="218"/>
      <c r="BA184" s="217"/>
      <c r="BB184" s="218"/>
      <c r="BC184" s="217"/>
      <c r="BD184" s="218"/>
      <c r="BE184" s="217"/>
      <c r="BF184" s="218"/>
      <c r="BG184" s="218"/>
      <c r="BH184" s="218"/>
      <c r="BI184" s="218"/>
      <c r="BJ184" s="218"/>
      <c r="BK184" s="220"/>
      <c r="BN184" s="203"/>
      <c r="BO184" s="203"/>
    </row>
    <row r="185" spans="1:67" ht="12" customHeight="1" thickBot="1">
      <c r="A185" s="496"/>
      <c r="B185" s="497"/>
      <c r="C185" s="213"/>
      <c r="D185" s="498"/>
      <c r="E185" s="498"/>
      <c r="F185" s="498"/>
      <c r="G185" s="213"/>
      <c r="H185" s="213"/>
      <c r="I185" s="498"/>
      <c r="J185" s="498"/>
      <c r="K185" s="213"/>
      <c r="L185" s="498"/>
      <c r="M185" s="213"/>
      <c r="N185" s="498"/>
      <c r="O185" s="213"/>
      <c r="P185" s="498"/>
      <c r="Q185" s="213"/>
      <c r="R185" s="498"/>
      <c r="S185" s="213"/>
      <c r="T185" s="498"/>
      <c r="U185" s="213"/>
      <c r="V185" s="498"/>
      <c r="W185" s="213"/>
      <c r="X185" s="498"/>
      <c r="Y185" s="213"/>
      <c r="Z185" s="498"/>
      <c r="AA185" s="213"/>
      <c r="AB185" s="498"/>
      <c r="AC185" s="213"/>
      <c r="AD185" s="498"/>
      <c r="AE185" s="213"/>
      <c r="AF185" s="498"/>
      <c r="AG185" s="213"/>
      <c r="AH185" s="498"/>
      <c r="AI185" s="213"/>
      <c r="AJ185" s="498"/>
      <c r="AK185" s="213"/>
      <c r="AL185" s="498"/>
      <c r="AM185" s="213"/>
      <c r="AN185" s="498"/>
      <c r="AO185" s="213"/>
      <c r="AP185" s="498"/>
      <c r="AQ185" s="213"/>
      <c r="AR185" s="498"/>
      <c r="AS185" s="213"/>
      <c r="AT185" s="498"/>
      <c r="AU185" s="498"/>
      <c r="AV185" s="213"/>
      <c r="AW185" s="498"/>
      <c r="AX185" s="498"/>
      <c r="AY185" s="213"/>
      <c r="AZ185" s="498"/>
      <c r="BA185" s="213"/>
      <c r="BB185" s="498"/>
      <c r="BC185" s="213"/>
      <c r="BD185" s="498"/>
      <c r="BE185" s="213"/>
      <c r="BF185" s="498"/>
      <c r="BG185" s="498"/>
      <c r="BH185" s="498"/>
      <c r="BI185" s="498"/>
      <c r="BJ185" s="498"/>
      <c r="BK185" s="499"/>
      <c r="BN185" s="203"/>
      <c r="BO185" s="203"/>
    </row>
    <row r="186" spans="1:67" ht="12" customHeight="1">
      <c r="A186" s="221"/>
      <c r="B186" s="219"/>
      <c r="C186" s="217"/>
      <c r="D186" s="218"/>
      <c r="E186" s="218"/>
      <c r="F186" s="218"/>
      <c r="G186" s="217"/>
      <c r="H186" s="217"/>
      <c r="I186" s="218"/>
      <c r="J186" s="218"/>
      <c r="K186" s="217"/>
      <c r="L186" s="218"/>
      <c r="M186" s="217"/>
      <c r="N186" s="218"/>
      <c r="O186" s="217"/>
      <c r="P186" s="218"/>
      <c r="Q186" s="217"/>
      <c r="R186" s="218"/>
      <c r="S186" s="217"/>
      <c r="T186" s="218"/>
      <c r="U186" s="217"/>
      <c r="V186" s="218"/>
      <c r="W186" s="217"/>
      <c r="X186" s="218"/>
      <c r="Y186" s="217"/>
      <c r="Z186" s="218"/>
      <c r="AA186" s="217"/>
      <c r="AB186" s="218"/>
      <c r="AC186" s="217"/>
      <c r="AD186" s="218"/>
      <c r="AE186" s="217"/>
      <c r="AF186" s="218"/>
      <c r="AG186" s="217"/>
      <c r="AH186" s="218"/>
      <c r="AI186" s="217"/>
      <c r="AJ186" s="218"/>
      <c r="AK186" s="217"/>
      <c r="AL186" s="218"/>
      <c r="AM186" s="217"/>
      <c r="AN186" s="218"/>
      <c r="AO186" s="217"/>
      <c r="AP186" s="218"/>
      <c r="AQ186" s="217"/>
      <c r="AR186" s="218"/>
      <c r="AS186" s="217"/>
      <c r="AT186" s="218"/>
      <c r="AU186" s="218"/>
      <c r="AV186" s="217"/>
      <c r="AW186" s="218"/>
      <c r="AX186" s="218"/>
      <c r="AY186" s="217"/>
      <c r="AZ186" s="218"/>
      <c r="BA186" s="217"/>
      <c r="BB186" s="218"/>
      <c r="BC186" s="217"/>
      <c r="BD186" s="218"/>
      <c r="BE186" s="217"/>
      <c r="BF186" s="218"/>
      <c r="BG186" s="218"/>
      <c r="BH186" s="218"/>
      <c r="BI186" s="218"/>
      <c r="BJ186" s="218"/>
      <c r="BK186" s="220"/>
      <c r="BN186" s="203"/>
      <c r="BO186" s="203"/>
    </row>
    <row r="187" spans="1:67" ht="12" customHeight="1">
      <c r="A187" s="221"/>
      <c r="B187" s="219"/>
      <c r="C187" s="217"/>
      <c r="D187" s="218"/>
      <c r="E187" s="218"/>
      <c r="F187" s="218"/>
      <c r="G187" s="217"/>
      <c r="H187" s="217"/>
      <c r="I187" s="218"/>
      <c r="J187" s="218"/>
      <c r="K187" s="217"/>
      <c r="L187" s="218"/>
      <c r="M187" s="217"/>
      <c r="N187" s="218"/>
      <c r="O187" s="217"/>
      <c r="P187" s="218"/>
      <c r="Q187" s="217"/>
      <c r="R187" s="218"/>
      <c r="S187" s="217"/>
      <c r="T187" s="218"/>
      <c r="U187" s="217"/>
      <c r="V187" s="218"/>
      <c r="W187" s="217"/>
      <c r="X187" s="218"/>
      <c r="Y187" s="217"/>
      <c r="Z187" s="218"/>
      <c r="AA187" s="217"/>
      <c r="AB187" s="218"/>
      <c r="AC187" s="217"/>
      <c r="AD187" s="218"/>
      <c r="AE187" s="217"/>
      <c r="AF187" s="218"/>
      <c r="AG187" s="217"/>
      <c r="AH187" s="218"/>
      <c r="AI187" s="217"/>
      <c r="AJ187" s="218"/>
      <c r="AK187" s="217"/>
      <c r="AL187" s="218"/>
      <c r="AM187" s="217"/>
      <c r="AN187" s="218"/>
      <c r="AO187" s="217"/>
      <c r="AP187" s="218"/>
      <c r="AQ187" s="217"/>
      <c r="AR187" s="218"/>
      <c r="AS187" s="217"/>
      <c r="AT187" s="218"/>
      <c r="AU187" s="218"/>
      <c r="AV187" s="217"/>
      <c r="AW187" s="218"/>
      <c r="AX187" s="218"/>
      <c r="AY187" s="217"/>
      <c r="AZ187" s="218"/>
      <c r="BA187" s="217"/>
      <c r="BB187" s="218"/>
      <c r="BC187" s="217"/>
      <c r="BD187" s="218"/>
      <c r="BE187" s="217"/>
      <c r="BF187" s="218"/>
      <c r="BG187" s="218"/>
      <c r="BH187" s="218"/>
      <c r="BI187" s="218"/>
      <c r="BJ187" s="218"/>
      <c r="BK187" s="220"/>
      <c r="BN187" s="203"/>
      <c r="BO187" s="203"/>
    </row>
    <row r="188" spans="1:67" ht="12" customHeight="1">
      <c r="A188" s="221"/>
      <c r="B188" s="219"/>
      <c r="C188" s="217"/>
      <c r="D188" s="218"/>
      <c r="E188" s="218"/>
      <c r="F188" s="218"/>
      <c r="G188" s="217"/>
      <c r="H188" s="217"/>
      <c r="I188" s="218"/>
      <c r="J188" s="218"/>
      <c r="K188" s="217"/>
      <c r="L188" s="218"/>
      <c r="M188" s="217"/>
      <c r="N188" s="218"/>
      <c r="O188" s="217"/>
      <c r="P188" s="218"/>
      <c r="Q188" s="217"/>
      <c r="R188" s="218"/>
      <c r="S188" s="217"/>
      <c r="T188" s="218"/>
      <c r="U188" s="217"/>
      <c r="V188" s="218"/>
      <c r="W188" s="217"/>
      <c r="X188" s="218"/>
      <c r="Y188" s="217"/>
      <c r="Z188" s="218"/>
      <c r="AA188" s="217"/>
      <c r="AB188" s="218"/>
      <c r="AC188" s="217"/>
      <c r="AD188" s="218"/>
      <c r="AE188" s="217"/>
      <c r="AF188" s="218"/>
      <c r="AG188" s="217"/>
      <c r="AH188" s="218"/>
      <c r="AI188" s="217"/>
      <c r="AJ188" s="218"/>
      <c r="AK188" s="217"/>
      <c r="AL188" s="218"/>
      <c r="AM188" s="217"/>
      <c r="AN188" s="218"/>
      <c r="AO188" s="217"/>
      <c r="AP188" s="218"/>
      <c r="AQ188" s="217"/>
      <c r="AR188" s="218"/>
      <c r="AS188" s="217"/>
      <c r="AT188" s="218"/>
      <c r="AU188" s="218"/>
      <c r="AV188" s="217"/>
      <c r="AW188" s="218"/>
      <c r="AX188" s="218"/>
      <c r="AY188" s="217"/>
      <c r="AZ188" s="218"/>
      <c r="BA188" s="217"/>
      <c r="BB188" s="218"/>
      <c r="BC188" s="217"/>
      <c r="BD188" s="218"/>
      <c r="BE188" s="217"/>
      <c r="BF188" s="218"/>
      <c r="BG188" s="218"/>
      <c r="BH188" s="218"/>
      <c r="BI188" s="218"/>
      <c r="BJ188" s="218"/>
      <c r="BK188" s="220"/>
      <c r="BN188" s="203"/>
      <c r="BO188" s="203"/>
    </row>
    <row r="189" spans="1:67" ht="12" customHeight="1">
      <c r="A189" s="221"/>
      <c r="B189" s="219"/>
      <c r="C189" s="217"/>
      <c r="D189" s="218"/>
      <c r="E189" s="218"/>
      <c r="F189" s="218"/>
      <c r="G189" s="217"/>
      <c r="H189" s="217"/>
      <c r="I189" s="218"/>
      <c r="J189" s="218"/>
      <c r="K189" s="217"/>
      <c r="L189" s="218"/>
      <c r="M189" s="217"/>
      <c r="N189" s="218"/>
      <c r="O189" s="217"/>
      <c r="P189" s="218"/>
      <c r="Q189" s="217"/>
      <c r="R189" s="218"/>
      <c r="S189" s="217"/>
      <c r="T189" s="218"/>
      <c r="U189" s="217"/>
      <c r="V189" s="218"/>
      <c r="W189" s="217"/>
      <c r="X189" s="218"/>
      <c r="Y189" s="217"/>
      <c r="Z189" s="218"/>
      <c r="AA189" s="217"/>
      <c r="AB189" s="218"/>
      <c r="AC189" s="217"/>
      <c r="AD189" s="218"/>
      <c r="AE189" s="217"/>
      <c r="AF189" s="218"/>
      <c r="AG189" s="217"/>
      <c r="AH189" s="218"/>
      <c r="AI189" s="217"/>
      <c r="AJ189" s="218"/>
      <c r="AK189" s="217"/>
      <c r="AL189" s="218"/>
      <c r="AM189" s="217"/>
      <c r="AN189" s="218"/>
      <c r="AO189" s="217"/>
      <c r="AP189" s="218"/>
      <c r="AQ189" s="217"/>
      <c r="AR189" s="218"/>
      <c r="AS189" s="217"/>
      <c r="AT189" s="218"/>
      <c r="AU189" s="218"/>
      <c r="AV189" s="217"/>
      <c r="AW189" s="218"/>
      <c r="AX189" s="218"/>
      <c r="AY189" s="217"/>
      <c r="AZ189" s="218"/>
      <c r="BA189" s="217"/>
      <c r="BB189" s="218"/>
      <c r="BC189" s="217"/>
      <c r="BD189" s="218"/>
      <c r="BE189" s="217"/>
      <c r="BF189" s="218"/>
      <c r="BG189" s="218"/>
      <c r="BH189" s="218"/>
      <c r="BI189" s="218"/>
      <c r="BJ189" s="218"/>
      <c r="BK189" s="220"/>
      <c r="BN189" s="203"/>
      <c r="BO189" s="203"/>
    </row>
    <row r="190" spans="1:67" ht="12" customHeight="1">
      <c r="A190" s="221"/>
      <c r="B190" s="219"/>
      <c r="C190" s="217"/>
      <c r="D190" s="218"/>
      <c r="E190" s="218"/>
      <c r="F190" s="218"/>
      <c r="G190" s="217"/>
      <c r="H190" s="217"/>
      <c r="I190" s="218"/>
      <c r="J190" s="218"/>
      <c r="K190" s="217"/>
      <c r="L190" s="218"/>
      <c r="M190" s="217"/>
      <c r="N190" s="218"/>
      <c r="O190" s="217"/>
      <c r="P190" s="218"/>
      <c r="Q190" s="217"/>
      <c r="R190" s="218"/>
      <c r="S190" s="217"/>
      <c r="T190" s="218"/>
      <c r="U190" s="217"/>
      <c r="V190" s="218"/>
      <c r="W190" s="217"/>
      <c r="X190" s="218"/>
      <c r="Y190" s="217"/>
      <c r="Z190" s="218"/>
      <c r="AA190" s="217"/>
      <c r="AB190" s="218"/>
      <c r="AC190" s="217"/>
      <c r="AD190" s="218"/>
      <c r="AE190" s="217"/>
      <c r="AF190" s="218"/>
      <c r="AG190" s="217"/>
      <c r="AH190" s="218"/>
      <c r="AI190" s="217"/>
      <c r="AJ190" s="218"/>
      <c r="AK190" s="217"/>
      <c r="AL190" s="218"/>
      <c r="AM190" s="217"/>
      <c r="AN190" s="218"/>
      <c r="AO190" s="217"/>
      <c r="AP190" s="218"/>
      <c r="AQ190" s="217"/>
      <c r="AR190" s="218"/>
      <c r="AS190" s="217"/>
      <c r="AT190" s="218"/>
      <c r="AU190" s="218"/>
      <c r="AV190" s="217"/>
      <c r="AW190" s="218"/>
      <c r="AX190" s="218"/>
      <c r="AY190" s="217"/>
      <c r="AZ190" s="218"/>
      <c r="BA190" s="217"/>
      <c r="BB190" s="218"/>
      <c r="BC190" s="217"/>
      <c r="BD190" s="218"/>
      <c r="BE190" s="217"/>
      <c r="BF190" s="218"/>
      <c r="BG190" s="218"/>
      <c r="BH190" s="218"/>
      <c r="BI190" s="218"/>
      <c r="BJ190" s="218"/>
      <c r="BK190" s="220"/>
      <c r="BN190" s="203"/>
      <c r="BO190" s="203"/>
    </row>
    <row r="191" spans="1:67" ht="12" customHeight="1">
      <c r="A191" s="221"/>
      <c r="B191" s="219"/>
      <c r="C191" s="217"/>
      <c r="D191" s="218"/>
      <c r="E191" s="218"/>
      <c r="F191" s="218"/>
      <c r="G191" s="217"/>
      <c r="H191" s="217"/>
      <c r="I191" s="218"/>
      <c r="J191" s="218"/>
      <c r="K191" s="217"/>
      <c r="L191" s="218"/>
      <c r="M191" s="217"/>
      <c r="N191" s="218"/>
      <c r="O191" s="217"/>
      <c r="P191" s="218"/>
      <c r="Q191" s="217"/>
      <c r="R191" s="218"/>
      <c r="S191" s="217"/>
      <c r="T191" s="218"/>
      <c r="U191" s="217"/>
      <c r="V191" s="218"/>
      <c r="W191" s="217"/>
      <c r="X191" s="218"/>
      <c r="Y191" s="217"/>
      <c r="Z191" s="218"/>
      <c r="AA191" s="217"/>
      <c r="AB191" s="218"/>
      <c r="AC191" s="217"/>
      <c r="AD191" s="218"/>
      <c r="AE191" s="217"/>
      <c r="AF191" s="218"/>
      <c r="AG191" s="217"/>
      <c r="AH191" s="218"/>
      <c r="AI191" s="217"/>
      <c r="AJ191" s="218"/>
      <c r="AK191" s="217"/>
      <c r="AL191" s="218"/>
      <c r="AM191" s="217"/>
      <c r="AN191" s="218"/>
      <c r="AO191" s="217"/>
      <c r="AP191" s="218"/>
      <c r="AQ191" s="217"/>
      <c r="AR191" s="218"/>
      <c r="AS191" s="217"/>
      <c r="AT191" s="218"/>
      <c r="AU191" s="218"/>
      <c r="AV191" s="217"/>
      <c r="AW191" s="218"/>
      <c r="AX191" s="218"/>
      <c r="AY191" s="217"/>
      <c r="AZ191" s="218"/>
      <c r="BA191" s="217"/>
      <c r="BB191" s="218"/>
      <c r="BC191" s="217"/>
      <c r="BD191" s="218"/>
      <c r="BE191" s="217"/>
      <c r="BF191" s="218"/>
      <c r="BG191" s="218"/>
      <c r="BH191" s="218"/>
      <c r="BI191" s="218"/>
      <c r="BJ191" s="218"/>
      <c r="BK191" s="220"/>
      <c r="BN191" s="203"/>
      <c r="BO191" s="203"/>
    </row>
    <row r="192" spans="1:67" ht="12" customHeight="1" thickBot="1">
      <c r="A192" s="496"/>
      <c r="B192" s="497"/>
      <c r="C192" s="213"/>
      <c r="D192" s="498"/>
      <c r="E192" s="498"/>
      <c r="F192" s="498"/>
      <c r="G192" s="213"/>
      <c r="H192" s="213"/>
      <c r="I192" s="498"/>
      <c r="J192" s="498"/>
      <c r="K192" s="213"/>
      <c r="L192" s="498"/>
      <c r="M192" s="213"/>
      <c r="N192" s="498"/>
      <c r="O192" s="213"/>
      <c r="P192" s="498"/>
      <c r="Q192" s="213"/>
      <c r="R192" s="498"/>
      <c r="S192" s="213"/>
      <c r="T192" s="498"/>
      <c r="U192" s="213"/>
      <c r="V192" s="498"/>
      <c r="W192" s="213"/>
      <c r="X192" s="498"/>
      <c r="Y192" s="213"/>
      <c r="Z192" s="498"/>
      <c r="AA192" s="213"/>
      <c r="AB192" s="498"/>
      <c r="AC192" s="213"/>
      <c r="AD192" s="498"/>
      <c r="AE192" s="213"/>
      <c r="AF192" s="498"/>
      <c r="AG192" s="213"/>
      <c r="AH192" s="498"/>
      <c r="AI192" s="213"/>
      <c r="AJ192" s="498"/>
      <c r="AK192" s="213"/>
      <c r="AL192" s="498"/>
      <c r="AM192" s="213"/>
      <c r="AN192" s="498"/>
      <c r="AO192" s="213"/>
      <c r="AP192" s="498"/>
      <c r="AQ192" s="213"/>
      <c r="AR192" s="498"/>
      <c r="AS192" s="213"/>
      <c r="AT192" s="498"/>
      <c r="AU192" s="498"/>
      <c r="AV192" s="213"/>
      <c r="AW192" s="498"/>
      <c r="AX192" s="498"/>
      <c r="AY192" s="213"/>
      <c r="AZ192" s="498"/>
      <c r="BA192" s="213"/>
      <c r="BB192" s="498"/>
      <c r="BC192" s="213"/>
      <c r="BD192" s="498"/>
      <c r="BE192" s="213"/>
      <c r="BF192" s="498"/>
      <c r="BG192" s="498"/>
      <c r="BH192" s="498"/>
      <c r="BI192" s="498"/>
      <c r="BJ192" s="498"/>
      <c r="BK192" s="499"/>
      <c r="BN192" s="203"/>
      <c r="BO192" s="203"/>
    </row>
    <row r="193" spans="1:67" ht="12" customHeight="1">
      <c r="A193" s="221"/>
      <c r="B193" s="219"/>
      <c r="C193" s="217"/>
      <c r="D193" s="218"/>
      <c r="E193" s="218"/>
      <c r="F193" s="218"/>
      <c r="G193" s="217"/>
      <c r="H193" s="217"/>
      <c r="I193" s="218"/>
      <c r="J193" s="218"/>
      <c r="K193" s="217"/>
      <c r="L193" s="218"/>
      <c r="M193" s="217"/>
      <c r="N193" s="218"/>
      <c r="O193" s="217"/>
      <c r="P193" s="218"/>
      <c r="Q193" s="217"/>
      <c r="R193" s="218"/>
      <c r="S193" s="217"/>
      <c r="T193" s="218"/>
      <c r="U193" s="217"/>
      <c r="V193" s="218"/>
      <c r="W193" s="217"/>
      <c r="X193" s="218"/>
      <c r="Y193" s="217"/>
      <c r="Z193" s="218"/>
      <c r="AA193" s="217"/>
      <c r="AB193" s="218"/>
      <c r="AC193" s="217"/>
      <c r="AD193" s="218"/>
      <c r="AE193" s="217"/>
      <c r="AF193" s="218"/>
      <c r="AG193" s="217"/>
      <c r="AH193" s="218"/>
      <c r="AI193" s="217"/>
      <c r="AJ193" s="218"/>
      <c r="AK193" s="217"/>
      <c r="AL193" s="218"/>
      <c r="AM193" s="217"/>
      <c r="AN193" s="218"/>
      <c r="AO193" s="217"/>
      <c r="AP193" s="218"/>
      <c r="AQ193" s="217"/>
      <c r="AR193" s="218"/>
      <c r="AS193" s="217"/>
      <c r="AT193" s="218"/>
      <c r="AU193" s="218"/>
      <c r="AV193" s="217"/>
      <c r="AW193" s="218"/>
      <c r="AX193" s="218"/>
      <c r="AY193" s="217"/>
      <c r="AZ193" s="218"/>
      <c r="BA193" s="217"/>
      <c r="BB193" s="218"/>
      <c r="BC193" s="217"/>
      <c r="BD193" s="218"/>
      <c r="BE193" s="217"/>
      <c r="BF193" s="218"/>
      <c r="BG193" s="218"/>
      <c r="BH193" s="218"/>
      <c r="BI193" s="218"/>
      <c r="BJ193" s="218"/>
      <c r="BK193" s="220"/>
      <c r="BN193" s="203"/>
      <c r="BO193" s="203"/>
    </row>
    <row r="194" spans="1:67" ht="12" customHeight="1">
      <c r="A194" s="221"/>
      <c r="B194" s="219"/>
      <c r="C194" s="217"/>
      <c r="D194" s="218"/>
      <c r="E194" s="218"/>
      <c r="F194" s="218"/>
      <c r="G194" s="217"/>
      <c r="H194" s="217"/>
      <c r="I194" s="218"/>
      <c r="J194" s="218"/>
      <c r="K194" s="217"/>
      <c r="L194" s="218"/>
      <c r="M194" s="217"/>
      <c r="N194" s="218"/>
      <c r="O194" s="217"/>
      <c r="P194" s="218"/>
      <c r="Q194" s="217"/>
      <c r="R194" s="218"/>
      <c r="S194" s="217"/>
      <c r="T194" s="218"/>
      <c r="U194" s="217"/>
      <c r="V194" s="218"/>
      <c r="W194" s="217"/>
      <c r="X194" s="218"/>
      <c r="Y194" s="217"/>
      <c r="Z194" s="218"/>
      <c r="AA194" s="217"/>
      <c r="AB194" s="218"/>
      <c r="AC194" s="217"/>
      <c r="AD194" s="218"/>
      <c r="AE194" s="217"/>
      <c r="AF194" s="218"/>
      <c r="AG194" s="217"/>
      <c r="AH194" s="218"/>
      <c r="AI194" s="217"/>
      <c r="AJ194" s="218"/>
      <c r="AK194" s="217"/>
      <c r="AL194" s="218"/>
      <c r="AM194" s="217"/>
      <c r="AN194" s="218"/>
      <c r="AO194" s="217"/>
      <c r="AP194" s="218"/>
      <c r="AQ194" s="217"/>
      <c r="AR194" s="218"/>
      <c r="AS194" s="217"/>
      <c r="AT194" s="218"/>
      <c r="AU194" s="218"/>
      <c r="AV194" s="217"/>
      <c r="AW194" s="218"/>
      <c r="AX194" s="218"/>
      <c r="AY194" s="217"/>
      <c r="AZ194" s="218"/>
      <c r="BA194" s="217"/>
      <c r="BB194" s="218"/>
      <c r="BC194" s="217"/>
      <c r="BD194" s="218"/>
      <c r="BE194" s="217"/>
      <c r="BF194" s="218"/>
      <c r="BG194" s="218"/>
      <c r="BH194" s="218"/>
      <c r="BI194" s="218"/>
      <c r="BJ194" s="218"/>
      <c r="BK194" s="220"/>
      <c r="BN194" s="203"/>
      <c r="BO194" s="203"/>
    </row>
    <row r="195" spans="1:67" ht="12" customHeight="1">
      <c r="A195" s="221"/>
      <c r="B195" s="219"/>
      <c r="C195" s="217"/>
      <c r="D195" s="218"/>
      <c r="E195" s="218"/>
      <c r="F195" s="218"/>
      <c r="G195" s="217"/>
      <c r="H195" s="217"/>
      <c r="I195" s="218"/>
      <c r="J195" s="218"/>
      <c r="K195" s="217"/>
      <c r="L195" s="218"/>
      <c r="M195" s="217"/>
      <c r="N195" s="218"/>
      <c r="O195" s="217"/>
      <c r="P195" s="218"/>
      <c r="Q195" s="217"/>
      <c r="R195" s="218"/>
      <c r="S195" s="217"/>
      <c r="T195" s="218"/>
      <c r="U195" s="217"/>
      <c r="V195" s="218"/>
      <c r="W195" s="217"/>
      <c r="X195" s="218"/>
      <c r="Y195" s="217"/>
      <c r="Z195" s="218"/>
      <c r="AA195" s="217"/>
      <c r="AB195" s="218"/>
      <c r="AC195" s="217"/>
      <c r="AD195" s="218"/>
      <c r="AE195" s="217"/>
      <c r="AF195" s="218"/>
      <c r="AG195" s="217"/>
      <c r="AH195" s="218"/>
      <c r="AI195" s="217"/>
      <c r="AJ195" s="218"/>
      <c r="AK195" s="217"/>
      <c r="AL195" s="218"/>
      <c r="AM195" s="217"/>
      <c r="AN195" s="218"/>
      <c r="AO195" s="217"/>
      <c r="AP195" s="218"/>
      <c r="AQ195" s="217"/>
      <c r="AR195" s="218"/>
      <c r="AS195" s="217"/>
      <c r="AT195" s="218"/>
      <c r="AU195" s="218"/>
      <c r="AV195" s="217"/>
      <c r="AW195" s="218"/>
      <c r="AX195" s="218"/>
      <c r="AY195" s="217"/>
      <c r="AZ195" s="218"/>
      <c r="BA195" s="217"/>
      <c r="BB195" s="218"/>
      <c r="BC195" s="217"/>
      <c r="BD195" s="218"/>
      <c r="BE195" s="217"/>
      <c r="BF195" s="218"/>
      <c r="BG195" s="218"/>
      <c r="BH195" s="218"/>
      <c r="BI195" s="218"/>
      <c r="BJ195" s="218"/>
      <c r="BK195" s="220"/>
      <c r="BN195" s="203"/>
      <c r="BO195" s="203"/>
    </row>
    <row r="196" spans="1:67" ht="12" customHeight="1">
      <c r="A196" s="221"/>
      <c r="B196" s="219"/>
      <c r="C196" s="217"/>
      <c r="D196" s="218"/>
      <c r="E196" s="218"/>
      <c r="F196" s="218"/>
      <c r="G196" s="217"/>
      <c r="H196" s="217"/>
      <c r="I196" s="218"/>
      <c r="J196" s="218"/>
      <c r="K196" s="217"/>
      <c r="L196" s="218"/>
      <c r="M196" s="217"/>
      <c r="N196" s="218"/>
      <c r="O196" s="217"/>
      <c r="P196" s="218"/>
      <c r="Q196" s="217"/>
      <c r="R196" s="218"/>
      <c r="S196" s="217"/>
      <c r="T196" s="218"/>
      <c r="U196" s="217"/>
      <c r="V196" s="218"/>
      <c r="W196" s="217"/>
      <c r="X196" s="218"/>
      <c r="Y196" s="217"/>
      <c r="Z196" s="218"/>
      <c r="AA196" s="217"/>
      <c r="AB196" s="218"/>
      <c r="AC196" s="217"/>
      <c r="AD196" s="218"/>
      <c r="AE196" s="217"/>
      <c r="AF196" s="218"/>
      <c r="AG196" s="217"/>
      <c r="AH196" s="218"/>
      <c r="AI196" s="217"/>
      <c r="AJ196" s="218"/>
      <c r="AK196" s="217"/>
      <c r="AL196" s="218"/>
      <c r="AM196" s="217"/>
      <c r="AN196" s="218"/>
      <c r="AO196" s="217"/>
      <c r="AP196" s="218"/>
      <c r="AQ196" s="217"/>
      <c r="AR196" s="218"/>
      <c r="AS196" s="217"/>
      <c r="AT196" s="218"/>
      <c r="AU196" s="218"/>
      <c r="AV196" s="217"/>
      <c r="AW196" s="218"/>
      <c r="AX196" s="218"/>
      <c r="AY196" s="217"/>
      <c r="AZ196" s="218"/>
      <c r="BA196" s="217"/>
      <c r="BB196" s="218"/>
      <c r="BC196" s="217"/>
      <c r="BD196" s="218"/>
      <c r="BE196" s="217"/>
      <c r="BF196" s="218"/>
      <c r="BG196" s="218"/>
      <c r="BH196" s="218"/>
      <c r="BI196" s="218"/>
      <c r="BJ196" s="218"/>
      <c r="BK196" s="220"/>
      <c r="BN196" s="203"/>
      <c r="BO196" s="203"/>
    </row>
    <row r="197" spans="1:67" ht="12" customHeight="1">
      <c r="A197" s="221"/>
      <c r="B197" s="219"/>
      <c r="C197" s="217"/>
      <c r="D197" s="218"/>
      <c r="E197" s="218"/>
      <c r="F197" s="218"/>
      <c r="G197" s="217"/>
      <c r="H197" s="217"/>
      <c r="I197" s="218"/>
      <c r="J197" s="218"/>
      <c r="K197" s="217"/>
      <c r="L197" s="218"/>
      <c r="M197" s="217"/>
      <c r="N197" s="218"/>
      <c r="O197" s="217"/>
      <c r="P197" s="218"/>
      <c r="Q197" s="217"/>
      <c r="R197" s="218"/>
      <c r="S197" s="217"/>
      <c r="T197" s="218"/>
      <c r="U197" s="217"/>
      <c r="V197" s="218"/>
      <c r="W197" s="217"/>
      <c r="X197" s="218"/>
      <c r="Y197" s="217"/>
      <c r="Z197" s="218"/>
      <c r="AA197" s="217"/>
      <c r="AB197" s="218"/>
      <c r="AC197" s="217"/>
      <c r="AD197" s="218"/>
      <c r="AE197" s="217"/>
      <c r="AF197" s="218"/>
      <c r="AG197" s="217"/>
      <c r="AH197" s="218"/>
      <c r="AI197" s="217"/>
      <c r="AJ197" s="218"/>
      <c r="AK197" s="217"/>
      <c r="AL197" s="218"/>
      <c r="AM197" s="217"/>
      <c r="AN197" s="218"/>
      <c r="AO197" s="217"/>
      <c r="AP197" s="218"/>
      <c r="AQ197" s="217"/>
      <c r="AR197" s="218"/>
      <c r="AS197" s="217"/>
      <c r="AT197" s="218"/>
      <c r="AU197" s="218"/>
      <c r="AV197" s="217"/>
      <c r="AW197" s="218"/>
      <c r="AX197" s="218"/>
      <c r="AY197" s="217"/>
      <c r="AZ197" s="218"/>
      <c r="BA197" s="217"/>
      <c r="BB197" s="218"/>
      <c r="BC197" s="217"/>
      <c r="BD197" s="218"/>
      <c r="BE197" s="217"/>
      <c r="BF197" s="218"/>
      <c r="BG197" s="218"/>
      <c r="BH197" s="218"/>
      <c r="BI197" s="218"/>
      <c r="BJ197" s="218"/>
      <c r="BK197" s="220"/>
      <c r="BN197" s="203"/>
      <c r="BO197" s="203"/>
    </row>
    <row r="198" spans="1:67" ht="12" customHeight="1">
      <c r="A198" s="221"/>
      <c r="B198" s="219"/>
      <c r="C198" s="217"/>
      <c r="D198" s="218"/>
      <c r="E198" s="218"/>
      <c r="F198" s="218"/>
      <c r="G198" s="217"/>
      <c r="H198" s="217"/>
      <c r="I198" s="218"/>
      <c r="J198" s="218"/>
      <c r="K198" s="217"/>
      <c r="L198" s="218"/>
      <c r="M198" s="217"/>
      <c r="N198" s="218"/>
      <c r="O198" s="217"/>
      <c r="P198" s="218"/>
      <c r="Q198" s="217"/>
      <c r="R198" s="218"/>
      <c r="S198" s="217"/>
      <c r="T198" s="218"/>
      <c r="U198" s="217"/>
      <c r="V198" s="218"/>
      <c r="W198" s="217"/>
      <c r="X198" s="218"/>
      <c r="Y198" s="217"/>
      <c r="Z198" s="218"/>
      <c r="AA198" s="217"/>
      <c r="AB198" s="218"/>
      <c r="AC198" s="217"/>
      <c r="AD198" s="218"/>
      <c r="AE198" s="217"/>
      <c r="AF198" s="218"/>
      <c r="AG198" s="217"/>
      <c r="AH198" s="218"/>
      <c r="AI198" s="217"/>
      <c r="AJ198" s="218"/>
      <c r="AK198" s="217"/>
      <c r="AL198" s="218"/>
      <c r="AM198" s="217"/>
      <c r="AN198" s="218"/>
      <c r="AO198" s="217"/>
      <c r="AP198" s="218"/>
      <c r="AQ198" s="217"/>
      <c r="AR198" s="218"/>
      <c r="AS198" s="217"/>
      <c r="AT198" s="218"/>
      <c r="AU198" s="218"/>
      <c r="AV198" s="217"/>
      <c r="AW198" s="218"/>
      <c r="AX198" s="218"/>
      <c r="AY198" s="217"/>
      <c r="AZ198" s="218"/>
      <c r="BA198" s="217"/>
      <c r="BB198" s="218"/>
      <c r="BC198" s="217"/>
      <c r="BD198" s="218"/>
      <c r="BE198" s="217"/>
      <c r="BF198" s="218"/>
      <c r="BG198" s="218"/>
      <c r="BH198" s="218"/>
      <c r="BI198" s="218"/>
      <c r="BJ198" s="218"/>
      <c r="BK198" s="220"/>
      <c r="BN198" s="203"/>
      <c r="BO198" s="203"/>
    </row>
    <row r="199" spans="1:67" ht="12" customHeight="1" thickBot="1">
      <c r="A199" s="496"/>
      <c r="B199" s="497"/>
      <c r="C199" s="213"/>
      <c r="D199" s="498"/>
      <c r="E199" s="498"/>
      <c r="F199" s="498"/>
      <c r="G199" s="213"/>
      <c r="H199" s="213"/>
      <c r="I199" s="498"/>
      <c r="J199" s="498"/>
      <c r="K199" s="213"/>
      <c r="L199" s="498"/>
      <c r="M199" s="213"/>
      <c r="N199" s="498"/>
      <c r="O199" s="213"/>
      <c r="P199" s="498"/>
      <c r="Q199" s="213"/>
      <c r="R199" s="498"/>
      <c r="S199" s="213"/>
      <c r="T199" s="498"/>
      <c r="U199" s="213"/>
      <c r="V199" s="498"/>
      <c r="W199" s="213"/>
      <c r="X199" s="498"/>
      <c r="Y199" s="213"/>
      <c r="Z199" s="498"/>
      <c r="AA199" s="213"/>
      <c r="AB199" s="498"/>
      <c r="AC199" s="213"/>
      <c r="AD199" s="498"/>
      <c r="AE199" s="213"/>
      <c r="AF199" s="498"/>
      <c r="AG199" s="213"/>
      <c r="AH199" s="498"/>
      <c r="AI199" s="213"/>
      <c r="AJ199" s="498"/>
      <c r="AK199" s="213"/>
      <c r="AL199" s="498"/>
      <c r="AM199" s="213"/>
      <c r="AN199" s="498"/>
      <c r="AO199" s="213"/>
      <c r="AP199" s="498"/>
      <c r="AQ199" s="213"/>
      <c r="AR199" s="498"/>
      <c r="AS199" s="213"/>
      <c r="AT199" s="498"/>
      <c r="AU199" s="498"/>
      <c r="AV199" s="213"/>
      <c r="AW199" s="498"/>
      <c r="AX199" s="498"/>
      <c r="AY199" s="213"/>
      <c r="AZ199" s="498"/>
      <c r="BA199" s="213"/>
      <c r="BB199" s="498"/>
      <c r="BC199" s="213"/>
      <c r="BD199" s="498"/>
      <c r="BE199" s="213"/>
      <c r="BF199" s="498"/>
      <c r="BG199" s="498"/>
      <c r="BH199" s="498"/>
      <c r="BI199" s="498"/>
      <c r="BJ199" s="498"/>
      <c r="BK199" s="499"/>
      <c r="BN199" s="203"/>
      <c r="BO199" s="203"/>
    </row>
    <row r="200" spans="1:67" ht="12" customHeight="1">
      <c r="A200" s="221"/>
      <c r="B200" s="219"/>
      <c r="C200" s="217"/>
      <c r="D200" s="218"/>
      <c r="E200" s="218"/>
      <c r="F200" s="218"/>
      <c r="G200" s="217"/>
      <c r="H200" s="217"/>
      <c r="I200" s="218"/>
      <c r="J200" s="218"/>
      <c r="K200" s="217"/>
      <c r="L200" s="218"/>
      <c r="M200" s="217"/>
      <c r="N200" s="218"/>
      <c r="O200" s="217"/>
      <c r="P200" s="218"/>
      <c r="Q200" s="217"/>
      <c r="R200" s="218"/>
      <c r="S200" s="217"/>
      <c r="T200" s="218"/>
      <c r="U200" s="217"/>
      <c r="V200" s="218"/>
      <c r="W200" s="217"/>
      <c r="X200" s="218"/>
      <c r="Y200" s="217"/>
      <c r="Z200" s="218"/>
      <c r="AA200" s="217"/>
      <c r="AB200" s="218"/>
      <c r="AC200" s="217"/>
      <c r="AD200" s="218"/>
      <c r="AE200" s="217"/>
      <c r="AF200" s="218"/>
      <c r="AG200" s="217"/>
      <c r="AH200" s="218"/>
      <c r="AI200" s="217"/>
      <c r="AJ200" s="218"/>
      <c r="AK200" s="217"/>
      <c r="AL200" s="218"/>
      <c r="AM200" s="217"/>
      <c r="AN200" s="218"/>
      <c r="AO200" s="217"/>
      <c r="AP200" s="218"/>
      <c r="AQ200" s="217"/>
      <c r="AR200" s="218"/>
      <c r="AS200" s="217"/>
      <c r="AT200" s="218"/>
      <c r="AU200" s="218"/>
      <c r="AV200" s="217"/>
      <c r="AW200" s="218"/>
      <c r="AX200" s="218"/>
      <c r="AY200" s="217"/>
      <c r="AZ200" s="218"/>
      <c r="BA200" s="217"/>
      <c r="BB200" s="218"/>
      <c r="BC200" s="217"/>
      <c r="BD200" s="218"/>
      <c r="BE200" s="217"/>
      <c r="BF200" s="218"/>
      <c r="BG200" s="218"/>
      <c r="BH200" s="218"/>
      <c r="BI200" s="218"/>
      <c r="BJ200" s="218"/>
      <c r="BK200" s="220"/>
      <c r="BN200" s="203"/>
      <c r="BO200" s="203"/>
    </row>
    <row r="201" spans="1:67" ht="12" customHeight="1">
      <c r="A201" s="221"/>
      <c r="B201" s="219"/>
      <c r="C201" s="217"/>
      <c r="D201" s="218"/>
      <c r="E201" s="218"/>
      <c r="F201" s="218"/>
      <c r="G201" s="217"/>
      <c r="H201" s="217"/>
      <c r="I201" s="218"/>
      <c r="J201" s="218"/>
      <c r="K201" s="217"/>
      <c r="L201" s="218"/>
      <c r="M201" s="217"/>
      <c r="N201" s="218"/>
      <c r="O201" s="217"/>
      <c r="P201" s="218"/>
      <c r="Q201" s="217"/>
      <c r="R201" s="218"/>
      <c r="S201" s="217"/>
      <c r="T201" s="218"/>
      <c r="U201" s="217"/>
      <c r="V201" s="218"/>
      <c r="W201" s="217"/>
      <c r="X201" s="218"/>
      <c r="Y201" s="217"/>
      <c r="Z201" s="218"/>
      <c r="AA201" s="217"/>
      <c r="AB201" s="218"/>
      <c r="AC201" s="217"/>
      <c r="AD201" s="218"/>
      <c r="AE201" s="217"/>
      <c r="AF201" s="218"/>
      <c r="AG201" s="217"/>
      <c r="AH201" s="218"/>
      <c r="AI201" s="217"/>
      <c r="AJ201" s="218"/>
      <c r="AK201" s="217"/>
      <c r="AL201" s="218"/>
      <c r="AM201" s="217"/>
      <c r="AN201" s="218"/>
      <c r="AO201" s="217"/>
      <c r="AP201" s="218"/>
      <c r="AQ201" s="217"/>
      <c r="AR201" s="218"/>
      <c r="AS201" s="217"/>
      <c r="AT201" s="218"/>
      <c r="AU201" s="218"/>
      <c r="AV201" s="217"/>
      <c r="AW201" s="218"/>
      <c r="AX201" s="218"/>
      <c r="AY201" s="217"/>
      <c r="AZ201" s="218"/>
      <c r="BA201" s="217"/>
      <c r="BB201" s="218"/>
      <c r="BC201" s="217"/>
      <c r="BD201" s="218"/>
      <c r="BE201" s="217"/>
      <c r="BF201" s="218"/>
      <c r="BG201" s="218"/>
      <c r="BH201" s="218"/>
      <c r="BI201" s="218"/>
      <c r="BJ201" s="218"/>
      <c r="BK201" s="220"/>
      <c r="BN201" s="203"/>
      <c r="BO201" s="203"/>
    </row>
    <row r="202" spans="1:67" ht="12" customHeight="1">
      <c r="A202" s="221"/>
      <c r="B202" s="219"/>
      <c r="C202" s="217"/>
      <c r="D202" s="218"/>
      <c r="E202" s="218"/>
      <c r="F202" s="218"/>
      <c r="G202" s="217"/>
      <c r="H202" s="217"/>
      <c r="I202" s="218"/>
      <c r="J202" s="218"/>
      <c r="K202" s="217"/>
      <c r="L202" s="218"/>
      <c r="M202" s="217"/>
      <c r="N202" s="218"/>
      <c r="O202" s="217"/>
      <c r="P202" s="218"/>
      <c r="Q202" s="217"/>
      <c r="R202" s="218"/>
      <c r="S202" s="217"/>
      <c r="T202" s="218"/>
      <c r="U202" s="217"/>
      <c r="V202" s="218"/>
      <c r="W202" s="217"/>
      <c r="X202" s="218"/>
      <c r="Y202" s="217"/>
      <c r="Z202" s="218"/>
      <c r="AA202" s="217"/>
      <c r="AB202" s="218"/>
      <c r="AC202" s="217"/>
      <c r="AD202" s="218"/>
      <c r="AE202" s="217"/>
      <c r="AF202" s="218"/>
      <c r="AG202" s="217"/>
      <c r="AH202" s="218"/>
      <c r="AI202" s="217"/>
      <c r="AJ202" s="218"/>
      <c r="AK202" s="217"/>
      <c r="AL202" s="218"/>
      <c r="AM202" s="217"/>
      <c r="AN202" s="218"/>
      <c r="AO202" s="217"/>
      <c r="AP202" s="218"/>
      <c r="AQ202" s="217"/>
      <c r="AR202" s="218"/>
      <c r="AS202" s="217"/>
      <c r="AT202" s="218"/>
      <c r="AU202" s="218"/>
      <c r="AV202" s="217"/>
      <c r="AW202" s="218"/>
      <c r="AX202" s="218"/>
      <c r="AY202" s="217"/>
      <c r="AZ202" s="218"/>
      <c r="BA202" s="217"/>
      <c r="BB202" s="218"/>
      <c r="BC202" s="217"/>
      <c r="BD202" s="218"/>
      <c r="BE202" s="217"/>
      <c r="BF202" s="218"/>
      <c r="BG202" s="218"/>
      <c r="BH202" s="218"/>
      <c r="BI202" s="218"/>
      <c r="BJ202" s="218"/>
      <c r="BK202" s="220"/>
      <c r="BN202" s="203"/>
      <c r="BO202" s="203"/>
    </row>
    <row r="203" spans="1:67" ht="12" customHeight="1">
      <c r="A203" s="221"/>
      <c r="B203" s="219"/>
      <c r="C203" s="217"/>
      <c r="D203" s="218"/>
      <c r="E203" s="218"/>
      <c r="F203" s="218"/>
      <c r="G203" s="217"/>
      <c r="H203" s="217"/>
      <c r="I203" s="218"/>
      <c r="J203" s="218"/>
      <c r="K203" s="217"/>
      <c r="L203" s="218"/>
      <c r="M203" s="217"/>
      <c r="N203" s="218"/>
      <c r="O203" s="217"/>
      <c r="P203" s="218"/>
      <c r="Q203" s="217"/>
      <c r="R203" s="218"/>
      <c r="S203" s="217"/>
      <c r="T203" s="218"/>
      <c r="U203" s="217"/>
      <c r="V203" s="218"/>
      <c r="W203" s="217"/>
      <c r="X203" s="218"/>
      <c r="Y203" s="217"/>
      <c r="Z203" s="218"/>
      <c r="AA203" s="217"/>
      <c r="AB203" s="218"/>
      <c r="AC203" s="217"/>
      <c r="AD203" s="218"/>
      <c r="AE203" s="217"/>
      <c r="AF203" s="218"/>
      <c r="AG203" s="217"/>
      <c r="AH203" s="218"/>
      <c r="AI203" s="217"/>
      <c r="AJ203" s="218"/>
      <c r="AK203" s="217"/>
      <c r="AL203" s="218"/>
      <c r="AM203" s="217"/>
      <c r="AN203" s="218"/>
      <c r="AO203" s="217"/>
      <c r="AP203" s="218"/>
      <c r="AQ203" s="217"/>
      <c r="AR203" s="218"/>
      <c r="AS203" s="217"/>
      <c r="AT203" s="218"/>
      <c r="AU203" s="218"/>
      <c r="AV203" s="217"/>
      <c r="AW203" s="218"/>
      <c r="AX203" s="218"/>
      <c r="AY203" s="217"/>
      <c r="AZ203" s="218"/>
      <c r="BA203" s="217"/>
      <c r="BB203" s="218"/>
      <c r="BC203" s="217"/>
      <c r="BD203" s="218"/>
      <c r="BE203" s="217"/>
      <c r="BF203" s="218"/>
      <c r="BG203" s="218"/>
      <c r="BH203" s="218"/>
      <c r="BI203" s="218"/>
      <c r="BJ203" s="218"/>
      <c r="BK203" s="220"/>
      <c r="BN203" s="203"/>
      <c r="BO203" s="203"/>
    </row>
    <row r="204" spans="1:67" ht="12" customHeight="1">
      <c r="A204" s="221"/>
      <c r="B204" s="219"/>
      <c r="C204" s="217"/>
      <c r="D204" s="218"/>
      <c r="E204" s="218"/>
      <c r="F204" s="218"/>
      <c r="G204" s="217"/>
      <c r="H204" s="217"/>
      <c r="I204" s="218"/>
      <c r="J204" s="218"/>
      <c r="K204" s="217"/>
      <c r="L204" s="218"/>
      <c r="M204" s="217"/>
      <c r="N204" s="218"/>
      <c r="O204" s="217"/>
      <c r="P204" s="218"/>
      <c r="Q204" s="217"/>
      <c r="R204" s="218"/>
      <c r="S204" s="217"/>
      <c r="T204" s="218"/>
      <c r="U204" s="217"/>
      <c r="V204" s="218"/>
      <c r="W204" s="217"/>
      <c r="X204" s="218"/>
      <c r="Y204" s="217"/>
      <c r="Z204" s="218"/>
      <c r="AA204" s="217"/>
      <c r="AB204" s="218"/>
      <c r="AC204" s="217"/>
      <c r="AD204" s="218"/>
      <c r="AE204" s="217"/>
      <c r="AF204" s="218"/>
      <c r="AG204" s="217"/>
      <c r="AH204" s="218"/>
      <c r="AI204" s="217"/>
      <c r="AJ204" s="218"/>
      <c r="AK204" s="217"/>
      <c r="AL204" s="218"/>
      <c r="AM204" s="217"/>
      <c r="AN204" s="218"/>
      <c r="AO204" s="217"/>
      <c r="AP204" s="218"/>
      <c r="AQ204" s="217"/>
      <c r="AR204" s="218"/>
      <c r="AS204" s="217"/>
      <c r="AT204" s="218"/>
      <c r="AU204" s="218"/>
      <c r="AV204" s="217"/>
      <c r="AW204" s="218"/>
      <c r="AX204" s="218"/>
      <c r="AY204" s="217"/>
      <c r="AZ204" s="218"/>
      <c r="BA204" s="217"/>
      <c r="BB204" s="218"/>
      <c r="BC204" s="217"/>
      <c r="BD204" s="218"/>
      <c r="BE204" s="217"/>
      <c r="BF204" s="218"/>
      <c r="BG204" s="218"/>
      <c r="BH204" s="218"/>
      <c r="BI204" s="218"/>
      <c r="BJ204" s="218"/>
      <c r="BK204" s="220"/>
      <c r="BN204" s="203"/>
      <c r="BO204" s="203"/>
    </row>
    <row r="205" spans="1:67" ht="12" customHeight="1">
      <c r="A205" s="221"/>
      <c r="B205" s="219"/>
      <c r="C205" s="217"/>
      <c r="D205" s="218"/>
      <c r="E205" s="218"/>
      <c r="F205" s="218"/>
      <c r="G205" s="217"/>
      <c r="H205" s="217"/>
      <c r="I205" s="218"/>
      <c r="J205" s="218"/>
      <c r="K205" s="217"/>
      <c r="L205" s="218"/>
      <c r="M205" s="217"/>
      <c r="N205" s="218"/>
      <c r="O205" s="217"/>
      <c r="P205" s="218"/>
      <c r="Q205" s="217"/>
      <c r="R205" s="218"/>
      <c r="S205" s="217"/>
      <c r="T205" s="218"/>
      <c r="U205" s="217"/>
      <c r="V205" s="218"/>
      <c r="W205" s="217"/>
      <c r="X205" s="218"/>
      <c r="Y205" s="217"/>
      <c r="Z205" s="218"/>
      <c r="AA205" s="217"/>
      <c r="AB205" s="218"/>
      <c r="AC205" s="217"/>
      <c r="AD205" s="218"/>
      <c r="AE205" s="217"/>
      <c r="AF205" s="218"/>
      <c r="AG205" s="217"/>
      <c r="AH205" s="218"/>
      <c r="AI205" s="217"/>
      <c r="AJ205" s="218"/>
      <c r="AK205" s="217"/>
      <c r="AL205" s="218"/>
      <c r="AM205" s="217"/>
      <c r="AN205" s="218"/>
      <c r="AO205" s="217"/>
      <c r="AP205" s="218"/>
      <c r="AQ205" s="217"/>
      <c r="AR205" s="218"/>
      <c r="AS205" s="217"/>
      <c r="AT205" s="218"/>
      <c r="AU205" s="218"/>
      <c r="AV205" s="217"/>
      <c r="AW205" s="218"/>
      <c r="AX205" s="218"/>
      <c r="AY205" s="217"/>
      <c r="AZ205" s="218"/>
      <c r="BA205" s="217"/>
      <c r="BB205" s="218"/>
      <c r="BC205" s="217"/>
      <c r="BD205" s="218"/>
      <c r="BE205" s="217"/>
      <c r="BF205" s="218"/>
      <c r="BG205" s="218"/>
      <c r="BH205" s="218"/>
      <c r="BI205" s="218"/>
      <c r="BJ205" s="218"/>
      <c r="BK205" s="220"/>
      <c r="BN205" s="203"/>
      <c r="BO205" s="203"/>
    </row>
    <row r="206" spans="1:67" ht="12" customHeight="1" thickBot="1">
      <c r="A206" s="496"/>
      <c r="B206" s="497"/>
      <c r="C206" s="213"/>
      <c r="D206" s="498"/>
      <c r="E206" s="498"/>
      <c r="F206" s="498"/>
      <c r="G206" s="213"/>
      <c r="H206" s="213"/>
      <c r="I206" s="498"/>
      <c r="J206" s="498"/>
      <c r="K206" s="213"/>
      <c r="L206" s="498"/>
      <c r="M206" s="213"/>
      <c r="N206" s="498"/>
      <c r="O206" s="213"/>
      <c r="P206" s="498"/>
      <c r="Q206" s="213"/>
      <c r="R206" s="498"/>
      <c r="S206" s="213"/>
      <c r="T206" s="498"/>
      <c r="U206" s="213"/>
      <c r="V206" s="498"/>
      <c r="W206" s="213"/>
      <c r="X206" s="498"/>
      <c r="Y206" s="213"/>
      <c r="Z206" s="498"/>
      <c r="AA206" s="213"/>
      <c r="AB206" s="498"/>
      <c r="AC206" s="213"/>
      <c r="AD206" s="498"/>
      <c r="AE206" s="213"/>
      <c r="AF206" s="498"/>
      <c r="AG206" s="213"/>
      <c r="AH206" s="498"/>
      <c r="AI206" s="213"/>
      <c r="AJ206" s="498"/>
      <c r="AK206" s="213"/>
      <c r="AL206" s="498"/>
      <c r="AM206" s="213"/>
      <c r="AN206" s="498"/>
      <c r="AO206" s="213"/>
      <c r="AP206" s="498"/>
      <c r="AQ206" s="213"/>
      <c r="AR206" s="498"/>
      <c r="AS206" s="213"/>
      <c r="AT206" s="498"/>
      <c r="AU206" s="498"/>
      <c r="AV206" s="213"/>
      <c r="AW206" s="498"/>
      <c r="AX206" s="498"/>
      <c r="AY206" s="213"/>
      <c r="AZ206" s="498"/>
      <c r="BA206" s="213"/>
      <c r="BB206" s="498"/>
      <c r="BC206" s="213"/>
      <c r="BD206" s="498"/>
      <c r="BE206" s="213"/>
      <c r="BF206" s="498"/>
      <c r="BG206" s="498"/>
      <c r="BH206" s="498"/>
      <c r="BI206" s="498"/>
      <c r="BJ206" s="498"/>
      <c r="BK206" s="499"/>
      <c r="BN206" s="203"/>
      <c r="BO206" s="203"/>
    </row>
    <row r="207" spans="1:67" ht="12" customHeight="1">
      <c r="A207" s="221"/>
      <c r="B207" s="219"/>
      <c r="C207" s="217"/>
      <c r="D207" s="218"/>
      <c r="E207" s="218"/>
      <c r="F207" s="218"/>
      <c r="G207" s="217"/>
      <c r="H207" s="217"/>
      <c r="I207" s="218"/>
      <c r="J207" s="218"/>
      <c r="K207" s="217"/>
      <c r="L207" s="218"/>
      <c r="M207" s="217"/>
      <c r="N207" s="218"/>
      <c r="O207" s="217"/>
      <c r="P207" s="218"/>
      <c r="Q207" s="217"/>
      <c r="R207" s="218"/>
      <c r="S207" s="217"/>
      <c r="T207" s="218"/>
      <c r="U207" s="217"/>
      <c r="V207" s="218"/>
      <c r="W207" s="217"/>
      <c r="X207" s="218"/>
      <c r="Y207" s="217"/>
      <c r="Z207" s="218"/>
      <c r="AA207" s="217"/>
      <c r="AB207" s="218"/>
      <c r="AC207" s="217"/>
      <c r="AD207" s="218"/>
      <c r="AE207" s="217"/>
      <c r="AF207" s="218"/>
      <c r="AG207" s="217"/>
      <c r="AH207" s="218"/>
      <c r="AI207" s="217"/>
      <c r="AJ207" s="218"/>
      <c r="AK207" s="217"/>
      <c r="AL207" s="218"/>
      <c r="AM207" s="217"/>
      <c r="AN207" s="218"/>
      <c r="AO207" s="217"/>
      <c r="AP207" s="218"/>
      <c r="AQ207" s="217"/>
      <c r="AR207" s="218"/>
      <c r="AS207" s="217"/>
      <c r="AT207" s="218"/>
      <c r="AU207" s="218"/>
      <c r="AV207" s="217"/>
      <c r="AW207" s="218"/>
      <c r="AX207" s="218"/>
      <c r="AY207" s="217"/>
      <c r="AZ207" s="218"/>
      <c r="BA207" s="217"/>
      <c r="BB207" s="218"/>
      <c r="BC207" s="217"/>
      <c r="BD207" s="218"/>
      <c r="BE207" s="217"/>
      <c r="BF207" s="218"/>
      <c r="BG207" s="218"/>
      <c r="BH207" s="218"/>
      <c r="BI207" s="218"/>
      <c r="BJ207" s="218"/>
      <c r="BK207" s="220"/>
      <c r="BN207" s="203"/>
      <c r="BO207" s="203"/>
    </row>
    <row r="208" spans="1:67" ht="12" customHeight="1">
      <c r="A208" s="221"/>
      <c r="B208" s="219"/>
      <c r="C208" s="217"/>
      <c r="D208" s="218"/>
      <c r="E208" s="218"/>
      <c r="F208" s="218"/>
      <c r="G208" s="217"/>
      <c r="H208" s="217"/>
      <c r="I208" s="218"/>
      <c r="J208" s="218"/>
      <c r="K208" s="217"/>
      <c r="L208" s="218"/>
      <c r="M208" s="217"/>
      <c r="N208" s="218"/>
      <c r="O208" s="217"/>
      <c r="P208" s="218"/>
      <c r="Q208" s="217"/>
      <c r="R208" s="218"/>
      <c r="S208" s="217"/>
      <c r="T208" s="218"/>
      <c r="U208" s="217"/>
      <c r="V208" s="218"/>
      <c r="W208" s="217"/>
      <c r="X208" s="218"/>
      <c r="Y208" s="217"/>
      <c r="Z208" s="218"/>
      <c r="AA208" s="217"/>
      <c r="AB208" s="218"/>
      <c r="AC208" s="217"/>
      <c r="AD208" s="218"/>
      <c r="AE208" s="217"/>
      <c r="AF208" s="218"/>
      <c r="AG208" s="217"/>
      <c r="AH208" s="218"/>
      <c r="AI208" s="217"/>
      <c r="AJ208" s="218"/>
      <c r="AK208" s="217"/>
      <c r="AL208" s="218"/>
      <c r="AM208" s="217"/>
      <c r="AN208" s="218"/>
      <c r="AO208" s="217"/>
      <c r="AP208" s="218"/>
      <c r="AQ208" s="217"/>
      <c r="AR208" s="218"/>
      <c r="AS208" s="217"/>
      <c r="AT208" s="218"/>
      <c r="AU208" s="218"/>
      <c r="AV208" s="217"/>
      <c r="AW208" s="218"/>
      <c r="AX208" s="218"/>
      <c r="AY208" s="217"/>
      <c r="AZ208" s="218"/>
      <c r="BA208" s="217"/>
      <c r="BB208" s="218"/>
      <c r="BC208" s="217"/>
      <c r="BD208" s="218"/>
      <c r="BE208" s="217"/>
      <c r="BF208" s="218"/>
      <c r="BG208" s="218"/>
      <c r="BH208" s="218"/>
      <c r="BI208" s="218"/>
      <c r="BJ208" s="218"/>
      <c r="BK208" s="220"/>
      <c r="BN208" s="203"/>
      <c r="BO208" s="203"/>
    </row>
    <row r="209" spans="1:67" ht="12" customHeight="1">
      <c r="A209" s="221"/>
      <c r="B209" s="219"/>
      <c r="C209" s="217"/>
      <c r="D209" s="218"/>
      <c r="E209" s="218"/>
      <c r="F209" s="218"/>
      <c r="G209" s="217"/>
      <c r="H209" s="217"/>
      <c r="I209" s="218"/>
      <c r="J209" s="218"/>
      <c r="K209" s="217"/>
      <c r="L209" s="218"/>
      <c r="M209" s="217"/>
      <c r="N209" s="218"/>
      <c r="O209" s="217"/>
      <c r="P209" s="218"/>
      <c r="Q209" s="217"/>
      <c r="R209" s="218"/>
      <c r="S209" s="217"/>
      <c r="T209" s="218"/>
      <c r="U209" s="217"/>
      <c r="V209" s="218"/>
      <c r="W209" s="217"/>
      <c r="X209" s="218"/>
      <c r="Y209" s="217"/>
      <c r="Z209" s="218"/>
      <c r="AA209" s="217"/>
      <c r="AB209" s="218"/>
      <c r="AC209" s="217"/>
      <c r="AD209" s="218"/>
      <c r="AE209" s="217"/>
      <c r="AF209" s="218"/>
      <c r="AG209" s="217"/>
      <c r="AH209" s="218"/>
      <c r="AI209" s="217"/>
      <c r="AJ209" s="218"/>
      <c r="AK209" s="217"/>
      <c r="AL209" s="218"/>
      <c r="AM209" s="217"/>
      <c r="AN209" s="218"/>
      <c r="AO209" s="217"/>
      <c r="AP209" s="218"/>
      <c r="AQ209" s="217"/>
      <c r="AR209" s="218"/>
      <c r="AS209" s="217"/>
      <c r="AT209" s="218"/>
      <c r="AU209" s="218"/>
      <c r="AV209" s="217"/>
      <c r="AW209" s="218"/>
      <c r="AX209" s="218"/>
      <c r="AY209" s="217"/>
      <c r="AZ209" s="218"/>
      <c r="BA209" s="217"/>
      <c r="BB209" s="218"/>
      <c r="BC209" s="217"/>
      <c r="BD209" s="218"/>
      <c r="BE209" s="217"/>
      <c r="BF209" s="218"/>
      <c r="BG209" s="218"/>
      <c r="BH209" s="218"/>
      <c r="BI209" s="218"/>
      <c r="BJ209" s="218"/>
      <c r="BK209" s="220"/>
      <c r="BN209" s="203"/>
      <c r="BO209" s="203"/>
    </row>
    <row r="210" spans="1:67" ht="12" customHeight="1">
      <c r="A210" s="221"/>
      <c r="B210" s="219"/>
      <c r="C210" s="217"/>
      <c r="D210" s="218"/>
      <c r="E210" s="218"/>
      <c r="F210" s="218"/>
      <c r="G210" s="217"/>
      <c r="H210" s="217"/>
      <c r="I210" s="218"/>
      <c r="J210" s="218"/>
      <c r="K210" s="217"/>
      <c r="L210" s="218"/>
      <c r="M210" s="217"/>
      <c r="N210" s="218"/>
      <c r="O210" s="217"/>
      <c r="P210" s="218"/>
      <c r="Q210" s="217"/>
      <c r="R210" s="218"/>
      <c r="S210" s="217"/>
      <c r="T210" s="218"/>
      <c r="U210" s="217"/>
      <c r="V210" s="218"/>
      <c r="W210" s="217"/>
      <c r="X210" s="218"/>
      <c r="Y210" s="217"/>
      <c r="Z210" s="218"/>
      <c r="AA210" s="217"/>
      <c r="AB210" s="218"/>
      <c r="AC210" s="217"/>
      <c r="AD210" s="218"/>
      <c r="AE210" s="217"/>
      <c r="AF210" s="218"/>
      <c r="AG210" s="217"/>
      <c r="AH210" s="218"/>
      <c r="AI210" s="217"/>
      <c r="AJ210" s="218"/>
      <c r="AK210" s="217"/>
      <c r="AL210" s="218"/>
      <c r="AM210" s="217"/>
      <c r="AN210" s="218"/>
      <c r="AO210" s="217"/>
      <c r="AP210" s="218"/>
      <c r="AQ210" s="217"/>
      <c r="AR210" s="218"/>
      <c r="AS210" s="217"/>
      <c r="AT210" s="218"/>
      <c r="AU210" s="218"/>
      <c r="AV210" s="217"/>
      <c r="AW210" s="218"/>
      <c r="AX210" s="218"/>
      <c r="AY210" s="217"/>
      <c r="AZ210" s="218"/>
      <c r="BA210" s="217"/>
      <c r="BB210" s="218"/>
      <c r="BC210" s="217"/>
      <c r="BD210" s="218"/>
      <c r="BE210" s="217"/>
      <c r="BF210" s="218"/>
      <c r="BG210" s="218"/>
      <c r="BH210" s="218"/>
      <c r="BI210" s="218"/>
      <c r="BJ210" s="218"/>
      <c r="BK210" s="220"/>
      <c r="BN210" s="203"/>
      <c r="BO210" s="203"/>
    </row>
    <row r="211" spans="1:67" ht="12" customHeight="1">
      <c r="A211" s="221"/>
      <c r="B211" s="219"/>
      <c r="C211" s="217"/>
      <c r="D211" s="218"/>
      <c r="E211" s="218"/>
      <c r="F211" s="218"/>
      <c r="G211" s="217"/>
      <c r="H211" s="217"/>
      <c r="I211" s="218"/>
      <c r="J211" s="218"/>
      <c r="K211" s="217"/>
      <c r="L211" s="218"/>
      <c r="M211" s="217"/>
      <c r="N211" s="218"/>
      <c r="O211" s="217"/>
      <c r="P211" s="218"/>
      <c r="Q211" s="217"/>
      <c r="R211" s="218"/>
      <c r="S211" s="217"/>
      <c r="T211" s="218"/>
      <c r="U211" s="217"/>
      <c r="V211" s="218"/>
      <c r="W211" s="217"/>
      <c r="X211" s="218"/>
      <c r="Y211" s="217"/>
      <c r="Z211" s="218"/>
      <c r="AA211" s="217"/>
      <c r="AB211" s="218"/>
      <c r="AC211" s="217"/>
      <c r="AD211" s="218"/>
      <c r="AE211" s="217"/>
      <c r="AF211" s="218"/>
      <c r="AG211" s="217"/>
      <c r="AH211" s="218"/>
      <c r="AI211" s="217"/>
      <c r="AJ211" s="218"/>
      <c r="AK211" s="217"/>
      <c r="AL211" s="218"/>
      <c r="AM211" s="217"/>
      <c r="AN211" s="218"/>
      <c r="AO211" s="217"/>
      <c r="AP211" s="218"/>
      <c r="AQ211" s="217"/>
      <c r="AR211" s="218"/>
      <c r="AS211" s="217"/>
      <c r="AT211" s="218"/>
      <c r="AU211" s="218"/>
      <c r="AV211" s="217"/>
      <c r="AW211" s="218"/>
      <c r="AX211" s="218"/>
      <c r="AY211" s="217"/>
      <c r="AZ211" s="218"/>
      <c r="BA211" s="217"/>
      <c r="BB211" s="218"/>
      <c r="BC211" s="217"/>
      <c r="BD211" s="218"/>
      <c r="BE211" s="217"/>
      <c r="BF211" s="218"/>
      <c r="BG211" s="218"/>
      <c r="BH211" s="218"/>
      <c r="BI211" s="218"/>
      <c r="BJ211" s="218"/>
      <c r="BK211" s="220"/>
      <c r="BN211" s="203"/>
      <c r="BO211" s="203"/>
    </row>
    <row r="212" spans="1:67" ht="12" customHeight="1">
      <c r="A212" s="221"/>
      <c r="B212" s="219"/>
      <c r="C212" s="217"/>
      <c r="D212" s="218"/>
      <c r="E212" s="218"/>
      <c r="F212" s="218"/>
      <c r="G212" s="217"/>
      <c r="H212" s="217"/>
      <c r="I212" s="218"/>
      <c r="J212" s="218"/>
      <c r="K212" s="217"/>
      <c r="L212" s="218"/>
      <c r="M212" s="217"/>
      <c r="N212" s="218"/>
      <c r="O212" s="217"/>
      <c r="P212" s="218"/>
      <c r="Q212" s="217"/>
      <c r="R212" s="218"/>
      <c r="S212" s="217"/>
      <c r="T212" s="218"/>
      <c r="U212" s="217"/>
      <c r="V212" s="218"/>
      <c r="W212" s="217"/>
      <c r="X212" s="218"/>
      <c r="Y212" s="217"/>
      <c r="Z212" s="218"/>
      <c r="AA212" s="217"/>
      <c r="AB212" s="218"/>
      <c r="AC212" s="217"/>
      <c r="AD212" s="218"/>
      <c r="AE212" s="217"/>
      <c r="AF212" s="218"/>
      <c r="AG212" s="217"/>
      <c r="AH212" s="218"/>
      <c r="AI212" s="217"/>
      <c r="AJ212" s="218"/>
      <c r="AK212" s="217"/>
      <c r="AL212" s="218"/>
      <c r="AM212" s="217"/>
      <c r="AN212" s="218"/>
      <c r="AO212" s="217"/>
      <c r="AP212" s="218"/>
      <c r="AQ212" s="217"/>
      <c r="AR212" s="218"/>
      <c r="AS212" s="217"/>
      <c r="AT212" s="218"/>
      <c r="AU212" s="218"/>
      <c r="AV212" s="217"/>
      <c r="AW212" s="218"/>
      <c r="AX212" s="218"/>
      <c r="AY212" s="217"/>
      <c r="AZ212" s="218"/>
      <c r="BA212" s="217"/>
      <c r="BB212" s="218"/>
      <c r="BC212" s="217"/>
      <c r="BD212" s="218"/>
      <c r="BE212" s="217"/>
      <c r="BF212" s="218"/>
      <c r="BG212" s="218"/>
      <c r="BH212" s="218"/>
      <c r="BI212" s="218"/>
      <c r="BJ212" s="218"/>
      <c r="BK212" s="220"/>
      <c r="BN212" s="203"/>
      <c r="BO212" s="203"/>
    </row>
    <row r="213" spans="1:67" ht="12" customHeight="1" thickBot="1">
      <c r="A213" s="496"/>
      <c r="B213" s="497"/>
      <c r="C213" s="213"/>
      <c r="D213" s="498"/>
      <c r="E213" s="498"/>
      <c r="F213" s="498"/>
      <c r="G213" s="213"/>
      <c r="H213" s="213"/>
      <c r="I213" s="498"/>
      <c r="J213" s="498"/>
      <c r="K213" s="213"/>
      <c r="L213" s="498"/>
      <c r="M213" s="213"/>
      <c r="N213" s="498"/>
      <c r="O213" s="213"/>
      <c r="P213" s="498"/>
      <c r="Q213" s="213"/>
      <c r="R213" s="498"/>
      <c r="S213" s="213"/>
      <c r="T213" s="498"/>
      <c r="U213" s="213"/>
      <c r="V213" s="498"/>
      <c r="W213" s="213"/>
      <c r="X213" s="498"/>
      <c r="Y213" s="213"/>
      <c r="Z213" s="498"/>
      <c r="AA213" s="213"/>
      <c r="AB213" s="498"/>
      <c r="AC213" s="213"/>
      <c r="AD213" s="498"/>
      <c r="AE213" s="213"/>
      <c r="AF213" s="498"/>
      <c r="AG213" s="213"/>
      <c r="AH213" s="498"/>
      <c r="AI213" s="213"/>
      <c r="AJ213" s="498"/>
      <c r="AK213" s="213"/>
      <c r="AL213" s="498"/>
      <c r="AM213" s="213"/>
      <c r="AN213" s="498"/>
      <c r="AO213" s="213"/>
      <c r="AP213" s="498"/>
      <c r="AQ213" s="213"/>
      <c r="AR213" s="498"/>
      <c r="AS213" s="213"/>
      <c r="AT213" s="498"/>
      <c r="AU213" s="498"/>
      <c r="AV213" s="213"/>
      <c r="AW213" s="498"/>
      <c r="AX213" s="498"/>
      <c r="AY213" s="213"/>
      <c r="AZ213" s="498"/>
      <c r="BA213" s="213"/>
      <c r="BB213" s="498"/>
      <c r="BC213" s="213"/>
      <c r="BD213" s="498"/>
      <c r="BE213" s="213"/>
      <c r="BF213" s="498"/>
      <c r="BG213" s="498"/>
      <c r="BH213" s="498"/>
      <c r="BI213" s="498"/>
      <c r="BJ213" s="498"/>
      <c r="BK213" s="499"/>
      <c r="BN213" s="203"/>
      <c r="BO213" s="203"/>
    </row>
    <row r="214" spans="1:67" ht="12" customHeight="1">
      <c r="A214" s="221"/>
      <c r="B214" s="219"/>
      <c r="C214" s="217"/>
      <c r="D214" s="218"/>
      <c r="E214" s="218"/>
      <c r="F214" s="218"/>
      <c r="G214" s="217"/>
      <c r="H214" s="217"/>
      <c r="I214" s="218"/>
      <c r="J214" s="218"/>
      <c r="K214" s="217"/>
      <c r="L214" s="218"/>
      <c r="M214" s="217"/>
      <c r="N214" s="218"/>
      <c r="O214" s="217"/>
      <c r="P214" s="218"/>
      <c r="Q214" s="217"/>
      <c r="R214" s="218"/>
      <c r="S214" s="217"/>
      <c r="T214" s="218"/>
      <c r="U214" s="217"/>
      <c r="V214" s="218"/>
      <c r="W214" s="217"/>
      <c r="X214" s="218"/>
      <c r="Y214" s="217"/>
      <c r="Z214" s="218"/>
      <c r="AA214" s="217"/>
      <c r="AB214" s="218"/>
      <c r="AC214" s="217"/>
      <c r="AD214" s="218"/>
      <c r="AE214" s="217"/>
      <c r="AF214" s="218"/>
      <c r="AG214" s="217"/>
      <c r="AH214" s="218"/>
      <c r="AI214" s="217"/>
      <c r="AJ214" s="218"/>
      <c r="AK214" s="217"/>
      <c r="AL214" s="218"/>
      <c r="AM214" s="217"/>
      <c r="AN214" s="218"/>
      <c r="AO214" s="217"/>
      <c r="AP214" s="218"/>
      <c r="AQ214" s="217"/>
      <c r="AR214" s="218"/>
      <c r="AS214" s="217"/>
      <c r="AT214" s="218"/>
      <c r="AU214" s="218"/>
      <c r="AV214" s="217"/>
      <c r="AW214" s="218"/>
      <c r="AX214" s="218"/>
      <c r="AY214" s="217"/>
      <c r="AZ214" s="218"/>
      <c r="BA214" s="217"/>
      <c r="BB214" s="218"/>
      <c r="BC214" s="217"/>
      <c r="BD214" s="218"/>
      <c r="BE214" s="217"/>
      <c r="BF214" s="218"/>
      <c r="BG214" s="218"/>
      <c r="BH214" s="218"/>
      <c r="BI214" s="218"/>
      <c r="BJ214" s="218"/>
      <c r="BK214" s="220"/>
      <c r="BN214" s="203"/>
      <c r="BO214" s="203"/>
    </row>
    <row r="215" spans="1:67" ht="12" customHeight="1">
      <c r="A215" s="221"/>
      <c r="B215" s="219"/>
      <c r="C215" s="217"/>
      <c r="D215" s="218"/>
      <c r="E215" s="218"/>
      <c r="F215" s="218"/>
      <c r="G215" s="217"/>
      <c r="H215" s="217"/>
      <c r="I215" s="218"/>
      <c r="J215" s="218"/>
      <c r="K215" s="217"/>
      <c r="L215" s="218"/>
      <c r="M215" s="217"/>
      <c r="N215" s="218"/>
      <c r="O215" s="217"/>
      <c r="P215" s="218"/>
      <c r="Q215" s="217"/>
      <c r="R215" s="218"/>
      <c r="S215" s="217"/>
      <c r="T215" s="218"/>
      <c r="U215" s="217"/>
      <c r="V215" s="218"/>
      <c r="W215" s="217"/>
      <c r="X215" s="218"/>
      <c r="Y215" s="217"/>
      <c r="Z215" s="218"/>
      <c r="AA215" s="217"/>
      <c r="AB215" s="218"/>
      <c r="AC215" s="217"/>
      <c r="AD215" s="218"/>
      <c r="AE215" s="217"/>
      <c r="AF215" s="218"/>
      <c r="AG215" s="217"/>
      <c r="AH215" s="218"/>
      <c r="AI215" s="217"/>
      <c r="AJ215" s="218"/>
      <c r="AK215" s="217"/>
      <c r="AL215" s="218"/>
      <c r="AM215" s="217"/>
      <c r="AN215" s="218"/>
      <c r="AO215" s="217"/>
      <c r="AP215" s="218"/>
      <c r="AQ215" s="217"/>
      <c r="AR215" s="218"/>
      <c r="AS215" s="217"/>
      <c r="AT215" s="218"/>
      <c r="AU215" s="218"/>
      <c r="AV215" s="217"/>
      <c r="AW215" s="218"/>
      <c r="AX215" s="218"/>
      <c r="AY215" s="217"/>
      <c r="AZ215" s="218"/>
      <c r="BA215" s="217"/>
      <c r="BB215" s="218"/>
      <c r="BC215" s="217"/>
      <c r="BD215" s="218"/>
      <c r="BE215" s="217"/>
      <c r="BF215" s="218"/>
      <c r="BG215" s="218"/>
      <c r="BH215" s="218"/>
      <c r="BI215" s="218"/>
      <c r="BJ215" s="218"/>
      <c r="BK215" s="220"/>
      <c r="BN215" s="203"/>
      <c r="BO215" s="203"/>
    </row>
    <row r="216" spans="1:67" ht="12" customHeight="1">
      <c r="A216" s="221"/>
      <c r="B216" s="219"/>
      <c r="C216" s="217"/>
      <c r="D216" s="218"/>
      <c r="E216" s="218"/>
      <c r="F216" s="218"/>
      <c r="G216" s="217"/>
      <c r="H216" s="217"/>
      <c r="I216" s="218"/>
      <c r="J216" s="218"/>
      <c r="K216" s="217"/>
      <c r="L216" s="218"/>
      <c r="M216" s="217"/>
      <c r="N216" s="218"/>
      <c r="O216" s="217"/>
      <c r="P216" s="218"/>
      <c r="Q216" s="217"/>
      <c r="R216" s="218"/>
      <c r="S216" s="217"/>
      <c r="T216" s="218"/>
      <c r="U216" s="217"/>
      <c r="V216" s="218"/>
      <c r="W216" s="217"/>
      <c r="X216" s="218"/>
      <c r="Y216" s="217"/>
      <c r="Z216" s="218"/>
      <c r="AA216" s="217"/>
      <c r="AB216" s="218"/>
      <c r="AC216" s="217"/>
      <c r="AD216" s="218"/>
      <c r="AE216" s="217"/>
      <c r="AF216" s="218"/>
      <c r="AG216" s="217"/>
      <c r="AH216" s="218"/>
      <c r="AI216" s="217"/>
      <c r="AJ216" s="218"/>
      <c r="AK216" s="217"/>
      <c r="AL216" s="218"/>
      <c r="AM216" s="217"/>
      <c r="AN216" s="218"/>
      <c r="AO216" s="217"/>
      <c r="AP216" s="218"/>
      <c r="AQ216" s="217"/>
      <c r="AR216" s="218"/>
      <c r="AS216" s="217"/>
      <c r="AT216" s="218"/>
      <c r="AU216" s="218"/>
      <c r="AV216" s="217"/>
      <c r="AW216" s="218"/>
      <c r="AX216" s="218"/>
      <c r="AY216" s="217"/>
      <c r="AZ216" s="218"/>
      <c r="BA216" s="217"/>
      <c r="BB216" s="218"/>
      <c r="BC216" s="217"/>
      <c r="BD216" s="218"/>
      <c r="BE216" s="217"/>
      <c r="BF216" s="218"/>
      <c r="BG216" s="218"/>
      <c r="BH216" s="218"/>
      <c r="BI216" s="218"/>
      <c r="BJ216" s="218"/>
      <c r="BK216" s="220"/>
      <c r="BN216" s="203"/>
      <c r="BO216" s="203"/>
    </row>
    <row r="217" spans="1:67" ht="12" customHeight="1">
      <c r="A217" s="221"/>
      <c r="B217" s="219"/>
      <c r="C217" s="217"/>
      <c r="D217" s="218"/>
      <c r="E217" s="218"/>
      <c r="F217" s="218"/>
      <c r="G217" s="217"/>
      <c r="H217" s="217"/>
      <c r="I217" s="218"/>
      <c r="J217" s="218"/>
      <c r="K217" s="217"/>
      <c r="L217" s="218"/>
      <c r="M217" s="217"/>
      <c r="N217" s="218"/>
      <c r="O217" s="217"/>
      <c r="P217" s="218"/>
      <c r="Q217" s="217"/>
      <c r="R217" s="218"/>
      <c r="S217" s="217"/>
      <c r="T217" s="218"/>
      <c r="U217" s="217"/>
      <c r="V217" s="218"/>
      <c r="W217" s="217"/>
      <c r="X217" s="218"/>
      <c r="Y217" s="217"/>
      <c r="Z217" s="218"/>
      <c r="AA217" s="217"/>
      <c r="AB217" s="218"/>
      <c r="AC217" s="217"/>
      <c r="AD217" s="218"/>
      <c r="AE217" s="217"/>
      <c r="AF217" s="218"/>
      <c r="AG217" s="217"/>
      <c r="AH217" s="218"/>
      <c r="AI217" s="217"/>
      <c r="AJ217" s="218"/>
      <c r="AK217" s="217"/>
      <c r="AL217" s="218"/>
      <c r="AM217" s="217"/>
      <c r="AN217" s="218"/>
      <c r="AO217" s="217"/>
      <c r="AP217" s="218"/>
      <c r="AQ217" s="217"/>
      <c r="AR217" s="218"/>
      <c r="AS217" s="217"/>
      <c r="AT217" s="218"/>
      <c r="AU217" s="218"/>
      <c r="AV217" s="217"/>
      <c r="AW217" s="218"/>
      <c r="AX217" s="218"/>
      <c r="AY217" s="217"/>
      <c r="AZ217" s="218"/>
      <c r="BA217" s="217"/>
      <c r="BB217" s="218"/>
      <c r="BC217" s="217"/>
      <c r="BD217" s="218"/>
      <c r="BE217" s="217"/>
      <c r="BF217" s="218"/>
      <c r="BG217" s="218"/>
      <c r="BH217" s="218"/>
      <c r="BI217" s="218"/>
      <c r="BJ217" s="218"/>
      <c r="BK217" s="220"/>
      <c r="BN217" s="203"/>
      <c r="BO217" s="203"/>
    </row>
    <row r="218" spans="1:67" ht="12" customHeight="1">
      <c r="A218" s="221"/>
      <c r="B218" s="219"/>
      <c r="C218" s="217"/>
      <c r="D218" s="218"/>
      <c r="E218" s="218"/>
      <c r="F218" s="218"/>
      <c r="G218" s="217"/>
      <c r="H218" s="217"/>
      <c r="I218" s="218"/>
      <c r="J218" s="218"/>
      <c r="K218" s="217"/>
      <c r="L218" s="218"/>
      <c r="M218" s="217"/>
      <c r="N218" s="218"/>
      <c r="O218" s="217"/>
      <c r="P218" s="218"/>
      <c r="Q218" s="217"/>
      <c r="R218" s="218"/>
      <c r="S218" s="217"/>
      <c r="T218" s="218"/>
      <c r="U218" s="217"/>
      <c r="V218" s="218"/>
      <c r="W218" s="217"/>
      <c r="X218" s="218"/>
      <c r="Y218" s="217"/>
      <c r="Z218" s="218"/>
      <c r="AA218" s="217"/>
      <c r="AB218" s="218"/>
      <c r="AC218" s="217"/>
      <c r="AD218" s="218"/>
      <c r="AE218" s="217"/>
      <c r="AF218" s="218"/>
      <c r="AG218" s="217"/>
      <c r="AH218" s="218"/>
      <c r="AI218" s="217"/>
      <c r="AJ218" s="218"/>
      <c r="AK218" s="217"/>
      <c r="AL218" s="218"/>
      <c r="AM218" s="217"/>
      <c r="AN218" s="218"/>
      <c r="AO218" s="217"/>
      <c r="AP218" s="218"/>
      <c r="AQ218" s="217"/>
      <c r="AR218" s="218"/>
      <c r="AS218" s="217"/>
      <c r="AT218" s="218"/>
      <c r="AU218" s="218"/>
      <c r="AV218" s="217"/>
      <c r="AW218" s="218"/>
      <c r="AX218" s="218"/>
      <c r="AY218" s="217"/>
      <c r="AZ218" s="218"/>
      <c r="BA218" s="217"/>
      <c r="BB218" s="218"/>
      <c r="BC218" s="217"/>
      <c r="BD218" s="218"/>
      <c r="BE218" s="217"/>
      <c r="BF218" s="218"/>
      <c r="BG218" s="218"/>
      <c r="BH218" s="218"/>
      <c r="BI218" s="218"/>
      <c r="BJ218" s="218"/>
      <c r="BK218" s="220"/>
      <c r="BN218" s="203"/>
      <c r="BO218" s="203"/>
    </row>
    <row r="219" spans="1:67" ht="12" customHeight="1">
      <c r="A219" s="221"/>
      <c r="B219" s="219"/>
      <c r="C219" s="217"/>
      <c r="D219" s="218"/>
      <c r="E219" s="218"/>
      <c r="F219" s="218"/>
      <c r="G219" s="217"/>
      <c r="H219" s="217"/>
      <c r="I219" s="218"/>
      <c r="J219" s="218"/>
      <c r="K219" s="217"/>
      <c r="L219" s="218"/>
      <c r="M219" s="217"/>
      <c r="N219" s="218"/>
      <c r="O219" s="217"/>
      <c r="P219" s="218"/>
      <c r="Q219" s="217"/>
      <c r="R219" s="218"/>
      <c r="S219" s="217"/>
      <c r="T219" s="218"/>
      <c r="U219" s="217"/>
      <c r="V219" s="218"/>
      <c r="W219" s="217"/>
      <c r="X219" s="218"/>
      <c r="Y219" s="217"/>
      <c r="Z219" s="218"/>
      <c r="AA219" s="217"/>
      <c r="AB219" s="218"/>
      <c r="AC219" s="217"/>
      <c r="AD219" s="218"/>
      <c r="AE219" s="217"/>
      <c r="AF219" s="218"/>
      <c r="AG219" s="217"/>
      <c r="AH219" s="218"/>
      <c r="AI219" s="217"/>
      <c r="AJ219" s="218"/>
      <c r="AK219" s="217"/>
      <c r="AL219" s="218"/>
      <c r="AM219" s="217"/>
      <c r="AN219" s="218"/>
      <c r="AO219" s="217"/>
      <c r="AP219" s="218"/>
      <c r="AQ219" s="217"/>
      <c r="AR219" s="218"/>
      <c r="AS219" s="217"/>
      <c r="AT219" s="218"/>
      <c r="AU219" s="218"/>
      <c r="AV219" s="217"/>
      <c r="AW219" s="218"/>
      <c r="AX219" s="218"/>
      <c r="AY219" s="217"/>
      <c r="AZ219" s="218"/>
      <c r="BA219" s="217"/>
      <c r="BB219" s="218"/>
      <c r="BC219" s="217"/>
      <c r="BD219" s="218"/>
      <c r="BE219" s="217"/>
      <c r="BF219" s="218"/>
      <c r="BG219" s="218"/>
      <c r="BH219" s="218"/>
      <c r="BI219" s="218"/>
      <c r="BJ219" s="218"/>
      <c r="BK219" s="220"/>
      <c r="BN219" s="203"/>
      <c r="BO219" s="203"/>
    </row>
    <row r="220" spans="1:67" ht="12" customHeight="1" thickBot="1">
      <c r="A220" s="496"/>
      <c r="B220" s="497"/>
      <c r="C220" s="213"/>
      <c r="D220" s="498"/>
      <c r="E220" s="498"/>
      <c r="F220" s="498"/>
      <c r="G220" s="213"/>
      <c r="H220" s="213"/>
      <c r="I220" s="498"/>
      <c r="J220" s="498"/>
      <c r="K220" s="213"/>
      <c r="L220" s="498"/>
      <c r="M220" s="213"/>
      <c r="N220" s="498"/>
      <c r="O220" s="213"/>
      <c r="P220" s="498"/>
      <c r="Q220" s="213"/>
      <c r="R220" s="498"/>
      <c r="S220" s="213"/>
      <c r="T220" s="498"/>
      <c r="U220" s="213"/>
      <c r="V220" s="498"/>
      <c r="W220" s="213"/>
      <c r="X220" s="498"/>
      <c r="Y220" s="213"/>
      <c r="Z220" s="498"/>
      <c r="AA220" s="213"/>
      <c r="AB220" s="498"/>
      <c r="AC220" s="213"/>
      <c r="AD220" s="498"/>
      <c r="AE220" s="213"/>
      <c r="AF220" s="498"/>
      <c r="AG220" s="213"/>
      <c r="AH220" s="498"/>
      <c r="AI220" s="213"/>
      <c r="AJ220" s="498"/>
      <c r="AK220" s="213"/>
      <c r="AL220" s="498"/>
      <c r="AM220" s="213"/>
      <c r="AN220" s="498"/>
      <c r="AO220" s="213"/>
      <c r="AP220" s="498"/>
      <c r="AQ220" s="213"/>
      <c r="AR220" s="498"/>
      <c r="AS220" s="213"/>
      <c r="AT220" s="498"/>
      <c r="AU220" s="498"/>
      <c r="AV220" s="213"/>
      <c r="AW220" s="498"/>
      <c r="AX220" s="498"/>
      <c r="AY220" s="213"/>
      <c r="AZ220" s="498"/>
      <c r="BA220" s="213"/>
      <c r="BB220" s="498"/>
      <c r="BC220" s="213"/>
      <c r="BD220" s="498"/>
      <c r="BE220" s="213"/>
      <c r="BF220" s="498"/>
      <c r="BG220" s="498"/>
      <c r="BH220" s="498"/>
      <c r="BI220" s="498"/>
      <c r="BJ220" s="498"/>
      <c r="BK220" s="499"/>
      <c r="BN220" s="203"/>
      <c r="BO220" s="203"/>
    </row>
    <row r="221" spans="1:67" ht="12" customHeight="1">
      <c r="D221" s="203"/>
      <c r="F221" s="203"/>
      <c r="N221" s="203"/>
      <c r="O221" s="203"/>
      <c r="P221" s="203"/>
      <c r="R221" s="203"/>
      <c r="T221" s="203"/>
      <c r="V221" s="203"/>
      <c r="X221" s="203"/>
      <c r="Z221" s="203"/>
      <c r="AB221" s="203"/>
      <c r="AD221" s="203"/>
      <c r="AJ221" s="203"/>
      <c r="AL221" s="203"/>
      <c r="AN221" s="203"/>
      <c r="AR221" s="203"/>
      <c r="AT221" s="203"/>
      <c r="AV221" s="203"/>
      <c r="AX221" s="203"/>
      <c r="BB221" s="203"/>
      <c r="BE221" s="203"/>
      <c r="BH221" s="203"/>
      <c r="BJ221" s="203"/>
      <c r="BN221" s="203"/>
      <c r="BO221" s="203"/>
    </row>
    <row r="222" spans="1:67" ht="12" customHeight="1">
      <c r="D222" s="203"/>
      <c r="F222" s="203"/>
      <c r="N222" s="203"/>
      <c r="O222" s="203"/>
      <c r="P222" s="203"/>
      <c r="R222" s="203"/>
      <c r="T222" s="203"/>
      <c r="V222" s="203"/>
      <c r="X222" s="203"/>
      <c r="Z222" s="203"/>
      <c r="AB222" s="203"/>
      <c r="AD222" s="203"/>
      <c r="AJ222" s="203"/>
      <c r="AL222" s="203"/>
      <c r="AN222" s="203"/>
      <c r="AR222" s="203"/>
      <c r="AT222" s="203"/>
      <c r="AV222" s="203"/>
      <c r="AX222" s="203"/>
      <c r="BB222" s="203"/>
      <c r="BE222" s="203"/>
      <c r="BH222" s="203"/>
      <c r="BJ222" s="203"/>
      <c r="BN222" s="203"/>
      <c r="BO222" s="203"/>
    </row>
    <row r="223" spans="1:67" ht="12" customHeight="1">
      <c r="D223" s="203"/>
      <c r="F223" s="203"/>
      <c r="N223" s="203"/>
      <c r="O223" s="203"/>
      <c r="P223" s="203"/>
      <c r="R223" s="203"/>
      <c r="T223" s="203"/>
      <c r="V223" s="203"/>
      <c r="X223" s="203"/>
      <c r="Z223" s="203"/>
      <c r="AB223" s="203"/>
      <c r="AD223" s="203"/>
      <c r="AJ223" s="203"/>
      <c r="AL223" s="203"/>
      <c r="AN223" s="203"/>
      <c r="AR223" s="203"/>
      <c r="AT223" s="203"/>
      <c r="AV223" s="203"/>
      <c r="AX223" s="203"/>
      <c r="BB223" s="203"/>
      <c r="BE223" s="203"/>
      <c r="BH223" s="203"/>
      <c r="BJ223" s="203"/>
      <c r="BN223" s="203"/>
      <c r="BO223" s="203"/>
    </row>
    <row r="224" spans="1:67" ht="12" customHeight="1">
      <c r="D224" s="203"/>
      <c r="F224" s="203"/>
      <c r="N224" s="203"/>
      <c r="O224" s="203"/>
      <c r="P224" s="203"/>
      <c r="R224" s="203"/>
      <c r="T224" s="203"/>
      <c r="V224" s="203"/>
      <c r="X224" s="203"/>
      <c r="Z224" s="203"/>
      <c r="AB224" s="203"/>
      <c r="AD224" s="203"/>
      <c r="AJ224" s="203"/>
      <c r="AL224" s="203"/>
      <c r="AN224" s="203"/>
      <c r="AR224" s="203"/>
      <c r="AT224" s="203"/>
      <c r="AV224" s="203"/>
      <c r="AX224" s="203"/>
      <c r="BB224" s="203"/>
      <c r="BE224" s="203"/>
      <c r="BH224" s="203"/>
      <c r="BJ224" s="203"/>
      <c r="BN224" s="203"/>
      <c r="BO224" s="203"/>
    </row>
    <row r="225" spans="4:67" ht="12" customHeight="1">
      <c r="D225" s="203"/>
      <c r="F225" s="203"/>
      <c r="N225" s="203"/>
      <c r="O225" s="203"/>
      <c r="P225" s="203"/>
      <c r="R225" s="203"/>
      <c r="T225" s="203"/>
      <c r="V225" s="203"/>
      <c r="X225" s="203"/>
      <c r="Z225" s="203"/>
      <c r="AB225" s="203"/>
      <c r="AD225" s="203"/>
      <c r="AJ225" s="203"/>
      <c r="AL225" s="203"/>
      <c r="AN225" s="203"/>
      <c r="AR225" s="203"/>
      <c r="AT225" s="203"/>
      <c r="AV225" s="203"/>
      <c r="AX225" s="203"/>
      <c r="BB225" s="203"/>
      <c r="BE225" s="203"/>
      <c r="BH225" s="203"/>
      <c r="BJ225" s="203"/>
      <c r="BN225" s="203"/>
      <c r="BO225" s="203"/>
    </row>
    <row r="226" spans="4:67" ht="12" customHeight="1">
      <c r="D226" s="203"/>
      <c r="F226" s="203"/>
      <c r="N226" s="203"/>
      <c r="O226" s="203"/>
      <c r="P226" s="203"/>
      <c r="R226" s="203"/>
      <c r="T226" s="203"/>
      <c r="V226" s="203"/>
      <c r="X226" s="203"/>
      <c r="Z226" s="203"/>
      <c r="AB226" s="203"/>
      <c r="AD226" s="203"/>
      <c r="AJ226" s="203"/>
      <c r="AL226" s="203"/>
      <c r="AN226" s="203"/>
      <c r="AR226" s="203"/>
      <c r="AT226" s="203"/>
      <c r="AV226" s="203"/>
      <c r="AX226" s="203"/>
      <c r="BB226" s="203"/>
      <c r="BE226" s="203"/>
      <c r="BH226" s="203"/>
      <c r="BJ226" s="203"/>
      <c r="BN226" s="203"/>
      <c r="BO226" s="203"/>
    </row>
    <row r="227" spans="4:67" ht="12" customHeight="1">
      <c r="D227" s="203"/>
      <c r="F227" s="203"/>
      <c r="N227" s="203"/>
      <c r="O227" s="203"/>
      <c r="P227" s="203"/>
      <c r="R227" s="203"/>
      <c r="T227" s="203"/>
      <c r="V227" s="203"/>
      <c r="X227" s="203"/>
      <c r="Z227" s="203"/>
      <c r="AB227" s="203"/>
      <c r="AD227" s="203"/>
      <c r="AJ227" s="203"/>
      <c r="AL227" s="203"/>
      <c r="AN227" s="203"/>
      <c r="AR227" s="203"/>
      <c r="AT227" s="203"/>
      <c r="AV227" s="203"/>
      <c r="AX227" s="203"/>
      <c r="BB227" s="203"/>
      <c r="BE227" s="203"/>
      <c r="BH227" s="203"/>
      <c r="BJ227" s="203"/>
      <c r="BN227" s="203"/>
      <c r="BO227" s="203"/>
    </row>
    <row r="228" spans="4:67" ht="12" customHeight="1">
      <c r="D228" s="203"/>
      <c r="F228" s="203"/>
      <c r="N228" s="203"/>
      <c r="O228" s="203"/>
      <c r="P228" s="203"/>
      <c r="R228" s="203"/>
      <c r="T228" s="203"/>
      <c r="V228" s="203"/>
      <c r="X228" s="203"/>
      <c r="Z228" s="203"/>
      <c r="AB228" s="203"/>
      <c r="AD228" s="203"/>
      <c r="AJ228" s="203"/>
      <c r="AL228" s="203"/>
      <c r="AN228" s="203"/>
      <c r="AR228" s="203"/>
      <c r="AT228" s="203"/>
      <c r="AV228" s="203"/>
      <c r="AX228" s="203"/>
      <c r="BB228" s="203"/>
      <c r="BE228" s="203"/>
      <c r="BH228" s="203"/>
      <c r="BJ228" s="203"/>
      <c r="BN228" s="203"/>
      <c r="BO228" s="203"/>
    </row>
    <row r="229" spans="4:67" ht="12" customHeight="1">
      <c r="D229" s="203"/>
      <c r="F229" s="203"/>
      <c r="N229" s="203"/>
      <c r="O229" s="203"/>
      <c r="P229" s="203"/>
      <c r="R229" s="203"/>
      <c r="T229" s="203"/>
      <c r="V229" s="203"/>
      <c r="X229" s="203"/>
      <c r="Z229" s="203"/>
      <c r="AB229" s="203"/>
      <c r="AD229" s="203"/>
      <c r="AJ229" s="203"/>
      <c r="AL229" s="203"/>
      <c r="AN229" s="203"/>
      <c r="AR229" s="203"/>
      <c r="AT229" s="203"/>
      <c r="AV229" s="203"/>
      <c r="AX229" s="203"/>
      <c r="BB229" s="203"/>
      <c r="BE229" s="203"/>
      <c r="BH229" s="203"/>
      <c r="BJ229" s="203"/>
      <c r="BN229" s="203"/>
      <c r="BO229" s="203"/>
    </row>
    <row r="230" spans="4:67" ht="12" customHeight="1">
      <c r="D230" s="203"/>
      <c r="F230" s="203"/>
      <c r="N230" s="203"/>
      <c r="O230" s="203"/>
      <c r="P230" s="203"/>
      <c r="R230" s="203"/>
      <c r="T230" s="203"/>
      <c r="V230" s="203"/>
      <c r="X230" s="203"/>
      <c r="Z230" s="203"/>
      <c r="AB230" s="203"/>
      <c r="AD230" s="203"/>
      <c r="AJ230" s="203"/>
      <c r="AL230" s="203"/>
      <c r="AN230" s="203"/>
      <c r="AR230" s="203"/>
      <c r="AT230" s="203"/>
      <c r="AV230" s="203"/>
      <c r="AX230" s="203"/>
      <c r="BB230" s="203"/>
      <c r="BE230" s="203"/>
      <c r="BH230" s="203"/>
      <c r="BJ230" s="203"/>
      <c r="BN230" s="203"/>
      <c r="BO230" s="203"/>
    </row>
    <row r="231" spans="4:67" ht="12" customHeight="1">
      <c r="D231" s="203"/>
      <c r="F231" s="203"/>
      <c r="N231" s="203"/>
      <c r="O231" s="203"/>
      <c r="P231" s="203"/>
      <c r="R231" s="203"/>
      <c r="T231" s="203"/>
      <c r="V231" s="203"/>
      <c r="X231" s="203"/>
      <c r="Z231" s="203"/>
      <c r="AB231" s="203"/>
      <c r="AD231" s="203"/>
      <c r="AJ231" s="203"/>
      <c r="AL231" s="203"/>
      <c r="AN231" s="203"/>
      <c r="AR231" s="203"/>
      <c r="AT231" s="203"/>
      <c r="AV231" s="203"/>
      <c r="AX231" s="203"/>
      <c r="BB231" s="203"/>
      <c r="BE231" s="203"/>
      <c r="BH231" s="203"/>
      <c r="BJ231" s="203"/>
      <c r="BN231" s="203"/>
      <c r="BO231" s="203"/>
    </row>
    <row r="232" spans="4:67" ht="12" customHeight="1">
      <c r="D232" s="203"/>
      <c r="F232" s="203"/>
      <c r="N232" s="203"/>
      <c r="O232" s="203"/>
      <c r="P232" s="203"/>
      <c r="R232" s="203"/>
      <c r="T232" s="203"/>
      <c r="V232" s="203"/>
      <c r="X232" s="203"/>
      <c r="Z232" s="203"/>
      <c r="AB232" s="203"/>
      <c r="AD232" s="203"/>
      <c r="AJ232" s="203"/>
      <c r="AL232" s="203"/>
      <c r="AN232" s="203"/>
      <c r="AR232" s="203"/>
      <c r="AT232" s="203"/>
      <c r="AV232" s="203"/>
      <c r="AX232" s="203"/>
      <c r="BB232" s="203"/>
      <c r="BE232" s="203"/>
      <c r="BH232" s="203"/>
      <c r="BJ232" s="203"/>
      <c r="BN232" s="203"/>
      <c r="BO232" s="203"/>
    </row>
    <row r="233" spans="4:67" ht="12" customHeight="1">
      <c r="D233" s="203"/>
      <c r="F233" s="203"/>
      <c r="N233" s="203"/>
      <c r="O233" s="203"/>
      <c r="P233" s="203"/>
      <c r="R233" s="203"/>
      <c r="T233" s="203"/>
      <c r="V233" s="203"/>
      <c r="X233" s="203"/>
      <c r="Z233" s="203"/>
      <c r="AB233" s="203"/>
      <c r="AD233" s="203"/>
      <c r="AJ233" s="203"/>
      <c r="AL233" s="203"/>
      <c r="AN233" s="203"/>
      <c r="AR233" s="203"/>
      <c r="AT233" s="203"/>
      <c r="AV233" s="203"/>
      <c r="AX233" s="203"/>
      <c r="BB233" s="203"/>
      <c r="BE233" s="203"/>
      <c r="BH233" s="203"/>
      <c r="BJ233" s="203"/>
      <c r="BN233" s="203"/>
      <c r="BO233" s="203"/>
    </row>
    <row r="234" spans="4:67" ht="12" customHeight="1">
      <c r="D234" s="203"/>
      <c r="F234" s="203"/>
      <c r="N234" s="203"/>
      <c r="O234" s="203"/>
      <c r="P234" s="203"/>
      <c r="R234" s="203"/>
      <c r="T234" s="203"/>
      <c r="V234" s="203"/>
      <c r="X234" s="203"/>
      <c r="Z234" s="203"/>
      <c r="AB234" s="203"/>
      <c r="AD234" s="203"/>
      <c r="AJ234" s="203"/>
      <c r="AL234" s="203"/>
      <c r="AN234" s="203"/>
      <c r="AR234" s="203"/>
      <c r="AT234" s="203"/>
      <c r="AV234" s="203"/>
      <c r="AX234" s="203"/>
      <c r="BB234" s="203"/>
      <c r="BE234" s="203"/>
      <c r="BH234" s="203"/>
      <c r="BJ234" s="203"/>
      <c r="BN234" s="203"/>
      <c r="BO234" s="203"/>
    </row>
    <row r="235" spans="4:67" ht="12" customHeight="1">
      <c r="D235" s="203"/>
      <c r="F235" s="203"/>
      <c r="N235" s="203"/>
      <c r="O235" s="203"/>
      <c r="P235" s="203"/>
      <c r="R235" s="203"/>
      <c r="T235" s="203"/>
      <c r="V235" s="203"/>
      <c r="X235" s="203"/>
      <c r="Z235" s="203"/>
      <c r="AB235" s="203"/>
      <c r="AD235" s="203"/>
      <c r="AJ235" s="203"/>
      <c r="AL235" s="203"/>
      <c r="AN235" s="203"/>
      <c r="AR235" s="203"/>
      <c r="AT235" s="203"/>
      <c r="AV235" s="203"/>
      <c r="AX235" s="203"/>
      <c r="BB235" s="203"/>
      <c r="BE235" s="203"/>
      <c r="BH235" s="203"/>
      <c r="BJ235" s="203"/>
      <c r="BN235" s="203"/>
      <c r="BO235" s="203"/>
    </row>
    <row r="236" spans="4:67" ht="12" customHeight="1">
      <c r="D236" s="203"/>
      <c r="F236" s="203"/>
      <c r="N236" s="203"/>
      <c r="O236" s="203"/>
      <c r="P236" s="203"/>
      <c r="R236" s="203"/>
      <c r="T236" s="203"/>
      <c r="V236" s="203"/>
      <c r="X236" s="203"/>
      <c r="Z236" s="203"/>
      <c r="AB236" s="203"/>
      <c r="AD236" s="203"/>
      <c r="AJ236" s="203"/>
      <c r="AL236" s="203"/>
      <c r="AN236" s="203"/>
      <c r="AR236" s="203"/>
      <c r="AT236" s="203"/>
      <c r="AV236" s="203"/>
      <c r="AX236" s="203"/>
      <c r="BB236" s="203"/>
      <c r="BE236" s="203"/>
      <c r="BH236" s="203"/>
      <c r="BJ236" s="203"/>
      <c r="BN236" s="203"/>
      <c r="BO236" s="203"/>
    </row>
    <row r="237" spans="4:67" ht="12" customHeight="1">
      <c r="D237" s="203"/>
      <c r="F237" s="203"/>
      <c r="N237" s="203"/>
      <c r="O237" s="203"/>
      <c r="P237" s="203"/>
      <c r="R237" s="203"/>
      <c r="T237" s="203"/>
      <c r="V237" s="203"/>
      <c r="X237" s="203"/>
      <c r="Z237" s="203"/>
      <c r="AB237" s="203"/>
      <c r="AD237" s="203"/>
      <c r="AJ237" s="203"/>
      <c r="AL237" s="203"/>
      <c r="AN237" s="203"/>
      <c r="AR237" s="203"/>
      <c r="AT237" s="203"/>
      <c r="AV237" s="203"/>
      <c r="AX237" s="203"/>
      <c r="BB237" s="203"/>
      <c r="BE237" s="203"/>
      <c r="BH237" s="203"/>
      <c r="BJ237" s="203"/>
      <c r="BN237" s="203"/>
      <c r="BO237" s="203"/>
    </row>
    <row r="238" spans="4:67" ht="12" customHeight="1">
      <c r="D238" s="203"/>
      <c r="F238" s="203"/>
      <c r="N238" s="203"/>
      <c r="O238" s="203"/>
      <c r="P238" s="203"/>
      <c r="R238" s="203"/>
      <c r="T238" s="203"/>
      <c r="V238" s="203"/>
      <c r="X238" s="203"/>
      <c r="Z238" s="203"/>
      <c r="AB238" s="203"/>
      <c r="AD238" s="203"/>
      <c r="AJ238" s="203"/>
      <c r="AL238" s="203"/>
      <c r="AN238" s="203"/>
      <c r="AR238" s="203"/>
      <c r="AT238" s="203"/>
      <c r="AV238" s="203"/>
      <c r="AX238" s="203"/>
      <c r="BB238" s="203"/>
      <c r="BE238" s="203"/>
      <c r="BH238" s="203"/>
      <c r="BJ238" s="203"/>
      <c r="BN238" s="203"/>
      <c r="BO238" s="203"/>
    </row>
    <row r="239" spans="4:67" ht="12" customHeight="1">
      <c r="D239" s="203"/>
      <c r="F239" s="203"/>
      <c r="N239" s="203"/>
      <c r="O239" s="203"/>
      <c r="P239" s="203"/>
      <c r="R239" s="203"/>
      <c r="T239" s="203"/>
      <c r="V239" s="203"/>
      <c r="X239" s="203"/>
      <c r="Z239" s="203"/>
      <c r="AB239" s="203"/>
      <c r="AD239" s="203"/>
      <c r="AJ239" s="203"/>
      <c r="AL239" s="203"/>
      <c r="AN239" s="203"/>
      <c r="AR239" s="203"/>
      <c r="AT239" s="203"/>
      <c r="AV239" s="203"/>
      <c r="AX239" s="203"/>
      <c r="BB239" s="203"/>
      <c r="BE239" s="203"/>
      <c r="BH239" s="203"/>
      <c r="BJ239" s="203"/>
      <c r="BN239" s="203"/>
      <c r="BO239" s="203"/>
    </row>
    <row r="240" spans="4:67" ht="12" customHeight="1">
      <c r="D240" s="203"/>
      <c r="F240" s="203"/>
      <c r="N240" s="203"/>
      <c r="O240" s="203"/>
      <c r="P240" s="203"/>
      <c r="R240" s="203"/>
      <c r="T240" s="203"/>
      <c r="V240" s="203"/>
      <c r="X240" s="203"/>
      <c r="Z240" s="203"/>
      <c r="AB240" s="203"/>
      <c r="AD240" s="203"/>
      <c r="AJ240" s="203"/>
      <c r="AL240" s="203"/>
      <c r="AN240" s="203"/>
      <c r="AR240" s="203"/>
      <c r="AT240" s="203"/>
      <c r="AV240" s="203"/>
      <c r="AX240" s="203"/>
      <c r="BB240" s="203"/>
      <c r="BE240" s="203"/>
      <c r="BH240" s="203"/>
      <c r="BJ240" s="203"/>
      <c r="BN240" s="203"/>
      <c r="BO240" s="203"/>
    </row>
    <row r="241" spans="4:67" ht="12" customHeight="1">
      <c r="D241" s="203"/>
      <c r="F241" s="203"/>
      <c r="N241" s="203"/>
      <c r="O241" s="203"/>
      <c r="P241" s="203"/>
      <c r="R241" s="203"/>
      <c r="T241" s="203"/>
      <c r="V241" s="203"/>
      <c r="X241" s="203"/>
      <c r="Z241" s="203"/>
      <c r="AB241" s="203"/>
      <c r="AD241" s="203"/>
      <c r="AJ241" s="203"/>
      <c r="AL241" s="203"/>
      <c r="AN241" s="203"/>
      <c r="AR241" s="203"/>
      <c r="AT241" s="203"/>
      <c r="AV241" s="203"/>
      <c r="AX241" s="203"/>
      <c r="BB241" s="203"/>
      <c r="BE241" s="203"/>
      <c r="BH241" s="203"/>
      <c r="BJ241" s="203"/>
      <c r="BN241" s="203"/>
      <c r="BO241" s="203"/>
    </row>
    <row r="242" spans="4:67" ht="12" customHeight="1">
      <c r="D242" s="203"/>
      <c r="F242" s="203"/>
      <c r="N242" s="203"/>
      <c r="O242" s="203"/>
      <c r="P242" s="203"/>
      <c r="R242" s="203"/>
      <c r="T242" s="203"/>
      <c r="V242" s="203"/>
      <c r="X242" s="203"/>
      <c r="Z242" s="203"/>
      <c r="AB242" s="203"/>
      <c r="AD242" s="203"/>
      <c r="AJ242" s="203"/>
      <c r="AL242" s="203"/>
      <c r="AN242" s="203"/>
      <c r="AR242" s="203"/>
      <c r="AT242" s="203"/>
      <c r="AV242" s="203"/>
      <c r="AX242" s="203"/>
      <c r="BB242" s="203"/>
      <c r="BE242" s="203"/>
      <c r="BH242" s="203"/>
      <c r="BJ242" s="203"/>
      <c r="BN242" s="203"/>
      <c r="BO242" s="203"/>
    </row>
    <row r="243" spans="4:67" ht="12" customHeight="1">
      <c r="D243" s="203"/>
      <c r="F243" s="203"/>
      <c r="N243" s="203"/>
      <c r="O243" s="203"/>
      <c r="P243" s="203"/>
      <c r="R243" s="203"/>
      <c r="T243" s="203"/>
      <c r="V243" s="203"/>
      <c r="X243" s="203"/>
      <c r="Z243" s="203"/>
      <c r="AB243" s="203"/>
      <c r="AD243" s="203"/>
      <c r="AJ243" s="203"/>
      <c r="AL243" s="203"/>
      <c r="AN243" s="203"/>
      <c r="AR243" s="203"/>
      <c r="AT243" s="203"/>
      <c r="AV243" s="203"/>
      <c r="AX243" s="203"/>
      <c r="BB243" s="203"/>
      <c r="BE243" s="203"/>
      <c r="BH243" s="203"/>
      <c r="BJ243" s="203"/>
      <c r="BN243" s="203"/>
      <c r="BO243" s="203"/>
    </row>
    <row r="244" spans="4:67" ht="12" customHeight="1">
      <c r="D244" s="203"/>
      <c r="F244" s="203"/>
      <c r="N244" s="203"/>
      <c r="O244" s="203"/>
      <c r="P244" s="203"/>
      <c r="R244" s="203"/>
      <c r="T244" s="203"/>
      <c r="V244" s="203"/>
      <c r="X244" s="203"/>
      <c r="Z244" s="203"/>
      <c r="AB244" s="203"/>
      <c r="AD244" s="203"/>
      <c r="AJ244" s="203"/>
      <c r="AL244" s="203"/>
      <c r="AN244" s="203"/>
      <c r="AR244" s="203"/>
      <c r="AT244" s="203"/>
      <c r="AV244" s="203"/>
      <c r="AX244" s="203"/>
      <c r="BB244" s="203"/>
      <c r="BE244" s="203"/>
      <c r="BH244" s="203"/>
      <c r="BJ244" s="203"/>
      <c r="BN244" s="203"/>
      <c r="BO244" s="203"/>
    </row>
    <row r="245" spans="4:67" ht="12" customHeight="1">
      <c r="D245" s="203"/>
      <c r="F245" s="203"/>
      <c r="N245" s="203"/>
      <c r="O245" s="203"/>
      <c r="P245" s="203"/>
      <c r="R245" s="203"/>
      <c r="T245" s="203"/>
      <c r="V245" s="203"/>
      <c r="X245" s="203"/>
      <c r="Z245" s="203"/>
      <c r="AB245" s="203"/>
      <c r="AD245" s="203"/>
      <c r="AJ245" s="203"/>
      <c r="AL245" s="203"/>
      <c r="AN245" s="203"/>
      <c r="AR245" s="203"/>
      <c r="AT245" s="203"/>
      <c r="AV245" s="203"/>
      <c r="AX245" s="203"/>
      <c r="BB245" s="203"/>
      <c r="BE245" s="203"/>
      <c r="BH245" s="203"/>
      <c r="BJ245" s="203"/>
      <c r="BN245" s="203"/>
      <c r="BO245" s="203"/>
    </row>
    <row r="246" spans="4:67" ht="12" customHeight="1">
      <c r="D246" s="203"/>
      <c r="F246" s="203"/>
      <c r="N246" s="203"/>
      <c r="O246" s="203"/>
      <c r="P246" s="203"/>
      <c r="R246" s="203"/>
      <c r="T246" s="203"/>
      <c r="V246" s="203"/>
      <c r="X246" s="203"/>
      <c r="Z246" s="203"/>
      <c r="AB246" s="203"/>
      <c r="AD246" s="203"/>
      <c r="AJ246" s="203"/>
      <c r="AL246" s="203"/>
      <c r="AN246" s="203"/>
      <c r="AR246" s="203"/>
      <c r="AT246" s="203"/>
      <c r="AV246" s="203"/>
      <c r="AX246" s="203"/>
      <c r="BB246" s="203"/>
      <c r="BE246" s="203"/>
      <c r="BH246" s="203"/>
      <c r="BJ246" s="203"/>
      <c r="BN246" s="203"/>
      <c r="BO246" s="203"/>
    </row>
    <row r="247" spans="4:67" ht="12" customHeight="1">
      <c r="D247" s="203"/>
      <c r="F247" s="203"/>
      <c r="N247" s="203"/>
      <c r="O247" s="203"/>
      <c r="P247" s="203"/>
      <c r="R247" s="203"/>
      <c r="T247" s="203"/>
      <c r="V247" s="203"/>
      <c r="X247" s="203"/>
      <c r="Z247" s="203"/>
      <c r="AB247" s="203"/>
      <c r="AD247" s="203"/>
      <c r="AJ247" s="203"/>
      <c r="AL247" s="203"/>
      <c r="AN247" s="203"/>
      <c r="AR247" s="203"/>
      <c r="AT247" s="203"/>
      <c r="AV247" s="203"/>
      <c r="AX247" s="203"/>
      <c r="BB247" s="203"/>
      <c r="BE247" s="203"/>
      <c r="BH247" s="203"/>
      <c r="BJ247" s="203"/>
      <c r="BN247" s="203"/>
      <c r="BO247" s="203"/>
    </row>
    <row r="248" spans="4:67" ht="12" customHeight="1">
      <c r="D248" s="203"/>
      <c r="F248" s="203"/>
      <c r="N248" s="203"/>
      <c r="O248" s="203"/>
      <c r="P248" s="203"/>
      <c r="R248" s="203"/>
      <c r="T248" s="203"/>
      <c r="V248" s="203"/>
      <c r="X248" s="203"/>
      <c r="Z248" s="203"/>
      <c r="AB248" s="203"/>
      <c r="AD248" s="203"/>
      <c r="AJ248" s="203"/>
      <c r="AL248" s="203"/>
      <c r="AN248" s="203"/>
      <c r="AR248" s="203"/>
      <c r="AT248" s="203"/>
      <c r="AV248" s="203"/>
      <c r="AX248" s="203"/>
      <c r="BB248" s="203"/>
      <c r="BE248" s="203"/>
      <c r="BH248" s="203"/>
      <c r="BJ248" s="203"/>
      <c r="BN248" s="203"/>
      <c r="BO248" s="203"/>
    </row>
    <row r="249" spans="4:67" ht="12" customHeight="1">
      <c r="D249" s="203"/>
      <c r="F249" s="203"/>
      <c r="N249" s="203"/>
      <c r="O249" s="203"/>
      <c r="P249" s="203"/>
      <c r="R249" s="203"/>
      <c r="T249" s="203"/>
      <c r="V249" s="203"/>
      <c r="X249" s="203"/>
      <c r="Z249" s="203"/>
      <c r="AB249" s="203"/>
      <c r="AD249" s="203"/>
      <c r="AJ249" s="203"/>
      <c r="AL249" s="203"/>
      <c r="AN249" s="203"/>
      <c r="AR249" s="203"/>
      <c r="AT249" s="203"/>
      <c r="AV249" s="203"/>
      <c r="AX249" s="203"/>
      <c r="BB249" s="203"/>
      <c r="BE249" s="203"/>
      <c r="BH249" s="203"/>
      <c r="BJ249" s="203"/>
      <c r="BN249" s="203"/>
      <c r="BO249" s="203"/>
    </row>
    <row r="250" spans="4:67" ht="12" customHeight="1">
      <c r="D250" s="203"/>
      <c r="F250" s="203"/>
      <c r="N250" s="203"/>
      <c r="O250" s="203"/>
      <c r="P250" s="203"/>
      <c r="R250" s="203"/>
      <c r="T250" s="203"/>
      <c r="V250" s="203"/>
      <c r="X250" s="203"/>
      <c r="Z250" s="203"/>
      <c r="AB250" s="203"/>
      <c r="AD250" s="203"/>
      <c r="AJ250" s="203"/>
      <c r="AL250" s="203"/>
      <c r="AN250" s="203"/>
      <c r="AR250" s="203"/>
      <c r="AT250" s="203"/>
      <c r="AV250" s="203"/>
      <c r="AX250" s="203"/>
      <c r="BB250" s="203"/>
      <c r="BE250" s="203"/>
      <c r="BH250" s="203"/>
      <c r="BJ250" s="203"/>
      <c r="BN250" s="203"/>
      <c r="BO250" s="203"/>
    </row>
    <row r="251" spans="4:67" ht="12" customHeight="1">
      <c r="D251" s="203"/>
      <c r="F251" s="203"/>
      <c r="N251" s="203"/>
      <c r="O251" s="203"/>
      <c r="P251" s="203"/>
      <c r="R251" s="203"/>
      <c r="T251" s="203"/>
      <c r="V251" s="203"/>
      <c r="X251" s="203"/>
      <c r="Z251" s="203"/>
      <c r="AB251" s="203"/>
      <c r="AD251" s="203"/>
      <c r="AJ251" s="203"/>
      <c r="AL251" s="203"/>
      <c r="AN251" s="203"/>
      <c r="AR251" s="203"/>
      <c r="AT251" s="203"/>
      <c r="AV251" s="203"/>
      <c r="AX251" s="203"/>
      <c r="BB251" s="203"/>
      <c r="BE251" s="203"/>
      <c r="BH251" s="203"/>
      <c r="BJ251" s="203"/>
      <c r="BN251" s="203"/>
      <c r="BO251" s="203"/>
    </row>
    <row r="252" spans="4:67" ht="12" customHeight="1">
      <c r="D252" s="203"/>
      <c r="F252" s="203"/>
      <c r="N252" s="203"/>
      <c r="O252" s="203"/>
      <c r="P252" s="203"/>
      <c r="R252" s="203"/>
      <c r="T252" s="203"/>
      <c r="V252" s="203"/>
      <c r="X252" s="203"/>
      <c r="Z252" s="203"/>
      <c r="AB252" s="203"/>
      <c r="AD252" s="203"/>
      <c r="AJ252" s="203"/>
      <c r="AL252" s="203"/>
      <c r="AN252" s="203"/>
      <c r="AR252" s="203"/>
      <c r="AT252" s="203"/>
      <c r="AV252" s="203"/>
      <c r="AX252" s="203"/>
      <c r="BB252" s="203"/>
      <c r="BE252" s="203"/>
      <c r="BH252" s="203"/>
      <c r="BJ252" s="203"/>
      <c r="BN252" s="203"/>
      <c r="BO252" s="203"/>
    </row>
    <row r="253" spans="4:67" ht="12" customHeight="1">
      <c r="D253" s="203"/>
      <c r="F253" s="203"/>
      <c r="N253" s="203"/>
      <c r="O253" s="203"/>
      <c r="P253" s="203"/>
      <c r="R253" s="203"/>
      <c r="T253" s="203"/>
      <c r="V253" s="203"/>
      <c r="X253" s="203"/>
      <c r="Z253" s="203"/>
      <c r="AB253" s="203"/>
      <c r="AD253" s="203"/>
      <c r="AJ253" s="203"/>
      <c r="AL253" s="203"/>
      <c r="AN253" s="203"/>
      <c r="AR253" s="203"/>
      <c r="AT253" s="203"/>
      <c r="AV253" s="203"/>
      <c r="AX253" s="203"/>
      <c r="BB253" s="203"/>
      <c r="BE253" s="203"/>
      <c r="BH253" s="203"/>
      <c r="BJ253" s="203"/>
      <c r="BN253" s="203"/>
      <c r="BO253" s="203"/>
    </row>
    <row r="254" spans="4:67" ht="12" customHeight="1">
      <c r="D254" s="203"/>
      <c r="F254" s="203"/>
      <c r="N254" s="203"/>
      <c r="O254" s="203"/>
      <c r="P254" s="203"/>
      <c r="R254" s="203"/>
      <c r="T254" s="203"/>
      <c r="V254" s="203"/>
      <c r="X254" s="203"/>
      <c r="Z254" s="203"/>
      <c r="AB254" s="203"/>
      <c r="AD254" s="203"/>
      <c r="AJ254" s="203"/>
      <c r="AL254" s="203"/>
      <c r="AN254" s="203"/>
      <c r="AR254" s="203"/>
      <c r="AT254" s="203"/>
      <c r="AV254" s="203"/>
      <c r="AX254" s="203"/>
      <c r="BB254" s="203"/>
      <c r="BE254" s="203"/>
      <c r="BH254" s="203"/>
      <c r="BJ254" s="203"/>
      <c r="BN254" s="203"/>
      <c r="BO254" s="203"/>
    </row>
    <row r="255" spans="4:67" ht="12" customHeight="1">
      <c r="D255" s="203"/>
      <c r="F255" s="203"/>
      <c r="N255" s="203"/>
      <c r="O255" s="203"/>
      <c r="P255" s="203"/>
      <c r="R255" s="203"/>
      <c r="T255" s="203"/>
      <c r="V255" s="203"/>
      <c r="X255" s="203"/>
      <c r="Z255" s="203"/>
      <c r="AB255" s="203"/>
      <c r="AD255" s="203"/>
      <c r="AJ255" s="203"/>
      <c r="AL255" s="203"/>
      <c r="AN255" s="203"/>
      <c r="AR255" s="203"/>
      <c r="AT255" s="203"/>
      <c r="AV255" s="203"/>
      <c r="AX255" s="203"/>
      <c r="BB255" s="203"/>
      <c r="BE255" s="203"/>
      <c r="BH255" s="203"/>
      <c r="BJ255" s="203"/>
      <c r="BN255" s="203"/>
      <c r="BO255" s="203"/>
    </row>
    <row r="256" spans="4:67" ht="12" customHeight="1">
      <c r="D256" s="203"/>
      <c r="F256" s="203"/>
      <c r="N256" s="203"/>
      <c r="O256" s="203"/>
      <c r="P256" s="203"/>
      <c r="R256" s="203"/>
      <c r="T256" s="203"/>
      <c r="V256" s="203"/>
      <c r="X256" s="203"/>
      <c r="Z256" s="203"/>
      <c r="AB256" s="203"/>
      <c r="AD256" s="203"/>
      <c r="AJ256" s="203"/>
      <c r="AL256" s="203"/>
      <c r="AN256" s="203"/>
      <c r="AR256" s="203"/>
      <c r="AT256" s="203"/>
      <c r="AV256" s="203"/>
      <c r="AX256" s="203"/>
      <c r="BB256" s="203"/>
      <c r="BE256" s="203"/>
      <c r="BH256" s="203"/>
      <c r="BJ256" s="203"/>
      <c r="BN256" s="203"/>
      <c r="BO256" s="203"/>
    </row>
    <row r="257" spans="4:67" ht="12" customHeight="1">
      <c r="D257" s="203"/>
      <c r="F257" s="203"/>
      <c r="N257" s="203"/>
      <c r="O257" s="203"/>
      <c r="P257" s="203"/>
      <c r="R257" s="203"/>
      <c r="T257" s="203"/>
      <c r="V257" s="203"/>
      <c r="X257" s="203"/>
      <c r="Z257" s="203"/>
      <c r="AB257" s="203"/>
      <c r="AD257" s="203"/>
      <c r="AJ257" s="203"/>
      <c r="AL257" s="203"/>
      <c r="AN257" s="203"/>
      <c r="AR257" s="203"/>
      <c r="AT257" s="203"/>
      <c r="AV257" s="203"/>
      <c r="AX257" s="203"/>
      <c r="BB257" s="203"/>
      <c r="BE257" s="203"/>
      <c r="BH257" s="203"/>
      <c r="BJ257" s="203"/>
      <c r="BN257" s="203"/>
      <c r="BO257" s="203"/>
    </row>
    <row r="258" spans="4:67" ht="12" customHeight="1">
      <c r="D258" s="203"/>
      <c r="F258" s="203"/>
      <c r="N258" s="203"/>
      <c r="O258" s="203"/>
      <c r="P258" s="203"/>
      <c r="R258" s="203"/>
      <c r="T258" s="203"/>
      <c r="V258" s="203"/>
      <c r="X258" s="203"/>
      <c r="Z258" s="203"/>
      <c r="AB258" s="203"/>
      <c r="AD258" s="203"/>
      <c r="AJ258" s="203"/>
      <c r="AL258" s="203"/>
      <c r="AN258" s="203"/>
      <c r="AR258" s="203"/>
      <c r="AT258" s="203"/>
      <c r="AV258" s="203"/>
      <c r="AX258" s="203"/>
      <c r="BB258" s="203"/>
      <c r="BE258" s="203"/>
      <c r="BH258" s="203"/>
      <c r="BJ258" s="203"/>
      <c r="BN258" s="203"/>
      <c r="BO258" s="203"/>
    </row>
    <row r="259" spans="4:67" ht="12" customHeight="1">
      <c r="D259" s="203"/>
      <c r="F259" s="203"/>
      <c r="N259" s="203"/>
      <c r="O259" s="203"/>
      <c r="P259" s="203"/>
      <c r="R259" s="203"/>
      <c r="T259" s="203"/>
      <c r="V259" s="203"/>
      <c r="X259" s="203"/>
      <c r="Z259" s="203"/>
      <c r="AB259" s="203"/>
      <c r="AD259" s="203"/>
      <c r="AJ259" s="203"/>
      <c r="AL259" s="203"/>
      <c r="AN259" s="203"/>
      <c r="AR259" s="203"/>
      <c r="AT259" s="203"/>
      <c r="AV259" s="203"/>
      <c r="AX259" s="203"/>
      <c r="BB259" s="203"/>
      <c r="BE259" s="203"/>
      <c r="BH259" s="203"/>
      <c r="BJ259" s="203"/>
      <c r="BN259" s="203"/>
      <c r="BO259" s="203"/>
    </row>
    <row r="260" spans="4:67" ht="12" customHeight="1">
      <c r="D260" s="203"/>
      <c r="F260" s="203"/>
      <c r="N260" s="203"/>
      <c r="O260" s="203"/>
      <c r="P260" s="203"/>
      <c r="R260" s="203"/>
      <c r="T260" s="203"/>
      <c r="V260" s="203"/>
      <c r="X260" s="203"/>
      <c r="Z260" s="203"/>
      <c r="AB260" s="203"/>
      <c r="AD260" s="203"/>
      <c r="AJ260" s="203"/>
      <c r="AL260" s="203"/>
      <c r="AN260" s="203"/>
      <c r="AR260" s="203"/>
      <c r="AT260" s="203"/>
      <c r="AV260" s="203"/>
      <c r="AX260" s="203"/>
      <c r="BB260" s="203"/>
      <c r="BE260" s="203"/>
      <c r="BH260" s="203"/>
      <c r="BJ260" s="203"/>
      <c r="BN260" s="203"/>
      <c r="BO260" s="203"/>
    </row>
    <row r="261" spans="4:67" ht="12" customHeight="1">
      <c r="D261" s="203"/>
      <c r="F261" s="203"/>
      <c r="N261" s="203"/>
      <c r="O261" s="203"/>
      <c r="P261" s="203"/>
      <c r="R261" s="203"/>
      <c r="T261" s="203"/>
      <c r="V261" s="203"/>
      <c r="X261" s="203"/>
      <c r="Z261" s="203"/>
      <c r="AB261" s="203"/>
      <c r="AD261" s="203"/>
      <c r="AJ261" s="203"/>
      <c r="AL261" s="203"/>
      <c r="AN261" s="203"/>
      <c r="AR261" s="203"/>
      <c r="AT261" s="203"/>
      <c r="AV261" s="203"/>
      <c r="AX261" s="203"/>
      <c r="BB261" s="203"/>
      <c r="BE261" s="203"/>
      <c r="BH261" s="203"/>
      <c r="BJ261" s="203"/>
      <c r="BN261" s="203"/>
      <c r="BO261" s="203"/>
    </row>
    <row r="262" spans="4:67" ht="12" customHeight="1">
      <c r="D262" s="203"/>
      <c r="F262" s="203"/>
      <c r="N262" s="203"/>
      <c r="O262" s="203"/>
      <c r="P262" s="203"/>
      <c r="R262" s="203"/>
      <c r="T262" s="203"/>
      <c r="V262" s="203"/>
      <c r="X262" s="203"/>
      <c r="Z262" s="203"/>
      <c r="AB262" s="203"/>
      <c r="AD262" s="203"/>
      <c r="AJ262" s="203"/>
      <c r="AL262" s="203"/>
      <c r="AN262" s="203"/>
      <c r="AR262" s="203"/>
      <c r="AT262" s="203"/>
      <c r="AV262" s="203"/>
      <c r="AX262" s="203"/>
      <c r="BB262" s="203"/>
      <c r="BE262" s="203"/>
      <c r="BH262" s="203"/>
      <c r="BJ262" s="203"/>
      <c r="BN262" s="203"/>
      <c r="BO262" s="203"/>
    </row>
    <row r="263" spans="4:67" ht="12" customHeight="1">
      <c r="D263" s="203"/>
      <c r="F263" s="203"/>
      <c r="N263" s="203"/>
      <c r="O263" s="203"/>
      <c r="P263" s="203"/>
      <c r="R263" s="203"/>
      <c r="T263" s="203"/>
      <c r="V263" s="203"/>
      <c r="X263" s="203"/>
      <c r="Z263" s="203"/>
      <c r="AB263" s="203"/>
      <c r="AD263" s="203"/>
      <c r="AJ263" s="203"/>
      <c r="AL263" s="203"/>
      <c r="AN263" s="203"/>
      <c r="AR263" s="203"/>
      <c r="AT263" s="203"/>
      <c r="AV263" s="203"/>
      <c r="AX263" s="203"/>
      <c r="BB263" s="203"/>
      <c r="BE263" s="203"/>
      <c r="BH263" s="203"/>
      <c r="BJ263" s="203"/>
      <c r="BN263" s="203"/>
      <c r="BO263" s="203"/>
    </row>
    <row r="264" spans="4:67" ht="12" customHeight="1">
      <c r="D264" s="203"/>
      <c r="F264" s="203"/>
      <c r="N264" s="203"/>
      <c r="O264" s="203"/>
      <c r="P264" s="203"/>
      <c r="R264" s="203"/>
      <c r="T264" s="203"/>
      <c r="V264" s="203"/>
      <c r="X264" s="203"/>
      <c r="Z264" s="203"/>
      <c r="AB264" s="203"/>
      <c r="AD264" s="203"/>
      <c r="AJ264" s="203"/>
      <c r="AL264" s="203"/>
      <c r="AN264" s="203"/>
      <c r="AR264" s="203"/>
      <c r="AT264" s="203"/>
      <c r="AV264" s="203"/>
      <c r="AX264" s="203"/>
      <c r="BB264" s="203"/>
      <c r="BE264" s="203"/>
      <c r="BH264" s="203"/>
      <c r="BJ264" s="203"/>
      <c r="BN264" s="203"/>
      <c r="BO264" s="203"/>
    </row>
    <row r="265" spans="4:67" ht="12" customHeight="1">
      <c r="D265" s="203"/>
      <c r="F265" s="203"/>
      <c r="N265" s="203"/>
      <c r="O265" s="203"/>
      <c r="P265" s="203"/>
      <c r="R265" s="203"/>
      <c r="T265" s="203"/>
      <c r="V265" s="203"/>
      <c r="X265" s="203"/>
      <c r="Z265" s="203"/>
      <c r="AB265" s="203"/>
      <c r="AD265" s="203"/>
      <c r="AJ265" s="203"/>
      <c r="AL265" s="203"/>
      <c r="AN265" s="203"/>
      <c r="AR265" s="203"/>
      <c r="AT265" s="203"/>
      <c r="AV265" s="203"/>
      <c r="AX265" s="203"/>
      <c r="BB265" s="203"/>
      <c r="BE265" s="203"/>
      <c r="BH265" s="203"/>
      <c r="BJ265" s="203"/>
      <c r="BN265" s="203"/>
      <c r="BO265" s="203"/>
    </row>
    <row r="266" spans="4:67" ht="12" customHeight="1">
      <c r="D266" s="203"/>
      <c r="F266" s="203"/>
      <c r="N266" s="203"/>
      <c r="O266" s="203"/>
      <c r="P266" s="203"/>
      <c r="R266" s="203"/>
      <c r="T266" s="203"/>
      <c r="V266" s="203"/>
      <c r="X266" s="203"/>
      <c r="Z266" s="203"/>
      <c r="AB266" s="203"/>
      <c r="AD266" s="203"/>
      <c r="AJ266" s="203"/>
      <c r="AL266" s="203"/>
      <c r="AN266" s="203"/>
      <c r="AR266" s="203"/>
      <c r="AT266" s="203"/>
      <c r="AV266" s="203"/>
      <c r="AX266" s="203"/>
      <c r="BB266" s="203"/>
      <c r="BE266" s="203"/>
      <c r="BH266" s="203"/>
      <c r="BJ266" s="203"/>
      <c r="BN266" s="203"/>
      <c r="BO266" s="203"/>
    </row>
    <row r="267" spans="4:67" ht="12" customHeight="1">
      <c r="D267" s="203"/>
      <c r="F267" s="203"/>
      <c r="N267" s="203"/>
      <c r="O267" s="203"/>
      <c r="P267" s="203"/>
      <c r="R267" s="203"/>
      <c r="T267" s="203"/>
      <c r="V267" s="203"/>
      <c r="X267" s="203"/>
      <c r="Z267" s="203"/>
      <c r="AB267" s="203"/>
      <c r="AD267" s="203"/>
      <c r="AJ267" s="203"/>
      <c r="AL267" s="203"/>
      <c r="AN267" s="203"/>
      <c r="AR267" s="203"/>
      <c r="AT267" s="203"/>
      <c r="AV267" s="203"/>
      <c r="AX267" s="203"/>
      <c r="BB267" s="203"/>
      <c r="BE267" s="203"/>
      <c r="BH267" s="203"/>
      <c r="BJ267" s="203"/>
      <c r="BN267" s="203"/>
      <c r="BO267" s="203"/>
    </row>
    <row r="268" spans="4:67" ht="12" customHeight="1">
      <c r="D268" s="203"/>
      <c r="F268" s="203"/>
      <c r="N268" s="203"/>
      <c r="O268" s="203"/>
      <c r="P268" s="203"/>
      <c r="R268" s="203"/>
      <c r="T268" s="203"/>
      <c r="V268" s="203"/>
      <c r="X268" s="203"/>
      <c r="Z268" s="203"/>
      <c r="AB268" s="203"/>
      <c r="AD268" s="203"/>
      <c r="AJ268" s="203"/>
      <c r="AL268" s="203"/>
      <c r="AN268" s="203"/>
      <c r="AR268" s="203"/>
      <c r="AT268" s="203"/>
      <c r="AV268" s="203"/>
      <c r="AX268" s="203"/>
      <c r="BB268" s="203"/>
      <c r="BE268" s="203"/>
      <c r="BH268" s="203"/>
      <c r="BJ268" s="203"/>
      <c r="BN268" s="203"/>
      <c r="BO268" s="203"/>
    </row>
    <row r="269" spans="4:67" ht="12" customHeight="1">
      <c r="D269" s="203"/>
      <c r="F269" s="203"/>
      <c r="N269" s="203"/>
      <c r="O269" s="203"/>
      <c r="P269" s="203"/>
      <c r="R269" s="203"/>
      <c r="T269" s="203"/>
      <c r="V269" s="203"/>
      <c r="X269" s="203"/>
      <c r="Z269" s="203"/>
      <c r="AB269" s="203"/>
      <c r="AD269" s="203"/>
      <c r="AJ269" s="203"/>
      <c r="AL269" s="203"/>
      <c r="AN269" s="203"/>
      <c r="AR269" s="203"/>
      <c r="AT269" s="203"/>
      <c r="AV269" s="203"/>
      <c r="AX269" s="203"/>
      <c r="BB269" s="203"/>
      <c r="BE269" s="203"/>
      <c r="BH269" s="203"/>
      <c r="BJ269" s="203"/>
      <c r="BN269" s="203"/>
      <c r="BO269" s="203"/>
    </row>
    <row r="270" spans="4:67" ht="12" customHeight="1">
      <c r="D270" s="203"/>
      <c r="F270" s="203"/>
      <c r="N270" s="203"/>
      <c r="O270" s="203"/>
      <c r="P270" s="203"/>
      <c r="R270" s="203"/>
      <c r="T270" s="203"/>
      <c r="V270" s="203"/>
      <c r="X270" s="203"/>
      <c r="Z270" s="203"/>
      <c r="AB270" s="203"/>
      <c r="AD270" s="203"/>
      <c r="AJ270" s="203"/>
      <c r="AL270" s="203"/>
      <c r="AN270" s="203"/>
      <c r="AR270" s="203"/>
      <c r="AT270" s="203"/>
      <c r="AV270" s="203"/>
      <c r="AX270" s="203"/>
      <c r="BB270" s="203"/>
      <c r="BE270" s="203"/>
      <c r="BH270" s="203"/>
      <c r="BJ270" s="203"/>
      <c r="BN270" s="203"/>
      <c r="BO270" s="203"/>
    </row>
    <row r="271" spans="4:67" ht="12" customHeight="1">
      <c r="D271" s="203"/>
      <c r="F271" s="203"/>
      <c r="N271" s="203"/>
      <c r="O271" s="203"/>
      <c r="P271" s="203"/>
      <c r="R271" s="203"/>
      <c r="T271" s="203"/>
      <c r="V271" s="203"/>
      <c r="X271" s="203"/>
      <c r="Z271" s="203"/>
      <c r="AB271" s="203"/>
      <c r="AD271" s="203"/>
      <c r="AJ271" s="203"/>
      <c r="AL271" s="203"/>
      <c r="AN271" s="203"/>
      <c r="AR271" s="203"/>
      <c r="AT271" s="203"/>
      <c r="AV271" s="203"/>
      <c r="AX271" s="203"/>
      <c r="BB271" s="203"/>
      <c r="BE271" s="203"/>
      <c r="BH271" s="203"/>
      <c r="BJ271" s="203"/>
      <c r="BN271" s="203"/>
      <c r="BO271" s="203"/>
    </row>
    <row r="272" spans="4:67" ht="12" customHeight="1">
      <c r="D272" s="203"/>
      <c r="F272" s="203"/>
      <c r="N272" s="203"/>
      <c r="O272" s="203"/>
      <c r="P272" s="203"/>
      <c r="R272" s="203"/>
      <c r="T272" s="203"/>
      <c r="V272" s="203"/>
      <c r="X272" s="203"/>
      <c r="Z272" s="203"/>
      <c r="AB272" s="203"/>
      <c r="AD272" s="203"/>
      <c r="AJ272" s="203"/>
      <c r="AL272" s="203"/>
      <c r="AN272" s="203"/>
      <c r="AR272" s="203"/>
      <c r="AT272" s="203"/>
      <c r="AV272" s="203"/>
      <c r="AX272" s="203"/>
      <c r="BB272" s="203"/>
      <c r="BE272" s="203"/>
      <c r="BH272" s="203"/>
      <c r="BJ272" s="203"/>
      <c r="BN272" s="203"/>
      <c r="BO272" s="203"/>
    </row>
    <row r="273" spans="4:67" ht="12" customHeight="1">
      <c r="D273" s="203"/>
      <c r="F273" s="203"/>
      <c r="N273" s="203"/>
      <c r="O273" s="203"/>
      <c r="P273" s="203"/>
      <c r="R273" s="203"/>
      <c r="T273" s="203"/>
      <c r="V273" s="203"/>
      <c r="X273" s="203"/>
      <c r="Z273" s="203"/>
      <c r="AB273" s="203"/>
      <c r="AD273" s="203"/>
      <c r="AJ273" s="203"/>
      <c r="AL273" s="203"/>
      <c r="AN273" s="203"/>
      <c r="AR273" s="203"/>
      <c r="AT273" s="203"/>
      <c r="AV273" s="203"/>
      <c r="AX273" s="203"/>
      <c r="BB273" s="203"/>
      <c r="BE273" s="203"/>
      <c r="BH273" s="203"/>
      <c r="BJ273" s="203"/>
      <c r="BN273" s="203"/>
      <c r="BO273" s="203"/>
    </row>
    <row r="274" spans="4:67" ht="12" customHeight="1">
      <c r="D274" s="203"/>
      <c r="F274" s="203"/>
      <c r="N274" s="203"/>
      <c r="O274" s="203"/>
      <c r="P274" s="203"/>
      <c r="R274" s="203"/>
      <c r="T274" s="203"/>
      <c r="V274" s="203"/>
      <c r="X274" s="203"/>
      <c r="Z274" s="203"/>
      <c r="AB274" s="203"/>
      <c r="AD274" s="203"/>
      <c r="AJ274" s="203"/>
      <c r="AL274" s="203"/>
      <c r="AN274" s="203"/>
      <c r="AR274" s="203"/>
      <c r="AT274" s="203"/>
      <c r="AV274" s="203"/>
      <c r="AX274" s="203"/>
      <c r="BB274" s="203"/>
      <c r="BE274" s="203"/>
      <c r="BH274" s="203"/>
      <c r="BJ274" s="203"/>
      <c r="BN274" s="203"/>
      <c r="BO274" s="203"/>
    </row>
    <row r="275" spans="4:67" ht="12" customHeight="1">
      <c r="D275" s="203"/>
      <c r="F275" s="203"/>
      <c r="N275" s="203"/>
      <c r="O275" s="203"/>
      <c r="P275" s="203"/>
      <c r="R275" s="203"/>
      <c r="T275" s="203"/>
      <c r="V275" s="203"/>
      <c r="X275" s="203"/>
      <c r="Z275" s="203"/>
      <c r="AB275" s="203"/>
      <c r="AD275" s="203"/>
      <c r="AJ275" s="203"/>
      <c r="AL275" s="203"/>
      <c r="AN275" s="203"/>
      <c r="AR275" s="203"/>
      <c r="AT275" s="203"/>
      <c r="AV275" s="203"/>
      <c r="AX275" s="203"/>
      <c r="BB275" s="203"/>
      <c r="BE275" s="203"/>
      <c r="BH275" s="203"/>
      <c r="BJ275" s="203"/>
      <c r="BN275" s="203"/>
      <c r="BO275" s="203"/>
    </row>
    <row r="276" spans="4:67" ht="12" customHeight="1">
      <c r="D276" s="203"/>
      <c r="F276" s="203"/>
      <c r="N276" s="203"/>
      <c r="O276" s="203"/>
      <c r="P276" s="203"/>
      <c r="R276" s="203"/>
      <c r="T276" s="203"/>
      <c r="V276" s="203"/>
      <c r="X276" s="203"/>
      <c r="Z276" s="203"/>
      <c r="AB276" s="203"/>
      <c r="AD276" s="203"/>
      <c r="AJ276" s="203"/>
      <c r="AL276" s="203"/>
      <c r="AN276" s="203"/>
      <c r="AR276" s="203"/>
      <c r="AT276" s="203"/>
      <c r="AV276" s="203"/>
      <c r="AX276" s="203"/>
      <c r="BB276" s="203"/>
      <c r="BE276" s="203"/>
      <c r="BH276" s="203"/>
      <c r="BJ276" s="203"/>
      <c r="BN276" s="203"/>
      <c r="BO276" s="203"/>
    </row>
    <row r="277" spans="4:67" ht="12" customHeight="1">
      <c r="D277" s="203"/>
      <c r="F277" s="203"/>
      <c r="N277" s="203"/>
      <c r="O277" s="203"/>
      <c r="P277" s="203"/>
      <c r="R277" s="203"/>
      <c r="T277" s="203"/>
      <c r="V277" s="203"/>
      <c r="X277" s="203"/>
      <c r="Z277" s="203"/>
      <c r="AB277" s="203"/>
      <c r="AD277" s="203"/>
      <c r="AJ277" s="203"/>
      <c r="AL277" s="203"/>
      <c r="AN277" s="203"/>
      <c r="AR277" s="203"/>
      <c r="AT277" s="203"/>
      <c r="AV277" s="203"/>
      <c r="AX277" s="203"/>
      <c r="BB277" s="203"/>
      <c r="BE277" s="203"/>
      <c r="BH277" s="203"/>
      <c r="BJ277" s="203"/>
      <c r="BN277" s="203"/>
      <c r="BO277" s="203"/>
    </row>
    <row r="278" spans="4:67" ht="12" customHeight="1">
      <c r="D278" s="203"/>
      <c r="F278" s="203"/>
      <c r="N278" s="203"/>
      <c r="O278" s="203"/>
      <c r="P278" s="203"/>
      <c r="R278" s="203"/>
      <c r="T278" s="203"/>
      <c r="V278" s="203"/>
      <c r="X278" s="203"/>
      <c r="Z278" s="203"/>
      <c r="AB278" s="203"/>
      <c r="AD278" s="203"/>
      <c r="AJ278" s="203"/>
      <c r="AL278" s="203"/>
      <c r="AN278" s="203"/>
      <c r="AR278" s="203"/>
      <c r="AT278" s="203"/>
      <c r="AV278" s="203"/>
      <c r="AX278" s="203"/>
      <c r="BB278" s="203"/>
      <c r="BE278" s="203"/>
      <c r="BH278" s="203"/>
      <c r="BJ278" s="203"/>
      <c r="BN278" s="203"/>
      <c r="BO278" s="203"/>
    </row>
    <row r="279" spans="4:67" ht="12" customHeight="1">
      <c r="D279" s="203"/>
      <c r="F279" s="203"/>
      <c r="N279" s="203"/>
      <c r="O279" s="203"/>
      <c r="P279" s="203"/>
      <c r="R279" s="203"/>
      <c r="T279" s="203"/>
      <c r="V279" s="203"/>
      <c r="X279" s="203"/>
      <c r="Z279" s="203"/>
      <c r="AB279" s="203"/>
      <c r="AD279" s="203"/>
      <c r="AJ279" s="203"/>
      <c r="AL279" s="203"/>
      <c r="AN279" s="203"/>
      <c r="AR279" s="203"/>
      <c r="AT279" s="203"/>
      <c r="AV279" s="203"/>
      <c r="AX279" s="203"/>
      <c r="BB279" s="203"/>
      <c r="BE279" s="203"/>
      <c r="BH279" s="203"/>
      <c r="BJ279" s="203"/>
      <c r="BN279" s="203"/>
      <c r="BO279" s="203"/>
    </row>
    <row r="280" spans="4:67" ht="12" customHeight="1">
      <c r="D280" s="203"/>
      <c r="F280" s="203"/>
      <c r="N280" s="203"/>
      <c r="O280" s="203"/>
      <c r="P280" s="203"/>
      <c r="R280" s="203"/>
      <c r="T280" s="203"/>
      <c r="V280" s="203"/>
      <c r="X280" s="203"/>
      <c r="Z280" s="203"/>
      <c r="AB280" s="203"/>
      <c r="AD280" s="203"/>
      <c r="AJ280" s="203"/>
      <c r="AL280" s="203"/>
      <c r="AN280" s="203"/>
      <c r="AR280" s="203"/>
      <c r="AT280" s="203"/>
      <c r="AV280" s="203"/>
      <c r="AX280" s="203"/>
      <c r="BB280" s="203"/>
      <c r="BE280" s="203"/>
      <c r="BH280" s="203"/>
      <c r="BJ280" s="203"/>
      <c r="BN280" s="203"/>
      <c r="BO280" s="203"/>
    </row>
    <row r="281" spans="4:67" ht="12" customHeight="1">
      <c r="D281" s="203"/>
      <c r="F281" s="203"/>
      <c r="N281" s="203"/>
      <c r="O281" s="203"/>
      <c r="P281" s="203"/>
      <c r="R281" s="203"/>
      <c r="T281" s="203"/>
      <c r="V281" s="203"/>
      <c r="X281" s="203"/>
      <c r="Z281" s="203"/>
      <c r="AB281" s="203"/>
      <c r="AD281" s="203"/>
      <c r="AJ281" s="203"/>
      <c r="AL281" s="203"/>
      <c r="AN281" s="203"/>
      <c r="AR281" s="203"/>
      <c r="AT281" s="203"/>
      <c r="AV281" s="203"/>
      <c r="AX281" s="203"/>
      <c r="BB281" s="203"/>
      <c r="BE281" s="203"/>
      <c r="BH281" s="203"/>
      <c r="BJ281" s="203"/>
      <c r="BN281" s="203"/>
      <c r="BO281" s="203"/>
    </row>
    <row r="282" spans="4:67" ht="12" customHeight="1">
      <c r="D282" s="203"/>
      <c r="F282" s="203"/>
      <c r="N282" s="203"/>
      <c r="O282" s="203"/>
      <c r="P282" s="203"/>
      <c r="R282" s="203"/>
      <c r="T282" s="203"/>
      <c r="V282" s="203"/>
      <c r="X282" s="203"/>
      <c r="Z282" s="203"/>
      <c r="AB282" s="203"/>
      <c r="AD282" s="203"/>
      <c r="AJ282" s="203"/>
      <c r="AL282" s="203"/>
      <c r="AN282" s="203"/>
      <c r="AR282" s="203"/>
      <c r="AT282" s="203"/>
      <c r="AV282" s="203"/>
      <c r="AX282" s="203"/>
      <c r="BB282" s="203"/>
      <c r="BE282" s="203"/>
      <c r="BH282" s="203"/>
      <c r="BJ282" s="203"/>
      <c r="BN282" s="203"/>
      <c r="BO282" s="203"/>
    </row>
    <row r="283" spans="4:67" ht="12" customHeight="1">
      <c r="D283" s="203"/>
      <c r="F283" s="203"/>
      <c r="N283" s="203"/>
      <c r="O283" s="203"/>
      <c r="P283" s="203"/>
      <c r="R283" s="203"/>
      <c r="T283" s="203"/>
      <c r="V283" s="203"/>
      <c r="X283" s="203"/>
      <c r="Z283" s="203"/>
      <c r="AB283" s="203"/>
      <c r="AD283" s="203"/>
      <c r="AJ283" s="203"/>
      <c r="AL283" s="203"/>
      <c r="AN283" s="203"/>
      <c r="AR283" s="203"/>
      <c r="AT283" s="203"/>
      <c r="AV283" s="203"/>
      <c r="AX283" s="203"/>
      <c r="BB283" s="203"/>
      <c r="BE283" s="203"/>
      <c r="BH283" s="203"/>
      <c r="BJ283" s="203"/>
      <c r="BN283" s="203"/>
      <c r="BO283" s="203"/>
    </row>
    <row r="284" spans="4:67" ht="12" customHeight="1">
      <c r="D284" s="203"/>
      <c r="F284" s="203"/>
      <c r="N284" s="203"/>
      <c r="O284" s="203"/>
      <c r="P284" s="203"/>
      <c r="R284" s="203"/>
      <c r="T284" s="203"/>
      <c r="V284" s="203"/>
      <c r="X284" s="203"/>
      <c r="Z284" s="203"/>
      <c r="AB284" s="203"/>
      <c r="AD284" s="203"/>
      <c r="AJ284" s="203"/>
      <c r="AL284" s="203"/>
      <c r="AN284" s="203"/>
      <c r="AR284" s="203"/>
      <c r="AT284" s="203"/>
      <c r="AV284" s="203"/>
      <c r="AX284" s="203"/>
      <c r="BB284" s="203"/>
      <c r="BE284" s="203"/>
      <c r="BH284" s="203"/>
      <c r="BJ284" s="203"/>
      <c r="BN284" s="203"/>
      <c r="BO284" s="203"/>
    </row>
    <row r="285" spans="4:67" ht="12" customHeight="1">
      <c r="D285" s="203"/>
      <c r="F285" s="203"/>
      <c r="N285" s="203"/>
      <c r="O285" s="203"/>
      <c r="P285" s="203"/>
      <c r="R285" s="203"/>
      <c r="T285" s="203"/>
      <c r="V285" s="203"/>
      <c r="X285" s="203"/>
      <c r="Z285" s="203"/>
      <c r="AB285" s="203"/>
      <c r="AD285" s="203"/>
      <c r="AJ285" s="203"/>
      <c r="AL285" s="203"/>
      <c r="AN285" s="203"/>
      <c r="AR285" s="203"/>
      <c r="AT285" s="203"/>
      <c r="AV285" s="203"/>
      <c r="AX285" s="203"/>
      <c r="BB285" s="203"/>
      <c r="BE285" s="203"/>
      <c r="BH285" s="203"/>
      <c r="BJ285" s="203"/>
      <c r="BN285" s="203"/>
      <c r="BO285" s="203"/>
    </row>
    <row r="286" spans="4:67" ht="12" customHeight="1">
      <c r="D286" s="203"/>
      <c r="F286" s="203"/>
      <c r="N286" s="203"/>
      <c r="O286" s="203"/>
      <c r="P286" s="203"/>
      <c r="R286" s="203"/>
      <c r="T286" s="203"/>
      <c r="V286" s="203"/>
      <c r="X286" s="203"/>
      <c r="Z286" s="203"/>
      <c r="AB286" s="203"/>
      <c r="AD286" s="203"/>
      <c r="AJ286" s="203"/>
      <c r="AL286" s="203"/>
      <c r="AN286" s="203"/>
      <c r="AR286" s="203"/>
      <c r="AT286" s="203"/>
      <c r="AV286" s="203"/>
      <c r="AX286" s="203"/>
      <c r="BB286" s="203"/>
      <c r="BE286" s="203"/>
      <c r="BH286" s="203"/>
      <c r="BJ286" s="203"/>
      <c r="BN286" s="203"/>
      <c r="BO286" s="203"/>
    </row>
    <row r="287" spans="4:67" ht="12" customHeight="1">
      <c r="D287" s="203"/>
      <c r="F287" s="203"/>
      <c r="N287" s="203"/>
      <c r="O287" s="203"/>
      <c r="P287" s="203"/>
      <c r="R287" s="203"/>
      <c r="T287" s="203"/>
      <c r="V287" s="203"/>
      <c r="X287" s="203"/>
      <c r="Z287" s="203"/>
      <c r="AB287" s="203"/>
      <c r="AD287" s="203"/>
      <c r="AJ287" s="203"/>
      <c r="AL287" s="203"/>
      <c r="AN287" s="203"/>
      <c r="AR287" s="203"/>
      <c r="AT287" s="203"/>
      <c r="AV287" s="203"/>
      <c r="AX287" s="203"/>
      <c r="BB287" s="203"/>
      <c r="BE287" s="203"/>
      <c r="BH287" s="203"/>
      <c r="BJ287" s="203"/>
      <c r="BN287" s="203"/>
      <c r="BO287" s="203"/>
    </row>
    <row r="288" spans="4:67" ht="12" customHeight="1">
      <c r="D288" s="203"/>
      <c r="F288" s="203"/>
      <c r="N288" s="203"/>
      <c r="O288" s="203"/>
      <c r="P288" s="203"/>
      <c r="R288" s="203"/>
      <c r="T288" s="203"/>
      <c r="V288" s="203"/>
      <c r="X288" s="203"/>
      <c r="Z288" s="203"/>
      <c r="AB288" s="203"/>
      <c r="AD288" s="203"/>
      <c r="AJ288" s="203"/>
      <c r="AL288" s="203"/>
      <c r="AN288" s="203"/>
      <c r="AR288" s="203"/>
      <c r="AT288" s="203"/>
      <c r="AV288" s="203"/>
      <c r="AX288" s="203"/>
      <c r="BB288" s="203"/>
      <c r="BE288" s="203"/>
      <c r="BH288" s="203"/>
      <c r="BJ288" s="203"/>
      <c r="BN288" s="203"/>
      <c r="BO288" s="203"/>
    </row>
    <row r="289" spans="4:67" ht="12" customHeight="1">
      <c r="D289" s="203"/>
      <c r="F289" s="203"/>
      <c r="N289" s="203"/>
      <c r="O289" s="203"/>
      <c r="P289" s="203"/>
      <c r="R289" s="203"/>
      <c r="T289" s="203"/>
      <c r="V289" s="203"/>
      <c r="X289" s="203"/>
      <c r="Z289" s="203"/>
      <c r="AB289" s="203"/>
      <c r="AD289" s="203"/>
      <c r="AJ289" s="203"/>
      <c r="AL289" s="203"/>
      <c r="AN289" s="203"/>
      <c r="AR289" s="203"/>
      <c r="AT289" s="203"/>
      <c r="AV289" s="203"/>
      <c r="AX289" s="203"/>
      <c r="BB289" s="203"/>
      <c r="BE289" s="203"/>
      <c r="BH289" s="203"/>
      <c r="BJ289" s="203"/>
      <c r="BN289" s="203"/>
      <c r="BO289" s="203"/>
    </row>
    <row r="290" spans="4:67" ht="12" customHeight="1">
      <c r="D290" s="203"/>
      <c r="F290" s="203"/>
      <c r="N290" s="203"/>
      <c r="O290" s="203"/>
      <c r="P290" s="203"/>
      <c r="R290" s="203"/>
      <c r="T290" s="203"/>
      <c r="V290" s="203"/>
      <c r="X290" s="203"/>
      <c r="Z290" s="203"/>
      <c r="AB290" s="203"/>
      <c r="AD290" s="203"/>
      <c r="AJ290" s="203"/>
      <c r="AL290" s="203"/>
      <c r="AN290" s="203"/>
      <c r="AR290" s="203"/>
      <c r="AT290" s="203"/>
      <c r="AV290" s="203"/>
      <c r="AX290" s="203"/>
      <c r="BB290" s="203"/>
      <c r="BE290" s="203"/>
      <c r="BH290" s="203"/>
      <c r="BJ290" s="203"/>
      <c r="BN290" s="203"/>
      <c r="BO290" s="203"/>
    </row>
    <row r="291" spans="4:67" ht="12" customHeight="1">
      <c r="D291" s="203"/>
      <c r="F291" s="203"/>
      <c r="N291" s="203"/>
      <c r="O291" s="203"/>
      <c r="P291" s="203"/>
      <c r="R291" s="203"/>
      <c r="T291" s="203"/>
      <c r="V291" s="203"/>
      <c r="X291" s="203"/>
      <c r="Z291" s="203"/>
      <c r="AB291" s="203"/>
      <c r="AD291" s="203"/>
      <c r="AJ291" s="203"/>
      <c r="AL291" s="203"/>
      <c r="AN291" s="203"/>
      <c r="AR291" s="203"/>
      <c r="AT291" s="203"/>
      <c r="AV291" s="203"/>
      <c r="AX291" s="203"/>
      <c r="BB291" s="203"/>
      <c r="BE291" s="203"/>
      <c r="BH291" s="203"/>
      <c r="BJ291" s="203"/>
      <c r="BN291" s="203"/>
      <c r="BO291" s="203"/>
    </row>
    <row r="292" spans="4:67" ht="12" customHeight="1">
      <c r="D292" s="203"/>
      <c r="F292" s="203"/>
      <c r="N292" s="203"/>
      <c r="O292" s="203"/>
      <c r="P292" s="203"/>
      <c r="R292" s="203"/>
      <c r="T292" s="203"/>
      <c r="V292" s="203"/>
      <c r="X292" s="203"/>
      <c r="Z292" s="203"/>
      <c r="AB292" s="203"/>
      <c r="AD292" s="203"/>
      <c r="AJ292" s="203"/>
      <c r="AL292" s="203"/>
      <c r="AN292" s="203"/>
      <c r="AR292" s="203"/>
      <c r="AT292" s="203"/>
      <c r="AV292" s="203"/>
      <c r="AX292" s="203"/>
      <c r="BB292" s="203"/>
      <c r="BE292" s="203"/>
      <c r="BH292" s="203"/>
      <c r="BJ292" s="203"/>
      <c r="BN292" s="203"/>
      <c r="BO292" s="203"/>
    </row>
    <row r="293" spans="4:67" ht="12" customHeight="1">
      <c r="D293" s="203"/>
      <c r="F293" s="203"/>
      <c r="N293" s="203"/>
      <c r="O293" s="203"/>
      <c r="P293" s="203"/>
      <c r="R293" s="203"/>
      <c r="T293" s="203"/>
      <c r="V293" s="203"/>
      <c r="X293" s="203"/>
      <c r="Z293" s="203"/>
      <c r="AB293" s="203"/>
      <c r="AD293" s="203"/>
      <c r="AJ293" s="203"/>
      <c r="AL293" s="203"/>
      <c r="AN293" s="203"/>
      <c r="AR293" s="203"/>
      <c r="AT293" s="203"/>
      <c r="AV293" s="203"/>
      <c r="AX293" s="203"/>
      <c r="BB293" s="203"/>
      <c r="BE293" s="203"/>
      <c r="BH293" s="203"/>
      <c r="BJ293" s="203"/>
      <c r="BN293" s="203"/>
      <c r="BO293" s="203"/>
    </row>
    <row r="294" spans="4:67" ht="12" customHeight="1">
      <c r="D294" s="203"/>
      <c r="F294" s="203"/>
      <c r="N294" s="203"/>
      <c r="O294" s="203"/>
      <c r="P294" s="203"/>
      <c r="R294" s="203"/>
      <c r="T294" s="203"/>
      <c r="V294" s="203"/>
      <c r="X294" s="203"/>
      <c r="Z294" s="203"/>
      <c r="AB294" s="203"/>
      <c r="AD294" s="203"/>
      <c r="AJ294" s="203"/>
      <c r="AL294" s="203"/>
      <c r="AN294" s="203"/>
      <c r="AR294" s="203"/>
      <c r="AT294" s="203"/>
      <c r="AV294" s="203"/>
      <c r="AX294" s="203"/>
      <c r="BB294" s="203"/>
      <c r="BE294" s="203"/>
      <c r="BH294" s="203"/>
      <c r="BJ294" s="203"/>
      <c r="BN294" s="203"/>
      <c r="BO294" s="203"/>
    </row>
    <row r="295" spans="4:67" ht="12" customHeight="1">
      <c r="D295" s="203"/>
      <c r="F295" s="203"/>
      <c r="N295" s="203"/>
      <c r="O295" s="203"/>
      <c r="P295" s="203"/>
      <c r="R295" s="203"/>
      <c r="T295" s="203"/>
      <c r="V295" s="203"/>
      <c r="X295" s="203"/>
      <c r="Z295" s="203"/>
      <c r="AB295" s="203"/>
      <c r="AD295" s="203"/>
      <c r="AJ295" s="203"/>
      <c r="AL295" s="203"/>
      <c r="AN295" s="203"/>
      <c r="AR295" s="203"/>
      <c r="AT295" s="203"/>
      <c r="AV295" s="203"/>
      <c r="AX295" s="203"/>
      <c r="BB295" s="203"/>
      <c r="BE295" s="203"/>
      <c r="BH295" s="203"/>
      <c r="BJ295" s="203"/>
      <c r="BN295" s="203"/>
      <c r="BO295" s="203"/>
    </row>
    <row r="296" spans="4:67" ht="12" customHeight="1">
      <c r="D296" s="203"/>
      <c r="F296" s="203"/>
      <c r="N296" s="203"/>
      <c r="O296" s="203"/>
      <c r="P296" s="203"/>
      <c r="R296" s="203"/>
      <c r="T296" s="203"/>
      <c r="V296" s="203"/>
      <c r="X296" s="203"/>
      <c r="Z296" s="203"/>
      <c r="AB296" s="203"/>
      <c r="AD296" s="203"/>
      <c r="AJ296" s="203"/>
      <c r="AL296" s="203"/>
      <c r="AN296" s="203"/>
      <c r="AR296" s="203"/>
      <c r="AT296" s="203"/>
      <c r="AV296" s="203"/>
      <c r="AX296" s="203"/>
      <c r="BB296" s="203"/>
      <c r="BE296" s="203"/>
      <c r="BH296" s="203"/>
      <c r="BJ296" s="203"/>
      <c r="BN296" s="203"/>
      <c r="BO296" s="203"/>
    </row>
    <row r="297" spans="4:67" ht="12" customHeight="1">
      <c r="D297" s="203"/>
      <c r="F297" s="203"/>
      <c r="N297" s="203"/>
      <c r="O297" s="203"/>
      <c r="P297" s="203"/>
      <c r="R297" s="203"/>
      <c r="T297" s="203"/>
      <c r="V297" s="203"/>
      <c r="X297" s="203"/>
      <c r="Z297" s="203"/>
      <c r="AB297" s="203"/>
      <c r="AD297" s="203"/>
      <c r="AJ297" s="203"/>
      <c r="AL297" s="203"/>
      <c r="AN297" s="203"/>
      <c r="AR297" s="203"/>
      <c r="AT297" s="203"/>
      <c r="AV297" s="203"/>
      <c r="AX297" s="203"/>
      <c r="BB297" s="203"/>
      <c r="BE297" s="203"/>
      <c r="BH297" s="203"/>
      <c r="BJ297" s="203"/>
      <c r="BN297" s="203"/>
      <c r="BO297" s="203"/>
    </row>
    <row r="298" spans="4:67" ht="12" customHeight="1">
      <c r="D298" s="203"/>
      <c r="F298" s="203"/>
      <c r="N298" s="203"/>
      <c r="O298" s="203"/>
      <c r="P298" s="203"/>
      <c r="R298" s="203"/>
      <c r="T298" s="203"/>
      <c r="V298" s="203"/>
      <c r="X298" s="203"/>
      <c r="Z298" s="203"/>
      <c r="AB298" s="203"/>
      <c r="AD298" s="203"/>
      <c r="AJ298" s="203"/>
      <c r="AL298" s="203"/>
      <c r="AN298" s="203"/>
      <c r="AR298" s="203"/>
      <c r="AT298" s="203"/>
      <c r="AV298" s="203"/>
      <c r="AX298" s="203"/>
      <c r="BB298" s="203"/>
      <c r="BE298" s="203"/>
      <c r="BH298" s="203"/>
      <c r="BJ298" s="203"/>
    </row>
    <row r="299" spans="4:67" ht="12" customHeight="1">
      <c r="D299" s="203"/>
      <c r="F299" s="203"/>
      <c r="N299" s="203"/>
      <c r="O299" s="203"/>
      <c r="P299" s="203"/>
      <c r="R299" s="203"/>
      <c r="T299" s="203"/>
      <c r="V299" s="203"/>
      <c r="X299" s="203"/>
      <c r="Z299" s="203"/>
      <c r="AB299" s="203"/>
      <c r="AD299" s="203"/>
      <c r="AJ299" s="203"/>
      <c r="AL299" s="203"/>
      <c r="AN299" s="203"/>
      <c r="AR299" s="203"/>
      <c r="AT299" s="203"/>
      <c r="AV299" s="203"/>
      <c r="AX299" s="203"/>
      <c r="BB299" s="203"/>
      <c r="BE299" s="203"/>
      <c r="BH299" s="203"/>
      <c r="BJ299" s="203"/>
    </row>
  </sheetData>
  <mergeCells count="33">
    <mergeCell ref="BA2:BB2"/>
    <mergeCell ref="C2:D2"/>
    <mergeCell ref="F2:I2"/>
    <mergeCell ref="K2:L2"/>
    <mergeCell ref="M2:X2"/>
    <mergeCell ref="Y2:AB2"/>
    <mergeCell ref="AO2:AR2"/>
    <mergeCell ref="AC3:AD3"/>
    <mergeCell ref="AK3:AL3"/>
    <mergeCell ref="AM3:AN3"/>
    <mergeCell ref="G3:I3"/>
    <mergeCell ref="M3:N3"/>
    <mergeCell ref="O3:P3"/>
    <mergeCell ref="Q3:R3"/>
    <mergeCell ref="S3:T3"/>
    <mergeCell ref="U3:V3"/>
    <mergeCell ref="W3:X3"/>
    <mergeCell ref="BH2:BK2"/>
    <mergeCell ref="K3:L3"/>
    <mergeCell ref="AE3:AF3"/>
    <mergeCell ref="AO3:AP3"/>
    <mergeCell ref="AQ3:AR3"/>
    <mergeCell ref="BA3:BB3"/>
    <mergeCell ref="BC3:BD3"/>
    <mergeCell ref="AS2:AT2"/>
    <mergeCell ref="AV2:AW2"/>
    <mergeCell ref="AY2:AZ2"/>
    <mergeCell ref="BC2:BD2"/>
    <mergeCell ref="BE2:BF2"/>
    <mergeCell ref="AC2:AF2"/>
    <mergeCell ref="AG2:AH2"/>
    <mergeCell ref="AI2:AJ2"/>
    <mergeCell ref="AK2:AN2"/>
  </mergeCells>
  <phoneticPr fontId="27"/>
  <pageMargins left="0.39370078740157483" right="0.39370078740157483" top="0.39370078740157483" bottom="0.39370078740157483" header="0" footer="0"/>
  <pageSetup paperSize="8" scale="91" orientation="landscape" blackAndWhite="1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セル調整2">
                <anchor>
                  <from>
                    <xdr:col>11</xdr:col>
                    <xdr:colOff>0</xdr:colOff>
                    <xdr:row>0</xdr:row>
                    <xdr:rowOff>31750</xdr:rowOff>
                  </from>
                  <to>
                    <xdr:col>12</xdr:col>
                    <xdr:colOff>374650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週間スタッフ転送">
                <anchor>
                  <from>
                    <xdr:col>9</xdr:col>
                    <xdr:colOff>527050</xdr:colOff>
                    <xdr:row>0</xdr:row>
                    <xdr:rowOff>69850</xdr:rowOff>
                  </from>
                  <to>
                    <xdr:col>10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N117"/>
  <sheetViews>
    <sheetView workbookViewId="0">
      <selection activeCell="L19" sqref="L19"/>
    </sheetView>
  </sheetViews>
  <sheetFormatPr defaultRowHeight="13"/>
  <cols>
    <col min="1" max="1" width="3.453125" customWidth="1"/>
    <col min="2" max="2" width="2.453125" customWidth="1"/>
    <col min="12" max="12" width="11.453125" customWidth="1"/>
  </cols>
  <sheetData>
    <row r="1" spans="1:14" ht="21">
      <c r="A1" s="76"/>
      <c r="B1" s="76"/>
      <c r="C1" s="29">
        <f>月間設定!C1</f>
        <v>2026</v>
      </c>
      <c r="D1" s="76" t="s">
        <v>0</v>
      </c>
      <c r="E1" s="29">
        <f>月間設定!E1</f>
        <v>6</v>
      </c>
      <c r="F1" s="76" t="s">
        <v>1</v>
      </c>
      <c r="G1" s="76"/>
      <c r="H1" s="76" t="s">
        <v>17</v>
      </c>
      <c r="I1" s="77">
        <f>月間設定!I1</f>
        <v>8</v>
      </c>
      <c r="J1" s="76" t="s">
        <v>18</v>
      </c>
      <c r="K1" s="78">
        <f>IF(AND(E1=2,MOD(C1,4)&lt;&gt;0),28,IF(AND(E1=2,MOD(C1,4)=0),29,IF(OR(E1=4,E1=6,E1=9,E1=11),30,31)))</f>
        <v>30</v>
      </c>
      <c r="L1" s="97"/>
      <c r="M1" s="97"/>
      <c r="N1" s="58"/>
    </row>
    <row r="2" spans="1:14" ht="1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288" t="str">
        <f>一覧!$B27</f>
        <v>小池　一暢</v>
      </c>
      <c r="N2" s="58"/>
    </row>
    <row r="3" spans="1:14" ht="14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288" t="str">
        <f>一覧!$B29</f>
        <v>鈴木　直人</v>
      </c>
      <c r="M3" s="288"/>
      <c r="N3" s="58"/>
    </row>
    <row r="4" spans="1:14" ht="14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288" t="str">
        <f>一覧!$B33</f>
        <v>森本　泰輔</v>
      </c>
      <c r="N4" s="58"/>
    </row>
    <row r="5" spans="1:14" ht="14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288" t="str">
        <f>一覧!$B31</f>
        <v>三村　将之</v>
      </c>
      <c r="N5" s="58"/>
    </row>
    <row r="6" spans="1:14" ht="14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288" t="str">
        <f>一覧!$B35</f>
        <v>坂口　裕一</v>
      </c>
      <c r="N6" s="58"/>
    </row>
    <row r="7" spans="1:14" ht="14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288" t="str">
        <f>一覧!$B37</f>
        <v>湯川　洋輔</v>
      </c>
      <c r="N7" s="288"/>
    </row>
    <row r="8" spans="1:14" ht="14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288" t="str">
        <f>一覧!$B39</f>
        <v>窪内　誠</v>
      </c>
    </row>
    <row r="9" spans="1:14" ht="14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288" t="str">
        <f>一覧!$B41</f>
        <v>河戸　将克</v>
      </c>
      <c r="N9" s="288"/>
    </row>
    <row r="10" spans="1:14" ht="14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288" t="str">
        <f>一覧!$B43</f>
        <v>沖田　一剛</v>
      </c>
    </row>
    <row r="11" spans="1:14" ht="14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288" t="str">
        <f>一覧!$B45</f>
        <v>藤井　義行</v>
      </c>
      <c r="N11" s="288"/>
    </row>
    <row r="12" spans="1:14" ht="14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288" t="str">
        <f>一覧!$B47</f>
        <v>菊地　健</v>
      </c>
    </row>
    <row r="13" spans="1:14" ht="14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288" t="str">
        <f>一覧!$B49</f>
        <v>浅地　裕夫</v>
      </c>
      <c r="N13" s="288"/>
    </row>
    <row r="14" spans="1:14" ht="14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288" t="str">
        <f>一覧!$B51</f>
        <v>高田　裕都</v>
      </c>
    </row>
    <row r="15" spans="1:14" ht="14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288" t="str">
        <f>一覧!$B93</f>
        <v>谷口　英雄</v>
      </c>
      <c r="N15" s="288"/>
    </row>
    <row r="16" spans="1:14" ht="14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288" t="str">
        <f>一覧!$B53</f>
        <v>窪田　和弘</v>
      </c>
    </row>
    <row r="17" spans="1:12" ht="14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288" t="str">
        <f>一覧!$B55</f>
        <v>山岡　宗馬</v>
      </c>
    </row>
    <row r="18" spans="1:12" ht="14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288" t="str">
        <f>一覧!$B57</f>
        <v>加藤　裕視</v>
      </c>
    </row>
    <row r="19" spans="1:12" ht="14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288" t="str">
        <f>一覧!$B59</f>
        <v>野口　忠繁</v>
      </c>
    </row>
    <row r="20" spans="1:12" ht="14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288" t="str">
        <f>一覧!$B61</f>
        <v>堂免　高志</v>
      </c>
    </row>
    <row r="21" spans="1:12">
      <c r="L21" s="288" t="str">
        <f>一覧!$B63</f>
        <v>正木　良</v>
      </c>
    </row>
    <row r="22" spans="1:12">
      <c r="L22" s="288" t="str">
        <f>一覧!$B65</f>
        <v>大矢　晃平</v>
      </c>
    </row>
    <row r="23" spans="1:12">
      <c r="L23" s="288" t="str">
        <f>一覧!$B67</f>
        <v>池永　裕一</v>
      </c>
    </row>
    <row r="24" spans="1:12">
      <c r="L24" s="288" t="str">
        <f>一覧!$B69</f>
        <v>古門　優弥</v>
      </c>
    </row>
    <row r="25" spans="1:12">
      <c r="L25" s="288" t="str">
        <f>一覧!$B71</f>
        <v>酒井　宏樹</v>
      </c>
    </row>
    <row r="26" spans="1:12">
      <c r="L26" s="288" t="str">
        <f>一覧!$B73</f>
        <v>鷲津繁比古</v>
      </c>
    </row>
    <row r="27" spans="1:12">
      <c r="L27" s="288" t="str">
        <f>一覧!$B75</f>
        <v>出口　雅樹</v>
      </c>
    </row>
    <row r="28" spans="1:12">
      <c r="L28" s="288" t="str">
        <f>一覧!$B77</f>
        <v>橋本　樹</v>
      </c>
    </row>
    <row r="29" spans="1:12">
      <c r="L29" s="288" t="str">
        <f>一覧!$B79</f>
        <v>小曽根千穂</v>
      </c>
    </row>
    <row r="30" spans="1:12">
      <c r="L30" s="288" t="str">
        <f>一覧!$B81</f>
        <v>中嶋　祥吾</v>
      </c>
    </row>
    <row r="31" spans="1:12">
      <c r="L31" s="288" t="str">
        <f>一覧!$B83</f>
        <v>矢野　鼓子</v>
      </c>
    </row>
    <row r="32" spans="1:12">
      <c r="L32" s="288" t="str">
        <f>一覧!$B85</f>
        <v>山本　瑛悟</v>
      </c>
    </row>
    <row r="33" spans="12:12">
      <c r="L33" s="288" t="str">
        <f>一覧!$B87</f>
        <v>佐藤　翔</v>
      </c>
    </row>
    <row r="34" spans="12:12">
      <c r="L34" s="288" t="str">
        <f>一覧!$B89</f>
        <v>田口　愛梨</v>
      </c>
    </row>
    <row r="35" spans="12:12">
      <c r="L35" s="288" t="str">
        <f>一覧!$B91</f>
        <v>柴田　涼平</v>
      </c>
    </row>
    <row r="36" spans="12:12">
      <c r="L36" s="288" t="str">
        <f>一覧!$B95</f>
        <v>松本　学</v>
      </c>
    </row>
    <row r="37" spans="12:12">
      <c r="L37" s="288" t="str">
        <f>一覧!$B97</f>
        <v>松下　英男</v>
      </c>
    </row>
    <row r="38" spans="12:12">
      <c r="L38" s="288" t="str">
        <f>一覧!$B103</f>
        <v>藤井　一也</v>
      </c>
    </row>
    <row r="39" spans="12:12">
      <c r="L39" s="288" t="str">
        <f>一覧!$B105</f>
        <v>井ノ口鉱三</v>
      </c>
    </row>
    <row r="40" spans="12:12">
      <c r="L40" s="288" t="str">
        <f>一覧!$B107</f>
        <v>西山　貴宣</v>
      </c>
    </row>
    <row r="41" spans="12:12">
      <c r="L41" s="288" t="str">
        <f>一覧!$B109</f>
        <v>松久保雄哉</v>
      </c>
    </row>
    <row r="42" spans="12:12">
      <c r="L42" s="288" t="str">
        <f>一覧!$B111</f>
        <v>杉本　麻也</v>
      </c>
    </row>
    <row r="43" spans="12:12">
      <c r="L43" s="288" t="str">
        <f>一覧!$B113</f>
        <v>池見　憲一</v>
      </c>
    </row>
    <row r="44" spans="12:12">
      <c r="L44" s="288" t="str">
        <f>一覧!$B115</f>
        <v>籠池　由浩</v>
      </c>
    </row>
    <row r="46" spans="12:12">
      <c r="L46" s="288"/>
    </row>
    <row r="91" spans="13:13">
      <c r="M91" s="288"/>
    </row>
    <row r="92" spans="13:13">
      <c r="M92" s="288"/>
    </row>
    <row r="93" spans="13:13">
      <c r="M93" s="288"/>
    </row>
    <row r="94" spans="13:13">
      <c r="M94" s="288"/>
    </row>
    <row r="95" spans="13:13">
      <c r="M95" s="288"/>
    </row>
    <row r="96" spans="13:13">
      <c r="M96" s="288"/>
    </row>
    <row r="97" spans="13:13">
      <c r="M97" s="288"/>
    </row>
    <row r="98" spans="13:13">
      <c r="M98" s="288"/>
    </row>
    <row r="99" spans="13:13">
      <c r="M99" s="288"/>
    </row>
    <row r="100" spans="13:13">
      <c r="M100" s="288"/>
    </row>
    <row r="101" spans="13:13">
      <c r="M101" s="288"/>
    </row>
    <row r="102" spans="13:13">
      <c r="M102" s="288"/>
    </row>
    <row r="103" spans="13:13">
      <c r="M103" s="288"/>
    </row>
    <row r="104" spans="13:13">
      <c r="M104" s="288"/>
    </row>
    <row r="105" spans="13:13">
      <c r="M105" s="288"/>
    </row>
    <row r="106" spans="13:13">
      <c r="M106" s="288"/>
    </row>
    <row r="107" spans="13:13">
      <c r="M107" s="288"/>
    </row>
    <row r="108" spans="13:13">
      <c r="M108" s="288"/>
    </row>
    <row r="109" spans="13:13">
      <c r="M109" s="288"/>
    </row>
    <row r="110" spans="13:13">
      <c r="M110" s="288"/>
    </row>
    <row r="111" spans="13:13">
      <c r="M111" s="288"/>
    </row>
    <row r="112" spans="13:13">
      <c r="M112" s="288"/>
    </row>
    <row r="113" spans="13:13">
      <c r="M113" s="288"/>
    </row>
    <row r="114" spans="13:13">
      <c r="M114" s="288"/>
    </row>
    <row r="115" spans="13:13">
      <c r="M115" s="288"/>
    </row>
    <row r="116" spans="13:13">
      <c r="M116" s="288"/>
    </row>
    <row r="117" spans="13:13">
      <c r="M117" s="288"/>
    </row>
  </sheetData>
  <phoneticPr fontId="27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656F-72F8-4193-96C6-3ABF34B0F5C1}">
  <sheetPr codeName="Sheet21"/>
  <dimension ref="A1:D32"/>
  <sheetViews>
    <sheetView tabSelected="1" workbookViewId="0"/>
  </sheetViews>
  <sheetFormatPr defaultColWidth="8.453125" defaultRowHeight="13"/>
  <cols>
    <col min="1" max="7" width="15.453125" style="287" customWidth="1"/>
    <col min="8" max="16384" width="8.453125" style="287"/>
  </cols>
  <sheetData>
    <row r="1" spans="1:4">
      <c r="A1" s="286" t="s">
        <v>585</v>
      </c>
      <c r="B1" s="286" t="s">
        <v>586</v>
      </c>
      <c r="C1" s="286" t="s">
        <v>587</v>
      </c>
      <c r="D1" s="286" t="s">
        <v>588</v>
      </c>
    </row>
    <row r="2" spans="1:4">
      <c r="A2" s="287" t="s">
        <v>980</v>
      </c>
      <c r="B2" s="527">
        <v>46174</v>
      </c>
    </row>
    <row r="3" spans="1:4">
      <c r="A3" s="287" t="s">
        <v>981</v>
      </c>
      <c r="B3" s="527">
        <v>46175</v>
      </c>
    </row>
    <row r="4" spans="1:4">
      <c r="A4" s="287" t="s">
        <v>982</v>
      </c>
      <c r="B4" s="527">
        <v>46176</v>
      </c>
    </row>
    <row r="5" spans="1:4">
      <c r="B5" s="527">
        <v>46177</v>
      </c>
    </row>
    <row r="6" spans="1:4">
      <c r="A6" s="287" t="s">
        <v>984</v>
      </c>
      <c r="B6" s="527">
        <v>46178</v>
      </c>
    </row>
    <row r="7" spans="1:4">
      <c r="A7" s="287" t="s">
        <v>985</v>
      </c>
      <c r="B7" s="527">
        <v>46179</v>
      </c>
    </row>
    <row r="8" spans="1:4">
      <c r="A8" s="287" t="s">
        <v>985</v>
      </c>
      <c r="B8" s="527">
        <v>46180</v>
      </c>
    </row>
    <row r="9" spans="1:4">
      <c r="A9" s="287" t="s">
        <v>986</v>
      </c>
      <c r="B9" s="527">
        <v>46181</v>
      </c>
      <c r="C9" s="287" t="s">
        <v>977</v>
      </c>
      <c r="D9" s="287" t="s">
        <v>978</v>
      </c>
    </row>
    <row r="10" spans="1:4">
      <c r="A10" s="287" t="s">
        <v>987</v>
      </c>
      <c r="B10" s="527">
        <v>46182</v>
      </c>
      <c r="C10" s="287" t="s">
        <v>988</v>
      </c>
      <c r="D10" s="287" t="s">
        <v>989</v>
      </c>
    </row>
    <row r="11" spans="1:4">
      <c r="A11" s="287" t="s">
        <v>990</v>
      </c>
      <c r="B11" s="527">
        <v>46183</v>
      </c>
      <c r="C11" s="287" t="s">
        <v>991</v>
      </c>
      <c r="D11" s="287" t="s">
        <v>992</v>
      </c>
    </row>
    <row r="12" spans="1:4">
      <c r="A12" s="287" t="s">
        <v>983</v>
      </c>
      <c r="B12" s="527">
        <v>46184</v>
      </c>
    </row>
    <row r="13" spans="1:4">
      <c r="A13" s="287" t="s">
        <v>993</v>
      </c>
      <c r="B13" s="527">
        <v>46185</v>
      </c>
      <c r="C13" s="287" t="s">
        <v>994</v>
      </c>
      <c r="D13" s="287" t="s">
        <v>979</v>
      </c>
    </row>
    <row r="14" spans="1:4">
      <c r="A14" s="287" t="s">
        <v>995</v>
      </c>
      <c r="B14" s="527">
        <v>46186</v>
      </c>
    </row>
    <row r="15" spans="1:4">
      <c r="A15" s="287" t="s">
        <v>985</v>
      </c>
      <c r="B15" s="527">
        <v>46187</v>
      </c>
    </row>
    <row r="16" spans="1:4">
      <c r="A16" s="287" t="s">
        <v>996</v>
      </c>
      <c r="B16" s="527">
        <v>46188</v>
      </c>
      <c r="C16" s="287" t="s">
        <v>997</v>
      </c>
      <c r="D16" s="287" t="s">
        <v>979</v>
      </c>
    </row>
    <row r="17" spans="1:4">
      <c r="A17" s="287" t="s">
        <v>998</v>
      </c>
      <c r="B17" s="527">
        <v>46189</v>
      </c>
    </row>
    <row r="18" spans="1:4">
      <c r="A18" s="287" t="s">
        <v>999</v>
      </c>
      <c r="B18" s="527">
        <v>46190</v>
      </c>
    </row>
    <row r="19" spans="1:4">
      <c r="A19" s="287" t="s">
        <v>985</v>
      </c>
      <c r="B19" s="527">
        <v>46191</v>
      </c>
    </row>
    <row r="20" spans="1:4">
      <c r="A20" s="287" t="s">
        <v>1000</v>
      </c>
      <c r="B20" s="527">
        <v>46192</v>
      </c>
    </row>
    <row r="21" spans="1:4">
      <c r="A21" s="287" t="s">
        <v>1001</v>
      </c>
      <c r="B21" s="527">
        <v>46193</v>
      </c>
    </row>
    <row r="22" spans="1:4">
      <c r="A22" s="287" t="s">
        <v>1002</v>
      </c>
      <c r="B22" s="527">
        <v>46194</v>
      </c>
    </row>
    <row r="23" spans="1:4">
      <c r="A23" s="287" t="s">
        <v>1002</v>
      </c>
      <c r="B23" s="527">
        <v>46195</v>
      </c>
    </row>
    <row r="24" spans="1:4">
      <c r="A24" s="287" t="s">
        <v>17</v>
      </c>
      <c r="B24" s="527">
        <v>46196</v>
      </c>
    </row>
    <row r="25" spans="1:4">
      <c r="A25" s="287" t="s">
        <v>985</v>
      </c>
      <c r="B25" s="527">
        <v>46197</v>
      </c>
    </row>
    <row r="26" spans="1:4">
      <c r="A26" s="287" t="s">
        <v>1003</v>
      </c>
      <c r="B26" s="527">
        <v>46198</v>
      </c>
    </row>
    <row r="27" spans="1:4">
      <c r="A27" s="287" t="s">
        <v>993</v>
      </c>
      <c r="B27" s="527">
        <v>46199</v>
      </c>
      <c r="C27" s="287" t="s">
        <v>994</v>
      </c>
      <c r="D27" s="287" t="s">
        <v>979</v>
      </c>
    </row>
    <row r="28" spans="1:4">
      <c r="A28" s="287" t="s">
        <v>985</v>
      </c>
      <c r="B28" s="527">
        <v>46200</v>
      </c>
    </row>
    <row r="29" spans="1:4">
      <c r="A29" s="287" t="s">
        <v>985</v>
      </c>
      <c r="B29" s="527">
        <v>46201</v>
      </c>
    </row>
    <row r="30" spans="1:4">
      <c r="A30" s="287" t="s">
        <v>1004</v>
      </c>
      <c r="B30" s="527">
        <v>46202</v>
      </c>
    </row>
    <row r="31" spans="1:4">
      <c r="A31" s="287" t="s">
        <v>1005</v>
      </c>
      <c r="B31" s="527">
        <v>46203</v>
      </c>
    </row>
    <row r="32" spans="1:4">
      <c r="B32" s="287" t="s">
        <v>619</v>
      </c>
    </row>
  </sheetData>
  <sheetProtection sheet="1" objects="1" scenarios="1"/>
  <phoneticPr fontId="27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/>
  <dimension ref="A1:F27"/>
  <sheetViews>
    <sheetView workbookViewId="0">
      <selection activeCell="E12" sqref="E12"/>
    </sheetView>
  </sheetViews>
  <sheetFormatPr defaultColWidth="7.453125" defaultRowHeight="14"/>
  <cols>
    <col min="1" max="6" width="10.453125" style="25" customWidth="1"/>
    <col min="7" max="16384" width="7.453125" style="25"/>
  </cols>
  <sheetData>
    <row r="1" spans="1:6">
      <c r="A1" s="25" t="s">
        <v>620</v>
      </c>
      <c r="B1" s="25" t="s">
        <v>621</v>
      </c>
      <c r="C1" s="25" t="s">
        <v>622</v>
      </c>
      <c r="D1" s="25" t="s">
        <v>623</v>
      </c>
      <c r="E1" s="25" t="s">
        <v>624</v>
      </c>
      <c r="F1" s="25" t="s">
        <v>625</v>
      </c>
    </row>
    <row r="2" spans="1:6">
      <c r="A2" s="25" t="s">
        <v>626</v>
      </c>
      <c r="B2" s="25" t="s">
        <v>627</v>
      </c>
      <c r="C2" s="25" t="s">
        <v>628</v>
      </c>
      <c r="D2" s="25" t="s">
        <v>629</v>
      </c>
      <c r="E2" s="25" t="s">
        <v>630</v>
      </c>
      <c r="F2" s="25" t="s">
        <v>631</v>
      </c>
    </row>
    <row r="3" spans="1:6">
      <c r="A3" s="25" t="s">
        <v>632</v>
      </c>
      <c r="B3" s="25" t="s">
        <v>633</v>
      </c>
      <c r="C3" s="25" t="s">
        <v>634</v>
      </c>
      <c r="D3" s="25" t="s">
        <v>635</v>
      </c>
      <c r="E3" s="25" t="s">
        <v>636</v>
      </c>
      <c r="F3" s="25" t="s">
        <v>220</v>
      </c>
    </row>
    <row r="4" spans="1:6">
      <c r="A4" s="25" t="s">
        <v>637</v>
      </c>
      <c r="B4" s="25" t="s">
        <v>638</v>
      </c>
      <c r="C4" s="25" t="s">
        <v>639</v>
      </c>
      <c r="D4" s="25" t="s">
        <v>640</v>
      </c>
      <c r="E4" s="25" t="s">
        <v>172</v>
      </c>
      <c r="F4" s="25" t="s">
        <v>641</v>
      </c>
    </row>
    <row r="5" spans="1:6">
      <c r="A5" s="25" t="s">
        <v>642</v>
      </c>
      <c r="B5" s="25" t="s">
        <v>643</v>
      </c>
      <c r="C5" s="25" t="s">
        <v>644</v>
      </c>
      <c r="D5" s="25" t="s">
        <v>645</v>
      </c>
      <c r="E5" s="25" t="s">
        <v>566</v>
      </c>
      <c r="F5" s="25" t="s">
        <v>646</v>
      </c>
    </row>
    <row r="6" spans="1:6">
      <c r="A6" s="25" t="s">
        <v>27</v>
      </c>
      <c r="B6" s="25" t="s">
        <v>647</v>
      </c>
      <c r="C6" s="25" t="s">
        <v>648</v>
      </c>
      <c r="D6" s="25" t="s">
        <v>649</v>
      </c>
      <c r="E6" s="25" t="s">
        <v>567</v>
      </c>
      <c r="F6" s="25" t="s">
        <v>650</v>
      </c>
    </row>
    <row r="7" spans="1:6">
      <c r="A7" s="25" t="s">
        <v>651</v>
      </c>
      <c r="B7" s="25" t="s">
        <v>652</v>
      </c>
      <c r="C7" s="25" t="s">
        <v>653</v>
      </c>
      <c r="D7" s="25" t="s">
        <v>654</v>
      </c>
      <c r="E7" s="25" t="s">
        <v>174</v>
      </c>
      <c r="F7" s="25" t="s">
        <v>655</v>
      </c>
    </row>
    <row r="8" spans="1:6">
      <c r="A8" s="25" t="s">
        <v>656</v>
      </c>
      <c r="B8" s="25" t="s">
        <v>657</v>
      </c>
      <c r="C8" s="25" t="s">
        <v>658</v>
      </c>
      <c r="D8" s="25" t="s">
        <v>659</v>
      </c>
      <c r="E8" s="25" t="s">
        <v>660</v>
      </c>
      <c r="F8" s="25" t="s">
        <v>661</v>
      </c>
    </row>
    <row r="9" spans="1:6">
      <c r="A9" s="25" t="s">
        <v>662</v>
      </c>
      <c r="B9" s="25" t="s">
        <v>663</v>
      </c>
      <c r="C9" s="25" t="s">
        <v>664</v>
      </c>
      <c r="D9" s="25" t="s">
        <v>665</v>
      </c>
      <c r="E9" s="25" t="s">
        <v>666</v>
      </c>
      <c r="F9" s="25" t="s">
        <v>667</v>
      </c>
    </row>
    <row r="10" spans="1:6">
      <c r="A10" s="25" t="s">
        <v>668</v>
      </c>
      <c r="B10" s="25" t="s">
        <v>669</v>
      </c>
      <c r="C10" s="25" t="s">
        <v>670</v>
      </c>
      <c r="D10" s="25" t="s">
        <v>671</v>
      </c>
      <c r="E10" s="25" t="s">
        <v>672</v>
      </c>
      <c r="F10" s="25" t="s">
        <v>673</v>
      </c>
    </row>
    <row r="11" spans="1:6">
      <c r="A11" s="25" t="s">
        <v>674</v>
      </c>
      <c r="C11" s="25" t="s">
        <v>675</v>
      </c>
      <c r="E11" s="25" t="s">
        <v>676</v>
      </c>
      <c r="F11" s="25" t="s">
        <v>677</v>
      </c>
    </row>
    <row r="12" spans="1:6">
      <c r="A12" s="25" t="s">
        <v>678</v>
      </c>
      <c r="C12" s="25" t="s">
        <v>679</v>
      </c>
      <c r="E12" s="25" t="s">
        <v>680</v>
      </c>
    </row>
    <row r="13" spans="1:6">
      <c r="A13" s="58" t="s">
        <v>681</v>
      </c>
      <c r="C13" s="25" t="s">
        <v>682</v>
      </c>
      <c r="E13" s="25" t="s">
        <v>683</v>
      </c>
    </row>
    <row r="14" spans="1:6">
      <c r="A14" s="25" t="s">
        <v>684</v>
      </c>
      <c r="C14" s="25" t="s">
        <v>685</v>
      </c>
      <c r="E14" s="25" t="s">
        <v>686</v>
      </c>
    </row>
    <row r="15" spans="1:6">
      <c r="A15" s="25" t="s">
        <v>687</v>
      </c>
      <c r="C15" s="25" t="s">
        <v>688</v>
      </c>
      <c r="E15" s="25" t="s">
        <v>689</v>
      </c>
    </row>
    <row r="16" spans="1:6">
      <c r="A16" s="25" t="s">
        <v>690</v>
      </c>
      <c r="C16" s="25" t="s">
        <v>691</v>
      </c>
      <c r="E16" s="25" t="s">
        <v>692</v>
      </c>
    </row>
    <row r="17" spans="3:5">
      <c r="C17" s="25" t="s">
        <v>693</v>
      </c>
      <c r="E17" s="25" t="s">
        <v>694</v>
      </c>
    </row>
    <row r="18" spans="3:5">
      <c r="C18" s="25" t="s">
        <v>695</v>
      </c>
      <c r="E18" s="25" t="s">
        <v>180</v>
      </c>
    </row>
    <row r="19" spans="3:5">
      <c r="C19" s="25" t="s">
        <v>696</v>
      </c>
      <c r="E19" s="25" t="s">
        <v>53</v>
      </c>
    </row>
    <row r="20" spans="3:5">
      <c r="C20" s="25" t="s">
        <v>697</v>
      </c>
      <c r="E20" s="25" t="s">
        <v>295</v>
      </c>
    </row>
    <row r="21" spans="3:5">
      <c r="C21" s="25" t="s">
        <v>698</v>
      </c>
      <c r="E21" s="25" t="s">
        <v>296</v>
      </c>
    </row>
    <row r="22" spans="3:5">
      <c r="C22" s="25" t="s">
        <v>699</v>
      </c>
      <c r="E22" s="25" t="s">
        <v>700</v>
      </c>
    </row>
    <row r="23" spans="3:5">
      <c r="C23" s="25" t="s">
        <v>701</v>
      </c>
      <c r="E23" s="25" t="s">
        <v>702</v>
      </c>
    </row>
    <row r="24" spans="3:5">
      <c r="C24" s="25" t="s">
        <v>703</v>
      </c>
      <c r="E24" s="25" t="s">
        <v>704</v>
      </c>
    </row>
    <row r="25" spans="3:5">
      <c r="C25" s="25" t="s">
        <v>705</v>
      </c>
      <c r="E25" s="25" t="s">
        <v>706</v>
      </c>
    </row>
    <row r="26" spans="3:5">
      <c r="C26" s="25" t="s">
        <v>707</v>
      </c>
    </row>
    <row r="27" spans="3:5">
      <c r="C27" s="25" t="s">
        <v>708</v>
      </c>
    </row>
  </sheetData>
  <customSheetViews>
    <customSheetView guid="{48D17560-CF9A-4AC4-87A5-512F1C94B1E6}" showRuler="0">
      <pageMargins left="0" right="0" top="0" bottom="0" header="0" footer="0"/>
      <headerFooter alignWithMargins="0">
        <oddHeader>&amp;A</oddHeader>
        <oddFooter>- &amp;P -</oddFooter>
      </headerFooter>
    </customSheetView>
  </customSheetViews>
  <phoneticPr fontId="3"/>
  <printOptions gridLinesSet="0"/>
  <pageMargins left="0.75" right="0.75" top="1" bottom="1" header="0.51200000000000001" footer="0.51200000000000001"/>
  <headerFooter alignWithMargins="0">
    <oddHeader>&amp;A</oddHeader>
    <oddFooter>- &amp;P -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2"/>
  <dimension ref="A1:BP6"/>
  <sheetViews>
    <sheetView workbookViewId="0">
      <pane ySplit="3" topLeftCell="A4" activePane="bottomLeft" state="frozen"/>
      <selection pane="bottomLeft" activeCell="F9" sqref="F9"/>
    </sheetView>
  </sheetViews>
  <sheetFormatPr defaultColWidth="6.453125" defaultRowHeight="12" customHeight="1"/>
  <cols>
    <col min="1" max="1" width="1.453125" style="5" customWidth="1"/>
    <col min="2" max="2" width="2.453125" style="5" customWidth="1"/>
    <col min="3" max="3" width="8.453125" style="6" customWidth="1"/>
    <col min="4" max="4" width="1.453125" style="5" customWidth="1"/>
    <col min="5" max="5" width="7.453125" style="6" customWidth="1"/>
    <col min="6" max="7" width="4.453125" style="5" customWidth="1"/>
    <col min="8" max="8" width="2.453125" style="5" customWidth="1"/>
    <col min="9" max="10" width="4.453125" style="5" customWidth="1"/>
    <col min="11" max="11" width="2.453125" style="5" customWidth="1"/>
    <col min="12" max="12" width="4.453125" style="5" customWidth="1"/>
    <col min="13" max="15" width="4.453125" style="6" customWidth="1"/>
    <col min="16" max="16" width="1.453125" style="5" customWidth="1"/>
    <col min="17" max="17" width="4.453125" style="6" customWidth="1"/>
    <col min="18" max="18" width="1.453125" style="5" customWidth="1"/>
    <col min="19" max="19" width="4.453125" style="6" customWidth="1"/>
    <col min="20" max="20" width="1.453125" style="5" customWidth="1"/>
    <col min="21" max="21" width="4.453125" style="6" customWidth="1"/>
    <col min="22" max="22" width="1.453125" style="5" customWidth="1"/>
    <col min="23" max="23" width="4.453125" style="6" customWidth="1"/>
    <col min="24" max="24" width="1.453125" style="5" customWidth="1"/>
    <col min="25" max="25" width="4.453125" style="6" customWidth="1"/>
    <col min="26" max="26" width="1.453125" style="5" customWidth="1"/>
    <col min="27" max="27" width="4.453125" style="6" customWidth="1"/>
    <col min="28" max="28" width="1.453125" style="5" customWidth="1"/>
    <col min="29" max="29" width="4.453125" style="6" customWidth="1"/>
    <col min="30" max="34" width="1.453125" style="5" customWidth="1"/>
    <col min="35" max="35" width="4.453125" style="6" customWidth="1"/>
    <col min="36" max="36" width="1.453125" style="5" customWidth="1"/>
    <col min="37" max="37" width="4.453125" style="6" customWidth="1"/>
    <col min="38" max="38" width="1.453125" style="5" customWidth="1"/>
    <col min="39" max="39" width="4.453125" style="6" customWidth="1"/>
    <col min="40" max="40" width="1.453125" style="5" customWidth="1"/>
    <col min="41" max="41" width="4.453125" style="5" customWidth="1"/>
    <col min="42" max="42" width="1.453125" style="5" customWidth="1"/>
    <col min="43" max="43" width="1.453125" style="6" customWidth="1"/>
    <col min="44" max="44" width="1.453125" style="5" customWidth="1"/>
    <col min="45" max="45" width="4.453125" style="6" customWidth="1"/>
    <col min="46" max="46" width="1.453125" style="5" customWidth="1"/>
    <col min="47" max="47" width="4.453125" style="6" customWidth="1"/>
    <col min="48" max="48" width="1.453125" style="5" customWidth="1"/>
    <col min="49" max="49" width="4.453125" style="6" customWidth="1"/>
    <col min="50" max="50" width="1.453125" style="5" customWidth="1"/>
    <col min="51" max="51" width="4.453125" style="5" customWidth="1"/>
    <col min="52" max="52" width="1.453125" style="5" customWidth="1"/>
    <col min="53" max="53" width="1.453125" style="6" customWidth="1"/>
    <col min="54" max="54" width="1.453125" style="5" customWidth="1"/>
    <col min="55" max="55" width="4.453125" style="5" customWidth="1"/>
    <col min="56" max="56" width="1.453125" style="6" customWidth="1"/>
    <col min="57" max="57" width="1.453125" style="5" customWidth="1"/>
    <col min="58" max="58" width="4.453125" style="5" customWidth="1"/>
    <col min="59" max="59" width="1.453125" style="6" customWidth="1"/>
    <col min="60" max="60" width="1.453125" style="5" customWidth="1"/>
    <col min="61" max="61" width="4.453125" style="6" customWidth="1"/>
    <col min="62" max="62" width="1.453125" style="5" customWidth="1"/>
    <col min="63" max="63" width="4.453125" style="5" customWidth="1"/>
    <col min="64" max="64" width="1.453125" style="5" customWidth="1"/>
    <col min="65" max="66" width="1.453125" style="6" customWidth="1"/>
    <col min="67" max="68" width="8.453125" style="5" customWidth="1"/>
    <col min="69" max="69" width="1.453125" style="5" customWidth="1"/>
    <col min="70" max="16384" width="6.453125" style="5"/>
  </cols>
  <sheetData>
    <row r="1" spans="1:68" ht="21" customHeight="1">
      <c r="B1" s="526"/>
      <c r="C1" s="526"/>
      <c r="D1" s="526"/>
      <c r="E1" s="526"/>
      <c r="F1" s="526"/>
      <c r="G1" s="526"/>
      <c r="H1" s="526"/>
      <c r="I1" s="526"/>
      <c r="J1" s="526"/>
      <c r="K1" s="526"/>
      <c r="L1" s="526"/>
      <c r="M1" s="526"/>
      <c r="N1" s="526"/>
      <c r="O1" s="526"/>
      <c r="P1" s="526"/>
      <c r="Q1" s="526"/>
      <c r="R1" s="526"/>
      <c r="S1" s="526"/>
      <c r="T1" s="526"/>
      <c r="U1" s="526"/>
      <c r="V1" s="526"/>
      <c r="W1" s="526"/>
      <c r="X1" s="526"/>
      <c r="Y1" s="526"/>
      <c r="Z1" s="526"/>
      <c r="AA1" s="526"/>
      <c r="AB1" s="526"/>
      <c r="AC1" s="526"/>
      <c r="AD1" s="526"/>
      <c r="AE1" s="526"/>
      <c r="AF1" s="526"/>
      <c r="AG1" s="526"/>
      <c r="AH1" s="526"/>
      <c r="AI1" s="526"/>
      <c r="AJ1" s="526"/>
      <c r="AK1" s="526"/>
      <c r="AL1" s="526"/>
      <c r="AM1" s="526"/>
      <c r="AN1" s="526"/>
      <c r="AO1" s="526"/>
      <c r="AP1" s="526"/>
      <c r="AQ1" s="526"/>
      <c r="AR1" s="526"/>
      <c r="AS1" s="526"/>
      <c r="AT1" s="526"/>
      <c r="AU1" s="526"/>
      <c r="AV1" s="526"/>
      <c r="AW1" s="526"/>
      <c r="AX1" s="526"/>
      <c r="AY1" s="526"/>
      <c r="AZ1" s="526"/>
      <c r="BA1" s="526"/>
      <c r="BB1" s="526"/>
      <c r="BC1" s="526"/>
      <c r="BD1" s="526"/>
      <c r="BE1" s="526"/>
      <c r="BF1" s="526"/>
      <c r="BG1" s="526"/>
      <c r="BH1" s="526"/>
      <c r="BI1" s="526"/>
      <c r="BJ1" s="526"/>
      <c r="BK1" s="526"/>
      <c r="BL1" s="526"/>
      <c r="BM1" s="526"/>
      <c r="BN1" s="526"/>
      <c r="BO1" s="526"/>
      <c r="BP1" s="526"/>
    </row>
    <row r="2" spans="1:68" ht="12" customHeight="1">
      <c r="A2" s="522"/>
      <c r="B2" s="522"/>
      <c r="C2" s="542" t="s">
        <v>521</v>
      </c>
      <c r="D2" s="542"/>
      <c r="E2" s="522" t="s">
        <v>560</v>
      </c>
      <c r="F2" s="538" t="s">
        <v>561</v>
      </c>
      <c r="G2" s="538"/>
      <c r="H2" s="538"/>
      <c r="I2" s="538"/>
      <c r="J2" s="538"/>
      <c r="K2" s="538"/>
      <c r="L2" s="538"/>
      <c r="M2" s="542" t="s">
        <v>113</v>
      </c>
      <c r="N2" s="542"/>
      <c r="O2" s="542" t="s">
        <v>200</v>
      </c>
      <c r="P2" s="542"/>
      <c r="Q2" s="538" t="s">
        <v>709</v>
      </c>
      <c r="R2" s="538"/>
      <c r="S2" s="538"/>
      <c r="T2" s="538"/>
      <c r="U2" s="538"/>
      <c r="V2" s="538"/>
      <c r="W2" s="538"/>
      <c r="X2" s="538"/>
      <c r="Y2" s="538"/>
      <c r="Z2" s="538"/>
      <c r="AA2" s="538"/>
      <c r="AB2" s="538"/>
      <c r="AC2" s="542" t="s">
        <v>710</v>
      </c>
      <c r="AD2" s="542"/>
      <c r="AE2" s="538" t="s">
        <v>563</v>
      </c>
      <c r="AF2" s="538"/>
      <c r="AG2" s="538"/>
      <c r="AH2" s="538"/>
      <c r="AI2" s="538" t="s">
        <v>172</v>
      </c>
      <c r="AJ2" s="538"/>
      <c r="AK2" s="538"/>
      <c r="AL2" s="538"/>
      <c r="AM2" s="538"/>
      <c r="AN2" s="538"/>
      <c r="AO2" s="542" t="s">
        <v>564</v>
      </c>
      <c r="AP2" s="542"/>
      <c r="AQ2" s="538" t="s">
        <v>565</v>
      </c>
      <c r="AR2" s="538"/>
      <c r="AS2" s="538" t="s">
        <v>566</v>
      </c>
      <c r="AT2" s="538"/>
      <c r="AU2" s="538"/>
      <c r="AV2" s="538"/>
      <c r="AW2" s="538" t="s">
        <v>567</v>
      </c>
      <c r="AX2" s="538"/>
      <c r="AY2" s="538"/>
      <c r="AZ2" s="538"/>
      <c r="BA2" s="538" t="s">
        <v>568</v>
      </c>
      <c r="BB2" s="538"/>
      <c r="BC2" s="522" t="s">
        <v>174</v>
      </c>
      <c r="BD2" s="538" t="s">
        <v>569</v>
      </c>
      <c r="BE2" s="538"/>
      <c r="BF2" s="522" t="s">
        <v>570</v>
      </c>
      <c r="BG2" s="538" t="s">
        <v>571</v>
      </c>
      <c r="BH2" s="538"/>
      <c r="BI2" s="542" t="s">
        <v>572</v>
      </c>
      <c r="BJ2" s="542"/>
      <c r="BK2" s="542" t="s">
        <v>573</v>
      </c>
      <c r="BL2" s="542"/>
      <c r="BM2" s="538" t="s">
        <v>574</v>
      </c>
      <c r="BN2" s="538"/>
      <c r="BO2" s="522" t="s">
        <v>575</v>
      </c>
      <c r="BP2" s="522" t="s">
        <v>58</v>
      </c>
    </row>
    <row r="3" spans="1:68" ht="12" customHeight="1">
      <c r="A3" s="522"/>
      <c r="B3" s="520"/>
      <c r="C3" s="525"/>
      <c r="D3" s="520"/>
      <c r="E3" s="521"/>
      <c r="F3" s="520" t="s">
        <v>711</v>
      </c>
      <c r="G3" s="538" t="s">
        <v>712</v>
      </c>
      <c r="H3" s="538"/>
      <c r="I3" s="538"/>
      <c r="J3" s="538" t="s">
        <v>713</v>
      </c>
      <c r="K3" s="538"/>
      <c r="L3" s="538"/>
      <c r="M3" s="537"/>
      <c r="N3" s="537"/>
      <c r="O3" s="537"/>
      <c r="P3" s="537"/>
      <c r="Q3" s="538">
        <v>1</v>
      </c>
      <c r="R3" s="538"/>
      <c r="S3" s="538">
        <v>2</v>
      </c>
      <c r="T3" s="538"/>
      <c r="U3" s="538">
        <v>3</v>
      </c>
      <c r="V3" s="538"/>
      <c r="W3" s="538">
        <v>4</v>
      </c>
      <c r="X3" s="538"/>
      <c r="Y3" s="538">
        <v>5</v>
      </c>
      <c r="Z3" s="538"/>
      <c r="AA3" s="538">
        <v>6</v>
      </c>
      <c r="AB3" s="538"/>
      <c r="AC3" s="537"/>
      <c r="AD3" s="537"/>
      <c r="AE3" s="526" t="s">
        <v>582</v>
      </c>
      <c r="AF3" s="520" t="s">
        <v>581</v>
      </c>
      <c r="AG3" s="526" t="s">
        <v>582</v>
      </c>
      <c r="AH3" s="520" t="s">
        <v>581</v>
      </c>
      <c r="AI3" s="538">
        <v>1</v>
      </c>
      <c r="AJ3" s="538"/>
      <c r="AK3" s="538">
        <v>2</v>
      </c>
      <c r="AL3" s="538"/>
      <c r="AM3" s="538">
        <v>3</v>
      </c>
      <c r="AN3" s="538"/>
      <c r="AO3" s="543"/>
      <c r="AP3" s="537"/>
      <c r="AQ3" s="526" t="s">
        <v>582</v>
      </c>
      <c r="AR3" s="520" t="s">
        <v>581</v>
      </c>
      <c r="AS3" s="538">
        <v>1</v>
      </c>
      <c r="AT3" s="538"/>
      <c r="AU3" s="538">
        <v>2</v>
      </c>
      <c r="AV3" s="538"/>
      <c r="AW3" s="538">
        <v>1</v>
      </c>
      <c r="AX3" s="538"/>
      <c r="AY3" s="544">
        <v>2</v>
      </c>
      <c r="AZ3" s="538"/>
      <c r="BA3" s="526" t="s">
        <v>582</v>
      </c>
      <c r="BB3" s="520" t="s">
        <v>581</v>
      </c>
      <c r="BC3" s="521"/>
      <c r="BD3" s="526" t="s">
        <v>582</v>
      </c>
      <c r="BE3" s="520" t="s">
        <v>581</v>
      </c>
      <c r="BF3" s="521"/>
      <c r="BG3" s="526" t="s">
        <v>582</v>
      </c>
      <c r="BH3" s="520" t="s">
        <v>581</v>
      </c>
      <c r="BI3" s="537"/>
      <c r="BJ3" s="537"/>
      <c r="BK3" s="537"/>
      <c r="BL3" s="537"/>
      <c r="BM3" s="526" t="s">
        <v>582</v>
      </c>
      <c r="BN3" s="520" t="s">
        <v>581</v>
      </c>
      <c r="BO3" s="521"/>
      <c r="BP3" s="521"/>
    </row>
    <row r="4" spans="1:68" ht="12" customHeight="1">
      <c r="A4" s="522"/>
      <c r="B4" s="520">
        <v>31</v>
      </c>
      <c r="C4" s="525"/>
      <c r="D4" s="520"/>
      <c r="E4" s="521"/>
      <c r="F4" s="520"/>
      <c r="G4" s="526"/>
      <c r="H4" s="526"/>
      <c r="I4" s="520"/>
      <c r="J4" s="526"/>
      <c r="K4" s="526"/>
      <c r="L4" s="520"/>
      <c r="M4" s="525"/>
      <c r="N4" s="521"/>
      <c r="O4" s="525"/>
      <c r="P4" s="520"/>
      <c r="Q4" s="525"/>
      <c r="R4" s="520"/>
      <c r="S4" s="525"/>
      <c r="T4" s="520"/>
      <c r="U4" s="525"/>
      <c r="V4" s="520"/>
      <c r="W4" s="525"/>
      <c r="X4" s="520"/>
      <c r="Y4" s="525"/>
      <c r="Z4" s="520"/>
      <c r="AA4" s="525"/>
      <c r="AB4" s="520"/>
      <c r="AC4" s="525"/>
      <c r="AD4" s="520"/>
      <c r="AE4" s="526"/>
      <c r="AF4" s="520"/>
      <c r="AG4" s="526"/>
      <c r="AH4" s="520"/>
      <c r="AI4" s="525"/>
      <c r="AJ4" s="520"/>
      <c r="AK4" s="525"/>
      <c r="AL4" s="520"/>
      <c r="AM4" s="525"/>
      <c r="AN4" s="520"/>
      <c r="AO4" s="526"/>
      <c r="AP4" s="520"/>
      <c r="AQ4" s="525"/>
      <c r="AR4" s="520"/>
      <c r="AS4" s="525"/>
      <c r="AT4" s="520"/>
      <c r="AU4" s="525"/>
      <c r="AV4" s="520"/>
      <c r="AW4" s="525"/>
      <c r="AX4" s="520"/>
      <c r="AY4" s="526"/>
      <c r="AZ4" s="520"/>
      <c r="BA4" s="525"/>
      <c r="BB4" s="520"/>
      <c r="BC4" s="520"/>
      <c r="BD4" s="525"/>
      <c r="BE4" s="520"/>
      <c r="BF4" s="520"/>
      <c r="BG4" s="525"/>
      <c r="BH4" s="520"/>
      <c r="BI4" s="525"/>
      <c r="BJ4" s="520"/>
      <c r="BK4" s="526"/>
      <c r="BL4" s="520"/>
      <c r="BM4" s="525"/>
      <c r="BN4" s="521"/>
      <c r="BO4" s="520"/>
      <c r="BP4" s="520"/>
    </row>
    <row r="6" spans="1:68" ht="12" customHeight="1">
      <c r="F6" s="7"/>
      <c r="G6" s="7"/>
      <c r="I6" s="7"/>
      <c r="J6" s="7"/>
      <c r="L6" s="7"/>
    </row>
  </sheetData>
  <customSheetViews>
    <customSheetView guid="{48D17560-CF9A-4AC4-87A5-512F1C94B1E6}" showRuler="0">
      <pane ySplit="3" topLeftCell="A4" activePane="bottomLeft" state="frozen"/>
      <selection pane="bottomLeft"/>
      <pageMargins left="0" right="0" top="0" bottom="0" header="0" footer="0"/>
      <pageSetup paperSize="8" scale="91" orientation="landscape" verticalDpi="0" r:id="rId1"/>
      <headerFooter alignWithMargins="0"/>
    </customSheetView>
  </customSheetViews>
  <mergeCells count="39">
    <mergeCell ref="C2:D2"/>
    <mergeCell ref="BI3:BJ3"/>
    <mergeCell ref="BK2:BL2"/>
    <mergeCell ref="AC2:AD2"/>
    <mergeCell ref="BI2:BJ2"/>
    <mergeCell ref="AE2:AH2"/>
    <mergeCell ref="AI2:AN2"/>
    <mergeCell ref="AQ2:AR2"/>
    <mergeCell ref="AS2:AV2"/>
    <mergeCell ref="AW2:AZ2"/>
    <mergeCell ref="F2:L2"/>
    <mergeCell ref="G3:I3"/>
    <mergeCell ref="J3:L3"/>
    <mergeCell ref="Q3:R3"/>
    <mergeCell ref="M2:N2"/>
    <mergeCell ref="O2:P2"/>
    <mergeCell ref="Q2:AB2"/>
    <mergeCell ref="S3:T3"/>
    <mergeCell ref="W3:X3"/>
    <mergeCell ref="AC3:AD3"/>
    <mergeCell ref="AS3:AT3"/>
    <mergeCell ref="AK3:AL3"/>
    <mergeCell ref="AM3:AN3"/>
    <mergeCell ref="M3:N3"/>
    <mergeCell ref="O3:P3"/>
    <mergeCell ref="U3:V3"/>
    <mergeCell ref="Y3:Z3"/>
    <mergeCell ref="AI3:AJ3"/>
    <mergeCell ref="AA3:AB3"/>
    <mergeCell ref="BA2:BB2"/>
    <mergeCell ref="BD2:BE2"/>
    <mergeCell ref="BM2:BN2"/>
    <mergeCell ref="AO3:AP3"/>
    <mergeCell ref="AY3:AZ3"/>
    <mergeCell ref="BK3:BL3"/>
    <mergeCell ref="AU3:AV3"/>
    <mergeCell ref="AW3:AX3"/>
    <mergeCell ref="BG2:BH2"/>
    <mergeCell ref="AO2:AP2"/>
  </mergeCells>
  <phoneticPr fontId="1"/>
  <pageMargins left="0.39370078740157483" right="0.39370078740157483" top="0.39370078740157483" bottom="0.39370078740157483" header="0" footer="0"/>
  <pageSetup paperSize="8" scale="91" orientation="landscape" blackAndWhite="1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セル調整">
                <anchor>
                  <from>
                    <xdr:col>2</xdr:col>
                    <xdr:colOff>38100</xdr:colOff>
                    <xdr:row>0</xdr:row>
                    <xdr:rowOff>38100</xdr:rowOff>
                  </from>
                  <to>
                    <xdr:col>3</xdr:col>
                    <xdr:colOff>31750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/>
  <dimension ref="A1:B32"/>
  <sheetViews>
    <sheetView workbookViewId="0">
      <selection activeCell="B48" sqref="B48"/>
    </sheetView>
  </sheetViews>
  <sheetFormatPr defaultRowHeight="13"/>
  <cols>
    <col min="2" max="2" width="13.453125" customWidth="1"/>
  </cols>
  <sheetData>
    <row r="1" spans="1:2">
      <c r="A1" t="s">
        <v>714</v>
      </c>
      <c r="B1" t="s">
        <v>715</v>
      </c>
    </row>
    <row r="2" spans="1:2">
      <c r="B2" t="s">
        <v>589</v>
      </c>
    </row>
    <row r="3" spans="1:2">
      <c r="B3" t="s">
        <v>590</v>
      </c>
    </row>
    <row r="4" spans="1:2">
      <c r="B4" t="s">
        <v>591</v>
      </c>
    </row>
    <row r="5" spans="1:2">
      <c r="B5" t="s">
        <v>592</v>
      </c>
    </row>
    <row r="6" spans="1:2">
      <c r="B6" t="s">
        <v>593</v>
      </c>
    </row>
    <row r="7" spans="1:2">
      <c r="B7" t="s">
        <v>594</v>
      </c>
    </row>
    <row r="8" spans="1:2">
      <c r="B8" t="s">
        <v>595</v>
      </c>
    </row>
    <row r="9" spans="1:2">
      <c r="B9" t="s">
        <v>596</v>
      </c>
    </row>
    <row r="10" spans="1:2">
      <c r="B10" t="s">
        <v>597</v>
      </c>
    </row>
    <row r="11" spans="1:2">
      <c r="B11" t="s">
        <v>598</v>
      </c>
    </row>
    <row r="12" spans="1:2">
      <c r="B12" t="s">
        <v>599</v>
      </c>
    </row>
    <row r="13" spans="1:2">
      <c r="B13" t="s">
        <v>600</v>
      </c>
    </row>
    <row r="14" spans="1:2">
      <c r="B14" t="s">
        <v>601</v>
      </c>
    </row>
    <row r="15" spans="1:2">
      <c r="B15" t="s">
        <v>602</v>
      </c>
    </row>
    <row r="16" spans="1:2">
      <c r="B16" t="s">
        <v>603</v>
      </c>
    </row>
    <row r="17" spans="2:2">
      <c r="B17" t="s">
        <v>604</v>
      </c>
    </row>
    <row r="18" spans="2:2">
      <c r="B18" t="s">
        <v>605</v>
      </c>
    </row>
    <row r="19" spans="2:2">
      <c r="B19" t="s">
        <v>606</v>
      </c>
    </row>
    <row r="20" spans="2:2">
      <c r="B20" t="s">
        <v>607</v>
      </c>
    </row>
    <row r="21" spans="2:2">
      <c r="B21" t="s">
        <v>608</v>
      </c>
    </row>
    <row r="22" spans="2:2">
      <c r="B22" t="s">
        <v>609</v>
      </c>
    </row>
    <row r="23" spans="2:2">
      <c r="B23" t="s">
        <v>610</v>
      </c>
    </row>
    <row r="24" spans="2:2">
      <c r="B24" t="s">
        <v>611</v>
      </c>
    </row>
    <row r="25" spans="2:2">
      <c r="B25" t="s">
        <v>612</v>
      </c>
    </row>
    <row r="26" spans="2:2">
      <c r="B26" t="s">
        <v>613</v>
      </c>
    </row>
    <row r="27" spans="2:2">
      <c r="B27" t="s">
        <v>614</v>
      </c>
    </row>
    <row r="28" spans="2:2">
      <c r="B28" t="s">
        <v>615</v>
      </c>
    </row>
    <row r="29" spans="2:2">
      <c r="B29" t="s">
        <v>616</v>
      </c>
    </row>
    <row r="30" spans="2:2">
      <c r="B30" t="s">
        <v>617</v>
      </c>
    </row>
    <row r="31" spans="2:2">
      <c r="B31" t="s">
        <v>618</v>
      </c>
    </row>
    <row r="32" spans="2:2">
      <c r="B32" t="s">
        <v>619</v>
      </c>
    </row>
  </sheetData>
  <sheetProtection sheet="1" objects="1" scenarios="1"/>
  <phoneticPr fontId="27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V24"/>
  <sheetViews>
    <sheetView workbookViewId="0"/>
  </sheetViews>
  <sheetFormatPr defaultColWidth="12.453125" defaultRowHeight="14"/>
  <cols>
    <col min="1" max="2" width="4.453125" style="47" customWidth="1"/>
    <col min="3" max="3" width="4.453125" style="47" hidden="1" customWidth="1"/>
    <col min="4" max="5" width="15.453125" style="47" customWidth="1"/>
    <col min="6" max="10" width="5.453125" style="47" customWidth="1"/>
    <col min="11" max="11" width="22.453125" style="47" customWidth="1"/>
    <col min="12" max="13" width="4.453125" style="47" customWidth="1"/>
    <col min="14" max="14" width="0" style="47" hidden="1" customWidth="1"/>
    <col min="15" max="16" width="15.453125" style="47" customWidth="1"/>
    <col min="17" max="21" width="5.453125" style="47" customWidth="1"/>
    <col min="22" max="22" width="22.453125" style="47" customWidth="1"/>
    <col min="23" max="16384" width="12.453125" style="47"/>
  </cols>
  <sheetData>
    <row r="1" spans="1:22" ht="30" customHeight="1">
      <c r="A1" s="45" t="s">
        <v>716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5" t="str">
        <f>A1</f>
        <v>　　制作技術グループ　　勤務報告書　</v>
      </c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ht="9" customHeight="1"/>
    <row r="3" spans="1:22" ht="27.75" customHeight="1">
      <c r="F3" s="48"/>
      <c r="I3" s="47" t="s">
        <v>717</v>
      </c>
      <c r="J3" s="49" t="s">
        <v>718</v>
      </c>
      <c r="K3" s="46"/>
      <c r="Q3" s="48"/>
      <c r="T3" s="47" t="s">
        <v>717</v>
      </c>
      <c r="U3" s="49" t="s">
        <v>718</v>
      </c>
      <c r="V3" s="46"/>
    </row>
    <row r="4" spans="1:22" ht="26.15" customHeight="1">
      <c r="A4" s="50">
        <f>月間設定!C1</f>
        <v>2026</v>
      </c>
      <c r="B4" s="46"/>
      <c r="C4" s="48"/>
      <c r="D4" s="48" t="s">
        <v>0</v>
      </c>
      <c r="L4" s="50">
        <f>月間設定!C1</f>
        <v>2026</v>
      </c>
      <c r="M4" s="46"/>
      <c r="N4" s="48"/>
      <c r="O4" s="48" t="s">
        <v>0</v>
      </c>
    </row>
    <row r="5" spans="1:22" ht="27.75" customHeight="1">
      <c r="A5" s="50">
        <f>月間設定!E1</f>
        <v>6</v>
      </c>
      <c r="B5" s="46"/>
      <c r="D5" s="48" t="s">
        <v>719</v>
      </c>
      <c r="E5" s="48"/>
      <c r="L5" s="50">
        <f>月間設定!E1</f>
        <v>6</v>
      </c>
      <c r="M5" s="46"/>
      <c r="O5" s="48" t="s">
        <v>720</v>
      </c>
      <c r="P5" s="48"/>
    </row>
    <row r="6" spans="1:22" ht="12" customHeight="1">
      <c r="A6" s="48"/>
      <c r="E6" s="48"/>
      <c r="L6" s="48"/>
      <c r="P6" s="48"/>
    </row>
    <row r="7" spans="1:22" s="52" customFormat="1" ht="24" customHeight="1" thickBot="1">
      <c r="A7" s="51" t="s">
        <v>721</v>
      </c>
      <c r="B7" s="51" t="s">
        <v>722</v>
      </c>
      <c r="C7" s="51"/>
      <c r="D7" s="51" t="s">
        <v>723</v>
      </c>
      <c r="E7" s="51" t="s">
        <v>724</v>
      </c>
      <c r="F7" s="51" t="s">
        <v>725</v>
      </c>
      <c r="G7" s="51" t="s">
        <v>726</v>
      </c>
      <c r="H7" s="51" t="s">
        <v>220</v>
      </c>
      <c r="I7" s="51" t="s">
        <v>727</v>
      </c>
      <c r="J7" s="51" t="s">
        <v>728</v>
      </c>
      <c r="K7" s="51" t="s">
        <v>729</v>
      </c>
      <c r="L7" s="51" t="s">
        <v>721</v>
      </c>
      <c r="M7" s="51" t="s">
        <v>722</v>
      </c>
      <c r="N7" s="51"/>
      <c r="O7" s="51" t="s">
        <v>723</v>
      </c>
      <c r="P7" s="51" t="s">
        <v>724</v>
      </c>
      <c r="Q7" s="51" t="s">
        <v>725</v>
      </c>
      <c r="R7" s="51" t="s">
        <v>726</v>
      </c>
      <c r="S7" s="51" t="s">
        <v>220</v>
      </c>
      <c r="T7" s="51" t="s">
        <v>727</v>
      </c>
      <c r="U7" s="51" t="s">
        <v>728</v>
      </c>
      <c r="V7" s="51" t="s">
        <v>729</v>
      </c>
    </row>
    <row r="8" spans="1:22" ht="34.5" customHeight="1" thickTop="1">
      <c r="A8" s="53">
        <v>2</v>
      </c>
      <c r="B8" s="54">
        <f t="shared" ref="B8:B23" si="0">WEEKDAY(DATE($A$4,$A$5,A8))</f>
        <v>3</v>
      </c>
      <c r="C8" s="55"/>
      <c r="D8" s="56" t="s">
        <v>730</v>
      </c>
      <c r="E8" s="56" t="s">
        <v>730</v>
      </c>
      <c r="F8" s="55"/>
      <c r="G8" s="55"/>
      <c r="H8" s="55"/>
      <c r="I8" s="55"/>
      <c r="J8" s="55"/>
      <c r="K8" s="57" t="s">
        <v>731</v>
      </c>
      <c r="L8" s="53">
        <v>18</v>
      </c>
      <c r="M8" s="54">
        <f t="shared" ref="M8:M18" si="1">WEEKDAY(DATE($A$4,$A$5,L8))</f>
        <v>5</v>
      </c>
      <c r="N8" s="55"/>
      <c r="O8" s="56" t="s">
        <v>730</v>
      </c>
      <c r="P8" s="56" t="s">
        <v>730</v>
      </c>
      <c r="Q8" s="55"/>
      <c r="R8" s="55"/>
      <c r="S8" s="55"/>
      <c r="T8" s="55"/>
      <c r="U8" s="55"/>
      <c r="V8" s="57" t="s">
        <v>731</v>
      </c>
    </row>
    <row r="9" spans="1:22" ht="34.5" customHeight="1">
      <c r="A9" s="53">
        <v>3</v>
      </c>
      <c r="B9" s="54">
        <f t="shared" si="0"/>
        <v>4</v>
      </c>
      <c r="C9" s="55"/>
      <c r="D9" s="56" t="s">
        <v>730</v>
      </c>
      <c r="E9" s="56" t="s">
        <v>730</v>
      </c>
      <c r="F9" s="55"/>
      <c r="G9" s="55"/>
      <c r="H9" s="55"/>
      <c r="I9" s="55"/>
      <c r="J9" s="55"/>
      <c r="K9" s="57" t="s">
        <v>731</v>
      </c>
      <c r="L9" s="53">
        <v>19</v>
      </c>
      <c r="M9" s="54">
        <f t="shared" si="1"/>
        <v>6</v>
      </c>
      <c r="N9" s="55"/>
      <c r="O9" s="56" t="s">
        <v>730</v>
      </c>
      <c r="P9" s="56" t="s">
        <v>730</v>
      </c>
      <c r="Q9" s="55"/>
      <c r="R9" s="55"/>
      <c r="S9" s="55"/>
      <c r="T9" s="55"/>
      <c r="U9" s="55"/>
      <c r="V9" s="57" t="s">
        <v>731</v>
      </c>
    </row>
    <row r="10" spans="1:22" ht="34.5" customHeight="1">
      <c r="A10" s="53">
        <v>4</v>
      </c>
      <c r="B10" s="54">
        <f t="shared" si="0"/>
        <v>5</v>
      </c>
      <c r="C10" s="55"/>
      <c r="D10" s="56" t="s">
        <v>730</v>
      </c>
      <c r="E10" s="56" t="s">
        <v>730</v>
      </c>
      <c r="F10" s="55"/>
      <c r="G10" s="55"/>
      <c r="H10" s="55"/>
      <c r="I10" s="55"/>
      <c r="J10" s="55"/>
      <c r="K10" s="57" t="s">
        <v>731</v>
      </c>
      <c r="L10" s="53">
        <v>20</v>
      </c>
      <c r="M10" s="54">
        <f t="shared" si="1"/>
        <v>7</v>
      </c>
      <c r="N10" s="55"/>
      <c r="O10" s="56" t="s">
        <v>730</v>
      </c>
      <c r="P10" s="56" t="s">
        <v>730</v>
      </c>
      <c r="Q10" s="55"/>
      <c r="R10" s="55"/>
      <c r="S10" s="55"/>
      <c r="T10" s="55"/>
      <c r="U10" s="55"/>
      <c r="V10" s="57" t="s">
        <v>731</v>
      </c>
    </row>
    <row r="11" spans="1:22" ht="34.5" customHeight="1">
      <c r="A11" s="53">
        <v>5</v>
      </c>
      <c r="B11" s="54">
        <f t="shared" si="0"/>
        <v>6</v>
      </c>
      <c r="C11" s="55"/>
      <c r="D11" s="56" t="s">
        <v>730</v>
      </c>
      <c r="E11" s="56" t="s">
        <v>730</v>
      </c>
      <c r="F11" s="55"/>
      <c r="G11" s="55"/>
      <c r="H11" s="55"/>
      <c r="I11" s="55"/>
      <c r="J11" s="55"/>
      <c r="K11" s="57" t="s">
        <v>731</v>
      </c>
      <c r="L11" s="53">
        <v>21</v>
      </c>
      <c r="M11" s="54">
        <f t="shared" si="1"/>
        <v>1</v>
      </c>
      <c r="N11" s="55"/>
      <c r="O11" s="56" t="s">
        <v>730</v>
      </c>
      <c r="P11" s="56" t="s">
        <v>730</v>
      </c>
      <c r="Q11" s="55"/>
      <c r="R11" s="55"/>
      <c r="S11" s="55"/>
      <c r="T11" s="55"/>
      <c r="U11" s="55"/>
      <c r="V11" s="57" t="s">
        <v>731</v>
      </c>
    </row>
    <row r="12" spans="1:22" ht="34.5" customHeight="1">
      <c r="A12" s="53">
        <v>6</v>
      </c>
      <c r="B12" s="54">
        <f t="shared" si="0"/>
        <v>7</v>
      </c>
      <c r="C12" s="55"/>
      <c r="D12" s="56" t="s">
        <v>730</v>
      </c>
      <c r="E12" s="56" t="s">
        <v>730</v>
      </c>
      <c r="F12" s="55"/>
      <c r="G12" s="55"/>
      <c r="H12" s="55"/>
      <c r="I12" s="55"/>
      <c r="J12" s="55"/>
      <c r="K12" s="57" t="s">
        <v>731</v>
      </c>
      <c r="L12" s="53">
        <v>22</v>
      </c>
      <c r="M12" s="54">
        <f t="shared" si="1"/>
        <v>2</v>
      </c>
      <c r="N12" s="55"/>
      <c r="O12" s="56" t="s">
        <v>730</v>
      </c>
      <c r="P12" s="56" t="s">
        <v>730</v>
      </c>
      <c r="Q12" s="55"/>
      <c r="R12" s="55"/>
      <c r="S12" s="55"/>
      <c r="T12" s="55"/>
      <c r="U12" s="55"/>
      <c r="V12" s="57" t="s">
        <v>731</v>
      </c>
    </row>
    <row r="13" spans="1:22" ht="34.5" customHeight="1">
      <c r="A13" s="53">
        <v>7</v>
      </c>
      <c r="B13" s="54">
        <f t="shared" si="0"/>
        <v>1</v>
      </c>
      <c r="C13" s="55"/>
      <c r="D13" s="56" t="s">
        <v>730</v>
      </c>
      <c r="E13" s="56" t="s">
        <v>730</v>
      </c>
      <c r="F13" s="55"/>
      <c r="G13" s="55"/>
      <c r="H13" s="55"/>
      <c r="I13" s="55"/>
      <c r="J13" s="55"/>
      <c r="K13" s="57" t="s">
        <v>731</v>
      </c>
      <c r="L13" s="53">
        <v>23</v>
      </c>
      <c r="M13" s="54">
        <f t="shared" si="1"/>
        <v>3</v>
      </c>
      <c r="N13" s="55"/>
      <c r="O13" s="56" t="s">
        <v>730</v>
      </c>
      <c r="P13" s="56" t="s">
        <v>730</v>
      </c>
      <c r="Q13" s="55"/>
      <c r="R13" s="55"/>
      <c r="S13" s="55"/>
      <c r="T13" s="55"/>
      <c r="U13" s="55"/>
      <c r="V13" s="57" t="s">
        <v>731</v>
      </c>
    </row>
    <row r="14" spans="1:22" ht="34.5" customHeight="1">
      <c r="A14" s="53">
        <v>8</v>
      </c>
      <c r="B14" s="54">
        <f t="shared" si="0"/>
        <v>2</v>
      </c>
      <c r="C14" s="55"/>
      <c r="D14" s="56" t="s">
        <v>730</v>
      </c>
      <c r="E14" s="56" t="s">
        <v>730</v>
      </c>
      <c r="F14" s="55"/>
      <c r="G14" s="55"/>
      <c r="H14" s="55"/>
      <c r="I14" s="55"/>
      <c r="J14" s="55"/>
      <c r="K14" s="57" t="s">
        <v>731</v>
      </c>
      <c r="L14" s="53">
        <v>24</v>
      </c>
      <c r="M14" s="54">
        <f t="shared" si="1"/>
        <v>4</v>
      </c>
      <c r="N14" s="55"/>
      <c r="O14" s="56" t="s">
        <v>730</v>
      </c>
      <c r="P14" s="56" t="s">
        <v>730</v>
      </c>
      <c r="Q14" s="55"/>
      <c r="R14" s="55"/>
      <c r="S14" s="55"/>
      <c r="T14" s="55"/>
      <c r="U14" s="55"/>
      <c r="V14" s="57" t="s">
        <v>731</v>
      </c>
    </row>
    <row r="15" spans="1:22" ht="34.5" customHeight="1">
      <c r="A15" s="53">
        <v>9</v>
      </c>
      <c r="B15" s="54">
        <f t="shared" si="0"/>
        <v>3</v>
      </c>
      <c r="C15" s="55"/>
      <c r="D15" s="56" t="s">
        <v>730</v>
      </c>
      <c r="E15" s="56" t="s">
        <v>730</v>
      </c>
      <c r="F15" s="55"/>
      <c r="G15" s="55"/>
      <c r="H15" s="55"/>
      <c r="I15" s="55"/>
      <c r="J15" s="55"/>
      <c r="K15" s="57" t="s">
        <v>731</v>
      </c>
      <c r="L15" s="53">
        <v>25</v>
      </c>
      <c r="M15" s="54">
        <f t="shared" si="1"/>
        <v>5</v>
      </c>
      <c r="N15" s="55"/>
      <c r="O15" s="56" t="s">
        <v>730</v>
      </c>
      <c r="P15" s="56" t="s">
        <v>730</v>
      </c>
      <c r="Q15" s="55"/>
      <c r="R15" s="55"/>
      <c r="S15" s="55"/>
      <c r="T15" s="55"/>
      <c r="U15" s="55"/>
      <c r="V15" s="57" t="s">
        <v>731</v>
      </c>
    </row>
    <row r="16" spans="1:22" ht="34.5" customHeight="1">
      <c r="A16" s="53">
        <v>10</v>
      </c>
      <c r="B16" s="54">
        <f t="shared" si="0"/>
        <v>4</v>
      </c>
      <c r="C16" s="55"/>
      <c r="D16" s="56" t="s">
        <v>730</v>
      </c>
      <c r="E16" s="56" t="s">
        <v>730</v>
      </c>
      <c r="F16" s="55"/>
      <c r="G16" s="55"/>
      <c r="H16" s="55"/>
      <c r="I16" s="55"/>
      <c r="J16" s="55"/>
      <c r="K16" s="57" t="s">
        <v>731</v>
      </c>
      <c r="L16" s="53">
        <v>26</v>
      </c>
      <c r="M16" s="54">
        <f t="shared" si="1"/>
        <v>6</v>
      </c>
      <c r="N16" s="55"/>
      <c r="O16" s="56" t="s">
        <v>730</v>
      </c>
      <c r="P16" s="56" t="s">
        <v>730</v>
      </c>
      <c r="Q16" s="55"/>
      <c r="R16" s="55"/>
      <c r="S16" s="55"/>
      <c r="T16" s="55"/>
      <c r="U16" s="55"/>
      <c r="V16" s="57" t="s">
        <v>731</v>
      </c>
    </row>
    <row r="17" spans="1:22" ht="34.5" customHeight="1">
      <c r="A17" s="53">
        <v>11</v>
      </c>
      <c r="B17" s="54">
        <f t="shared" si="0"/>
        <v>5</v>
      </c>
      <c r="C17" s="55"/>
      <c r="D17" s="56" t="s">
        <v>730</v>
      </c>
      <c r="E17" s="56" t="s">
        <v>730</v>
      </c>
      <c r="F17" s="55"/>
      <c r="G17" s="55"/>
      <c r="H17" s="55"/>
      <c r="I17" s="55"/>
      <c r="J17" s="55"/>
      <c r="K17" s="57" t="s">
        <v>731</v>
      </c>
      <c r="L17" s="53">
        <v>27</v>
      </c>
      <c r="M17" s="54">
        <f t="shared" si="1"/>
        <v>7</v>
      </c>
      <c r="N17" s="55"/>
      <c r="O17" s="56" t="s">
        <v>730</v>
      </c>
      <c r="P17" s="56" t="s">
        <v>730</v>
      </c>
      <c r="Q17" s="55"/>
      <c r="R17" s="55"/>
      <c r="S17" s="55"/>
      <c r="T17" s="55"/>
      <c r="U17" s="55"/>
      <c r="V17" s="57" t="s">
        <v>731</v>
      </c>
    </row>
    <row r="18" spans="1:22" ht="34.5" customHeight="1">
      <c r="A18" s="53">
        <v>12</v>
      </c>
      <c r="B18" s="54">
        <f t="shared" si="0"/>
        <v>6</v>
      </c>
      <c r="C18" s="55"/>
      <c r="D18" s="56" t="s">
        <v>730</v>
      </c>
      <c r="E18" s="56" t="s">
        <v>730</v>
      </c>
      <c r="F18" s="55"/>
      <c r="G18" s="55"/>
      <c r="H18" s="55"/>
      <c r="I18" s="55"/>
      <c r="J18" s="55"/>
      <c r="K18" s="57" t="s">
        <v>731</v>
      </c>
      <c r="L18" s="53">
        <v>28</v>
      </c>
      <c r="M18" s="54">
        <f t="shared" si="1"/>
        <v>1</v>
      </c>
      <c r="N18" s="55"/>
      <c r="O18" s="56" t="s">
        <v>730</v>
      </c>
      <c r="P18" s="56" t="s">
        <v>730</v>
      </c>
      <c r="Q18" s="55"/>
      <c r="R18" s="55"/>
      <c r="S18" s="55"/>
      <c r="T18" s="55"/>
      <c r="U18" s="55"/>
      <c r="V18" s="57" t="s">
        <v>731</v>
      </c>
    </row>
    <row r="19" spans="1:22" ht="34.5" customHeight="1">
      <c r="A19" s="53">
        <v>13</v>
      </c>
      <c r="B19" s="54">
        <f t="shared" si="0"/>
        <v>7</v>
      </c>
      <c r="C19" s="55"/>
      <c r="D19" s="56" t="s">
        <v>730</v>
      </c>
      <c r="E19" s="56" t="s">
        <v>730</v>
      </c>
      <c r="F19" s="55"/>
      <c r="G19" s="55"/>
      <c r="H19" s="55"/>
      <c r="I19" s="55"/>
      <c r="J19" s="55"/>
      <c r="K19" s="57" t="s">
        <v>731</v>
      </c>
      <c r="L19" s="53">
        <v>29</v>
      </c>
      <c r="M19" s="54">
        <f>MOD(M18+1,7)</f>
        <v>2</v>
      </c>
      <c r="N19" s="55"/>
      <c r="O19" s="56" t="s">
        <v>730</v>
      </c>
      <c r="P19" s="56" t="s">
        <v>730</v>
      </c>
      <c r="Q19" s="55"/>
      <c r="R19" s="55"/>
      <c r="S19" s="55"/>
      <c r="T19" s="55"/>
      <c r="U19" s="55"/>
      <c r="V19" s="57" t="s">
        <v>731</v>
      </c>
    </row>
    <row r="20" spans="1:22" ht="34.5" customHeight="1">
      <c r="A20" s="53">
        <v>14</v>
      </c>
      <c r="B20" s="54">
        <f t="shared" si="0"/>
        <v>1</v>
      </c>
      <c r="C20" s="55"/>
      <c r="D20" s="56" t="s">
        <v>730</v>
      </c>
      <c r="E20" s="56" t="s">
        <v>730</v>
      </c>
      <c r="F20" s="55"/>
      <c r="G20" s="55"/>
      <c r="H20" s="55"/>
      <c r="I20" s="55"/>
      <c r="J20" s="55"/>
      <c r="K20" s="57" t="s">
        <v>731</v>
      </c>
      <c r="L20" s="53">
        <v>30</v>
      </c>
      <c r="M20" s="54">
        <f>IF(L20="","",MOD(M19+1,7))</f>
        <v>3</v>
      </c>
      <c r="N20" s="55"/>
      <c r="O20" s="56" t="s">
        <v>730</v>
      </c>
      <c r="P20" s="56" t="s">
        <v>730</v>
      </c>
      <c r="Q20" s="55"/>
      <c r="R20" s="55"/>
      <c r="S20" s="55"/>
      <c r="T20" s="55"/>
      <c r="U20" s="55"/>
      <c r="V20" s="57" t="s">
        <v>731</v>
      </c>
    </row>
    <row r="21" spans="1:22" ht="34.5" customHeight="1">
      <c r="A21" s="53">
        <v>15</v>
      </c>
      <c r="B21" s="54">
        <f t="shared" si="0"/>
        <v>2</v>
      </c>
      <c r="C21" s="55"/>
      <c r="D21" s="56" t="s">
        <v>730</v>
      </c>
      <c r="E21" s="56" t="s">
        <v>730</v>
      </c>
      <c r="F21" s="55"/>
      <c r="G21" s="55"/>
      <c r="H21" s="55"/>
      <c r="I21" s="55"/>
      <c r="J21" s="55"/>
      <c r="K21" s="57" t="s">
        <v>731</v>
      </c>
      <c r="L21" s="53">
        <v>31</v>
      </c>
      <c r="M21" s="54">
        <f>IF(L21="","",MOD(M20+1,7))</f>
        <v>4</v>
      </c>
      <c r="N21" s="55"/>
      <c r="O21" s="56" t="s">
        <v>730</v>
      </c>
      <c r="P21" s="56" t="s">
        <v>730</v>
      </c>
      <c r="Q21" s="55"/>
      <c r="R21" s="55"/>
      <c r="S21" s="55"/>
      <c r="T21" s="55"/>
      <c r="U21" s="55"/>
      <c r="V21" s="57" t="s">
        <v>731</v>
      </c>
    </row>
    <row r="22" spans="1:22" ht="34.5" customHeight="1">
      <c r="A22" s="53">
        <v>16</v>
      </c>
      <c r="B22" s="54">
        <f t="shared" si="0"/>
        <v>3</v>
      </c>
      <c r="C22" s="55"/>
      <c r="D22" s="56" t="s">
        <v>730</v>
      </c>
      <c r="E22" s="56" t="s">
        <v>730</v>
      </c>
      <c r="F22" s="55"/>
      <c r="G22" s="55"/>
      <c r="H22" s="55"/>
      <c r="I22" s="55"/>
      <c r="J22" s="55"/>
      <c r="K22" s="57" t="s">
        <v>731</v>
      </c>
      <c r="L22" s="53">
        <v>1</v>
      </c>
      <c r="M22" s="54">
        <f>IF(L22="","",MOD(M21+1,7))</f>
        <v>5</v>
      </c>
      <c r="N22" s="55"/>
      <c r="O22" s="56" t="s">
        <v>730</v>
      </c>
      <c r="P22" s="56" t="s">
        <v>730</v>
      </c>
      <c r="Q22" s="55"/>
      <c r="R22" s="55"/>
      <c r="S22" s="55"/>
      <c r="T22" s="55"/>
      <c r="U22" s="55"/>
      <c r="V22" s="57"/>
    </row>
    <row r="23" spans="1:22" ht="34.5" customHeight="1">
      <c r="A23" s="53">
        <v>17</v>
      </c>
      <c r="B23" s="54">
        <f t="shared" si="0"/>
        <v>4</v>
      </c>
      <c r="C23" s="55"/>
      <c r="D23" s="56" t="s">
        <v>730</v>
      </c>
      <c r="E23" s="56" t="s">
        <v>730</v>
      </c>
      <c r="F23" s="55"/>
      <c r="G23" s="55"/>
      <c r="H23" s="55"/>
      <c r="I23" s="55"/>
      <c r="J23" s="55"/>
      <c r="K23" s="57" t="s">
        <v>731</v>
      </c>
      <c r="L23" s="53"/>
      <c r="M23" s="54"/>
      <c r="N23" s="55"/>
      <c r="O23" s="56" t="s">
        <v>730</v>
      </c>
      <c r="P23" s="56" t="s">
        <v>730</v>
      </c>
      <c r="Q23" s="55"/>
      <c r="R23" s="55"/>
      <c r="S23" s="55"/>
      <c r="T23" s="55"/>
      <c r="U23" s="55"/>
      <c r="V23" s="57"/>
    </row>
    <row r="24" spans="1:22" ht="27" customHeight="1"/>
  </sheetData>
  <sheetProtection sheet="1" objects="1" scenarios="1"/>
  <customSheetViews>
    <customSheetView guid="{48D17560-CF9A-4AC4-87A5-512F1C94B1E6}" scale="75" hiddenColumns="1" showRuler="0">
      <pageMargins left="0" right="0" top="0" bottom="0" header="0" footer="0"/>
      <pageSetup paperSize="9" orientation="portrait" horizontalDpi="4294967292" verticalDpi="4294967292" r:id="rId1"/>
      <headerFooter alignWithMargins="0">
        <oddHeader>&amp;C↑</oddHeader>
        <oddFooter>&amp;C廣畑　秀史</oddFooter>
      </headerFooter>
    </customSheetView>
  </customSheetViews>
  <phoneticPr fontId="6"/>
  <pageMargins left="0.51181102362204722" right="0.47244094488188981" top="1.1023622047244095" bottom="0.70866141732283472" header="0.51181102362204722" footer="0.51181102362204722"/>
  <pageSetup paperSize="9" orientation="portrait" blackAndWhite="1" horizontalDpi="4294967292" verticalDpi="4294967292" r:id="rId2"/>
  <headerFooter alignWithMargins="0">
    <oddHeader>&amp;C↑</oddHeader>
    <oddFooter>&amp;C鈴木　直人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V38"/>
  <sheetViews>
    <sheetView workbookViewId="0">
      <selection activeCell="C23" sqref="C23"/>
    </sheetView>
  </sheetViews>
  <sheetFormatPr defaultColWidth="10.453125" defaultRowHeight="14"/>
  <cols>
    <col min="1" max="1" width="2.453125" style="4" customWidth="1"/>
    <col min="2" max="2" width="7.453125" style="4" customWidth="1"/>
    <col min="3" max="3" width="9.453125" style="4" customWidth="1"/>
    <col min="4" max="11" width="5.453125" style="4" customWidth="1"/>
    <col min="12" max="12" width="10.453125" style="25" customWidth="1"/>
    <col min="13" max="13" width="2.453125" style="25" customWidth="1"/>
    <col min="14" max="14" width="10.453125" style="25" customWidth="1"/>
    <col min="15" max="15" width="2.453125" customWidth="1"/>
  </cols>
  <sheetData>
    <row r="1" spans="1:22" ht="21">
      <c r="A1" s="1"/>
      <c r="B1" s="1"/>
      <c r="C1" s="2">
        <f>月間設定!C1</f>
        <v>2026</v>
      </c>
      <c r="D1" s="1" t="s">
        <v>0</v>
      </c>
      <c r="E1" s="2">
        <f>月間設定!E1</f>
        <v>6</v>
      </c>
      <c r="F1" s="1" t="s">
        <v>1</v>
      </c>
      <c r="G1" s="1"/>
      <c r="H1" s="1" t="s">
        <v>17</v>
      </c>
      <c r="I1" s="2">
        <f>月間設定!I1</f>
        <v>8</v>
      </c>
      <c r="J1" s="1" t="s">
        <v>18</v>
      </c>
      <c r="K1" s="3">
        <f>IF(AND(E1=2,MOD(C1,4)&lt;&gt;0),28,IF(AND(E1=2,MOD(C1,4)=0),29,IF(OR(E1=4,E1=6,E1=9,E1=11),30,31)))</f>
        <v>30</v>
      </c>
      <c r="L1" s="22"/>
      <c r="N1" s="22"/>
      <c r="P1" s="22"/>
      <c r="S1" s="22"/>
      <c r="U1" s="22"/>
    </row>
    <row r="2" spans="1:22">
      <c r="L2" s="97" t="s">
        <v>732</v>
      </c>
      <c r="M2" s="97"/>
      <c r="N2" s="97" t="s">
        <v>733</v>
      </c>
      <c r="O2" s="97"/>
      <c r="P2" s="97" t="s">
        <v>734</v>
      </c>
      <c r="S2" s="22"/>
      <c r="U2" s="22"/>
      <c r="V2" s="22"/>
    </row>
    <row r="3" spans="1:22">
      <c r="L3" s="97" t="s">
        <v>735</v>
      </c>
      <c r="M3" s="97"/>
      <c r="N3" s="97" t="s">
        <v>164</v>
      </c>
      <c r="O3" s="97"/>
      <c r="P3" s="97" t="s">
        <v>736</v>
      </c>
      <c r="S3" s="22"/>
      <c r="U3" s="22"/>
    </row>
    <row r="4" spans="1:22">
      <c r="L4" s="97" t="s">
        <v>737</v>
      </c>
      <c r="M4" s="97"/>
      <c r="N4" s="97" t="s">
        <v>738</v>
      </c>
      <c r="O4" s="97"/>
      <c r="P4" s="97" t="s">
        <v>739</v>
      </c>
      <c r="S4" s="22"/>
      <c r="U4" s="22"/>
    </row>
    <row r="5" spans="1:22">
      <c r="L5" s="97" t="s">
        <v>740</v>
      </c>
      <c r="M5" s="97"/>
      <c r="N5" s="97" t="s">
        <v>741</v>
      </c>
      <c r="O5" s="97"/>
      <c r="P5" s="97" t="s">
        <v>742</v>
      </c>
      <c r="R5" s="22"/>
      <c r="S5" s="22"/>
      <c r="U5" s="22"/>
    </row>
    <row r="6" spans="1:22">
      <c r="L6" s="97" t="s">
        <v>743</v>
      </c>
      <c r="M6" s="97"/>
      <c r="N6" s="97" t="s">
        <v>128</v>
      </c>
      <c r="O6" s="97"/>
      <c r="P6" s="97" t="s">
        <v>744</v>
      </c>
      <c r="R6" s="22"/>
      <c r="S6" s="22"/>
      <c r="U6" s="22"/>
    </row>
    <row r="7" spans="1:22">
      <c r="L7" s="97" t="s">
        <v>745</v>
      </c>
      <c r="M7" s="97"/>
      <c r="N7" s="97" t="s">
        <v>746</v>
      </c>
      <c r="O7" s="97"/>
      <c r="P7" s="97"/>
      <c r="S7" s="22"/>
      <c r="U7" s="22"/>
    </row>
    <row r="8" spans="1:22">
      <c r="L8" s="97" t="s">
        <v>747</v>
      </c>
      <c r="M8" s="97"/>
      <c r="N8" s="97" t="s">
        <v>748</v>
      </c>
      <c r="O8" s="97"/>
      <c r="P8" s="97" t="s">
        <v>749</v>
      </c>
      <c r="S8" s="22"/>
      <c r="U8" s="22"/>
    </row>
    <row r="9" spans="1:22">
      <c r="L9" s="97" t="s">
        <v>193</v>
      </c>
      <c r="M9" s="97"/>
      <c r="N9" s="97" t="s">
        <v>750</v>
      </c>
      <c r="O9" s="97"/>
      <c r="P9" s="97" t="s">
        <v>751</v>
      </c>
      <c r="R9" s="22"/>
      <c r="S9" s="22"/>
      <c r="U9" s="22"/>
      <c r="V9" s="22"/>
    </row>
    <row r="10" spans="1:22">
      <c r="L10" s="97" t="s">
        <v>752</v>
      </c>
      <c r="M10" s="97"/>
      <c r="N10" s="97" t="s">
        <v>753</v>
      </c>
      <c r="O10" s="97"/>
      <c r="P10" s="97"/>
      <c r="S10" s="22"/>
      <c r="U10" s="22"/>
      <c r="V10" s="22"/>
    </row>
    <row r="11" spans="1:22">
      <c r="L11" s="97" t="s">
        <v>754</v>
      </c>
      <c r="M11" s="97"/>
      <c r="N11" s="97" t="s">
        <v>117</v>
      </c>
      <c r="O11" s="97"/>
      <c r="P11" s="97"/>
      <c r="S11" s="22"/>
      <c r="U11" s="22"/>
    </row>
    <row r="12" spans="1:22">
      <c r="L12" s="97" t="s">
        <v>755</v>
      </c>
      <c r="M12" s="97"/>
      <c r="N12" s="97" t="s">
        <v>756</v>
      </c>
      <c r="O12" s="97"/>
      <c r="P12" s="97"/>
      <c r="S12" s="22"/>
      <c r="T12" s="22"/>
    </row>
    <row r="13" spans="1:22">
      <c r="L13" s="97" t="s">
        <v>757</v>
      </c>
      <c r="M13" s="97"/>
      <c r="N13" s="97" t="s">
        <v>758</v>
      </c>
      <c r="O13" s="97"/>
      <c r="S13" s="22"/>
      <c r="U13" s="22"/>
    </row>
    <row r="14" spans="1:22">
      <c r="L14" s="97" t="s">
        <v>759</v>
      </c>
      <c r="M14" s="97"/>
      <c r="N14" s="97" t="s">
        <v>760</v>
      </c>
      <c r="O14" s="97"/>
      <c r="P14" s="97"/>
      <c r="S14" s="22"/>
      <c r="T14" s="22"/>
      <c r="U14" s="22"/>
    </row>
    <row r="15" spans="1:22">
      <c r="L15" s="97" t="s">
        <v>761</v>
      </c>
      <c r="M15" s="97"/>
      <c r="N15" s="97" t="s">
        <v>762</v>
      </c>
      <c r="O15" s="97"/>
      <c r="P15" s="97"/>
      <c r="S15" s="22"/>
      <c r="U15" s="22"/>
    </row>
    <row r="16" spans="1:22">
      <c r="L16" s="97" t="s">
        <v>763</v>
      </c>
      <c r="M16" s="97"/>
      <c r="N16" s="97" t="s">
        <v>764</v>
      </c>
      <c r="O16" s="97"/>
      <c r="P16" s="97"/>
      <c r="S16" s="22"/>
      <c r="U16" s="22"/>
    </row>
    <row r="17" spans="12:21">
      <c r="L17" s="97" t="s">
        <v>765</v>
      </c>
      <c r="M17" s="97"/>
      <c r="N17" s="97" t="s">
        <v>181</v>
      </c>
      <c r="O17" s="97"/>
      <c r="P17" s="97"/>
      <c r="S17" s="22"/>
      <c r="U17" s="22"/>
    </row>
    <row r="18" spans="12:21">
      <c r="L18" s="97" t="s">
        <v>766</v>
      </c>
      <c r="M18" s="97"/>
      <c r="N18" s="97" t="s">
        <v>767</v>
      </c>
      <c r="O18" s="97"/>
      <c r="P18" s="97"/>
      <c r="S18" s="22"/>
      <c r="T18" s="22"/>
      <c r="U18" s="22"/>
    </row>
    <row r="19" spans="12:21">
      <c r="L19" s="97" t="s">
        <v>768</v>
      </c>
      <c r="M19" s="22"/>
      <c r="N19" s="97" t="s">
        <v>769</v>
      </c>
      <c r="O19" s="22"/>
      <c r="P19" s="22"/>
      <c r="Q19" s="22"/>
      <c r="R19" s="97"/>
    </row>
    <row r="20" spans="12:21">
      <c r="L20" s="97" t="s">
        <v>770</v>
      </c>
      <c r="M20" s="22"/>
      <c r="N20" s="97" t="s">
        <v>771</v>
      </c>
      <c r="O20" s="97"/>
      <c r="P20" s="22"/>
      <c r="Q20" s="22"/>
      <c r="R20" s="97"/>
    </row>
    <row r="21" spans="12:21">
      <c r="L21" s="12"/>
      <c r="M21" s="22"/>
      <c r="N21" s="22"/>
      <c r="O21" s="97"/>
      <c r="P21" s="22"/>
      <c r="Q21" s="22"/>
      <c r="R21" s="97"/>
    </row>
    <row r="22" spans="12:21">
      <c r="L22" s="22"/>
      <c r="M22" s="22"/>
      <c r="N22" s="22"/>
      <c r="O22" s="98"/>
      <c r="P22" s="22"/>
      <c r="Q22" s="22"/>
      <c r="R22" s="97"/>
    </row>
    <row r="23" spans="12:21">
      <c r="L23" s="22"/>
      <c r="M23" s="22"/>
      <c r="N23" s="22"/>
      <c r="O23" s="98"/>
      <c r="P23" s="22"/>
      <c r="Q23" s="97"/>
      <c r="R23" s="97"/>
    </row>
    <row r="24" spans="12:21">
      <c r="L24" s="22"/>
      <c r="M24" s="22"/>
      <c r="N24" s="22"/>
      <c r="P24" s="22"/>
      <c r="Q24" s="97"/>
      <c r="R24" s="97"/>
    </row>
    <row r="25" spans="12:21">
      <c r="L25" s="22"/>
      <c r="M25" s="22"/>
      <c r="N25" s="22"/>
      <c r="P25" s="22"/>
      <c r="Q25" s="98"/>
      <c r="R25" s="98"/>
    </row>
    <row r="26" spans="12:21">
      <c r="L26" s="22"/>
      <c r="M26" s="22"/>
      <c r="N26" s="22"/>
      <c r="P26" s="22"/>
      <c r="Q26" s="98"/>
      <c r="R26" s="98"/>
    </row>
    <row r="27" spans="12:21">
      <c r="L27" s="22"/>
      <c r="M27" s="22"/>
      <c r="N27" s="22"/>
      <c r="P27" s="22"/>
    </row>
    <row r="28" spans="12:21">
      <c r="L28" s="22"/>
      <c r="M28" s="22"/>
      <c r="N28" s="22"/>
      <c r="P28" s="22"/>
    </row>
    <row r="29" spans="12:21">
      <c r="L29" s="22"/>
      <c r="M29" s="22"/>
      <c r="N29" s="22"/>
      <c r="P29" s="22"/>
    </row>
    <row r="30" spans="12:21">
      <c r="L30" s="22"/>
      <c r="M30" s="22"/>
      <c r="N30" s="22"/>
      <c r="P30" s="22"/>
    </row>
    <row r="31" spans="12:21">
      <c r="L31" s="22"/>
      <c r="M31" s="22"/>
      <c r="N31" s="22"/>
      <c r="P31" s="22"/>
    </row>
    <row r="32" spans="12:21">
      <c r="L32" s="22"/>
      <c r="M32" s="22"/>
      <c r="N32" s="22"/>
      <c r="P32" s="22"/>
    </row>
    <row r="33" spans="12:16">
      <c r="L33" s="22"/>
      <c r="M33" s="22"/>
      <c r="N33" s="22"/>
      <c r="P33" s="22"/>
    </row>
    <row r="34" spans="12:16">
      <c r="L34" s="22"/>
      <c r="M34" s="22"/>
      <c r="N34" s="22"/>
      <c r="P34" s="22"/>
    </row>
    <row r="35" spans="12:16">
      <c r="L35" s="22"/>
      <c r="M35" s="22"/>
      <c r="N35" s="22"/>
      <c r="P35" s="22"/>
    </row>
    <row r="36" spans="12:16">
      <c r="L36" s="22"/>
      <c r="M36" s="22"/>
      <c r="N36" s="22"/>
      <c r="P36" s="22"/>
    </row>
    <row r="37" spans="12:16">
      <c r="L37" s="22"/>
      <c r="M37" s="22"/>
      <c r="N37" s="22"/>
    </row>
    <row r="38" spans="12:16">
      <c r="M38" s="22"/>
    </row>
  </sheetData>
  <customSheetViews>
    <customSheetView guid="{48D17560-CF9A-4AC4-87A5-512F1C94B1E6}" showRuler="0">
      <selection activeCell="L1" sqref="L1"/>
      <pageMargins left="0" right="0" top="0" bottom="0" header="0" footer="0"/>
      <pageSetup paperSize="9" orientation="portrait" verticalDpi="0"/>
      <headerFooter alignWithMargins="0">
        <oddHeader>&amp;A</oddHeader>
        <oddFooter>- &amp;P -</oddFooter>
      </headerFooter>
    </customSheetView>
  </customSheetViews>
  <phoneticPr fontId="9"/>
  <printOptions gridLinesSet="0"/>
  <pageMargins left="0.75" right="0.75" top="1" bottom="1" header="0.51200000000000001" footer="0.51200000000000001"/>
  <pageSetup paperSize="9" orientation="portrait" verticalDpi="0"/>
  <headerFooter alignWithMargins="0">
    <oddHeader>&amp;A</oddHeader>
    <oddFooter>- &amp;P -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Line="0" autoPict="0" macro="[0]!Repo1s">
                <anchor moveWithCells="1" sizeWithCells="1">
                  <from>
                    <xdr:col>2</xdr:col>
                    <xdr:colOff>260350</xdr:colOff>
                    <xdr:row>15</xdr:row>
                    <xdr:rowOff>107950</xdr:rowOff>
                  </from>
                  <to>
                    <xdr:col>7</xdr:col>
                    <xdr:colOff>114300</xdr:colOff>
                    <xdr:row>19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po_1">
                <anchor moveWithCells="1" sizeWithCells="1">
                  <from>
                    <xdr:col>2</xdr:col>
                    <xdr:colOff>266700</xdr:colOff>
                    <xdr:row>3</xdr:row>
                    <xdr:rowOff>76200</xdr:rowOff>
                  </from>
                  <to>
                    <xdr:col>7</xdr:col>
                    <xdr:colOff>146050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Repo_2">
                <anchor moveWithCells="1" sizeWithCells="1">
                  <from>
                    <xdr:col>2</xdr:col>
                    <xdr:colOff>298450</xdr:colOff>
                    <xdr:row>8</xdr:row>
                    <xdr:rowOff>76200</xdr:rowOff>
                  </from>
                  <to>
                    <xdr:col>7</xdr:col>
                    <xdr:colOff>146050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CB92"/>
  <sheetViews>
    <sheetView workbookViewId="0">
      <pane xSplit="2" ySplit="4" topLeftCell="AE70" activePane="bottomRight" state="frozen"/>
      <selection pane="topRight" activeCell="C1" sqref="C1"/>
      <selection pane="bottomLeft" activeCell="A5" sqref="A5"/>
      <selection pane="bottomRight"/>
    </sheetView>
  </sheetViews>
  <sheetFormatPr defaultColWidth="7.453125" defaultRowHeight="13.5" customHeight="1"/>
  <cols>
    <col min="1" max="1" width="3.453125" style="22" customWidth="1"/>
    <col min="2" max="2" width="10.453125" style="22" customWidth="1"/>
    <col min="3" max="18" width="7.453125" style="306"/>
    <col min="19" max="19" width="8.453125" style="22" customWidth="1"/>
    <col min="20" max="21" width="3.453125" style="22" customWidth="1"/>
    <col min="22" max="22" width="10.453125" style="22" customWidth="1"/>
    <col min="23" max="38" width="7.453125" style="306"/>
    <col min="39" max="39" width="8.453125" style="22" customWidth="1"/>
    <col min="40" max="41" width="3.453125" style="22" customWidth="1"/>
    <col min="42" max="42" width="10.453125" style="22" customWidth="1"/>
    <col min="43" max="58" width="7.453125" style="306"/>
    <col min="59" max="59" width="8.453125" style="22" customWidth="1"/>
    <col min="60" max="61" width="3.453125" style="22" customWidth="1"/>
    <col min="62" max="62" width="10.453125" style="22" customWidth="1"/>
    <col min="63" max="78" width="7.453125" style="306"/>
    <col min="79" max="79" width="8.453125" style="22" customWidth="1"/>
    <col min="80" max="80" width="3.453125" style="22" customWidth="1"/>
    <col min="81" max="16384" width="7.453125" style="306"/>
  </cols>
  <sheetData>
    <row r="1" spans="2:79" ht="13.5" customHeight="1">
      <c r="B1" s="22" t="s">
        <v>772</v>
      </c>
      <c r="V1" s="22" t="s">
        <v>773</v>
      </c>
      <c r="AP1" s="22" t="s">
        <v>774</v>
      </c>
      <c r="BJ1" s="22" t="s">
        <v>775</v>
      </c>
    </row>
    <row r="2" spans="2:79" ht="13.5" customHeight="1" thickBot="1"/>
    <row r="3" spans="2:79" ht="13.5" customHeight="1" thickTop="1">
      <c r="B3" s="294" t="str">
        <f>月間設定!C1&amp;"年"</f>
        <v>2026年</v>
      </c>
      <c r="C3" s="27">
        <v>1</v>
      </c>
      <c r="D3" s="27">
        <v>2</v>
      </c>
      <c r="E3" s="27">
        <v>3</v>
      </c>
      <c r="F3" s="27">
        <v>4</v>
      </c>
      <c r="G3" s="27">
        <v>5</v>
      </c>
      <c r="H3" s="295">
        <v>6</v>
      </c>
      <c r="I3" s="27">
        <v>7</v>
      </c>
      <c r="J3" s="27">
        <v>8</v>
      </c>
      <c r="K3" s="27">
        <v>9</v>
      </c>
      <c r="L3" s="27">
        <v>10</v>
      </c>
      <c r="M3" s="27">
        <v>11</v>
      </c>
      <c r="N3" s="27">
        <v>12</v>
      </c>
      <c r="O3" s="295">
        <v>13</v>
      </c>
      <c r="P3" s="27">
        <v>14</v>
      </c>
      <c r="Q3" s="27">
        <v>15</v>
      </c>
      <c r="R3" s="295"/>
      <c r="S3" s="292" t="s">
        <v>17</v>
      </c>
      <c r="V3" s="294" t="str">
        <f>B3</f>
        <v>2026年</v>
      </c>
      <c r="W3" s="27">
        <v>1</v>
      </c>
      <c r="X3" s="27">
        <v>2</v>
      </c>
      <c r="Y3" s="27">
        <v>3</v>
      </c>
      <c r="Z3" s="27">
        <v>4</v>
      </c>
      <c r="AA3" s="27">
        <v>5</v>
      </c>
      <c r="AB3" s="295">
        <v>6</v>
      </c>
      <c r="AC3" s="27">
        <v>7</v>
      </c>
      <c r="AD3" s="27">
        <v>8</v>
      </c>
      <c r="AE3" s="27">
        <v>9</v>
      </c>
      <c r="AF3" s="27">
        <v>10</v>
      </c>
      <c r="AG3" s="27">
        <v>11</v>
      </c>
      <c r="AH3" s="27">
        <v>12</v>
      </c>
      <c r="AI3" s="295">
        <v>13</v>
      </c>
      <c r="AJ3" s="27">
        <v>14</v>
      </c>
      <c r="AK3" s="27">
        <v>15</v>
      </c>
      <c r="AL3" s="295"/>
      <c r="AM3" s="292" t="s">
        <v>17</v>
      </c>
      <c r="AP3" s="294" t="str">
        <f>B3</f>
        <v>2026年</v>
      </c>
      <c r="AQ3" s="27">
        <v>16</v>
      </c>
      <c r="AR3" s="27">
        <v>17</v>
      </c>
      <c r="AS3" s="27">
        <v>18</v>
      </c>
      <c r="AT3" s="27">
        <v>19</v>
      </c>
      <c r="AU3" s="295">
        <v>20</v>
      </c>
      <c r="AV3" s="27">
        <v>21</v>
      </c>
      <c r="AW3" s="27">
        <v>22</v>
      </c>
      <c r="AX3" s="27">
        <v>23</v>
      </c>
      <c r="AY3" s="27">
        <v>24</v>
      </c>
      <c r="AZ3" s="27">
        <v>25</v>
      </c>
      <c r="BA3" s="27">
        <v>26</v>
      </c>
      <c r="BB3" s="295">
        <v>27</v>
      </c>
      <c r="BC3" s="27">
        <v>28</v>
      </c>
      <c r="BD3" s="27">
        <f>月間設定!AE3</f>
        <v>29</v>
      </c>
      <c r="BE3" s="27">
        <f>月間設定!AF3</f>
        <v>30</v>
      </c>
      <c r="BF3" s="295" t="str">
        <f>月間設定!AG3</f>
        <v/>
      </c>
      <c r="BG3" s="292" t="s">
        <v>17</v>
      </c>
      <c r="BJ3" s="294" t="str">
        <f>B3</f>
        <v>2026年</v>
      </c>
      <c r="BK3" s="27">
        <v>16</v>
      </c>
      <c r="BL3" s="27">
        <v>17</v>
      </c>
      <c r="BM3" s="27">
        <v>18</v>
      </c>
      <c r="BN3" s="27">
        <v>19</v>
      </c>
      <c r="BO3" s="295">
        <v>20</v>
      </c>
      <c r="BP3" s="27">
        <v>21</v>
      </c>
      <c r="BQ3" s="27">
        <v>22</v>
      </c>
      <c r="BR3" s="27">
        <v>23</v>
      </c>
      <c r="BS3" s="27">
        <v>24</v>
      </c>
      <c r="BT3" s="27">
        <v>25</v>
      </c>
      <c r="BU3" s="27">
        <v>26</v>
      </c>
      <c r="BV3" s="295">
        <v>27</v>
      </c>
      <c r="BW3" s="27">
        <v>28</v>
      </c>
      <c r="BX3" s="27">
        <f>月間設定!AE3</f>
        <v>29</v>
      </c>
      <c r="BY3" s="27">
        <f>月間設定!AF3</f>
        <v>30</v>
      </c>
      <c r="BZ3" s="295" t="str">
        <f>月間設定!AG3</f>
        <v/>
      </c>
      <c r="CA3" s="292" t="s">
        <v>17</v>
      </c>
    </row>
    <row r="4" spans="2:79" ht="13.5" customHeight="1" thickBot="1">
      <c r="B4" s="432" t="str">
        <f>月間設定!E1&amp;"月"</f>
        <v>6月</v>
      </c>
      <c r="C4" s="431">
        <f>月間設定!C4</f>
        <v>2</v>
      </c>
      <c r="D4" s="431">
        <f>月間設定!D4</f>
        <v>3</v>
      </c>
      <c r="E4" s="431">
        <f>月間設定!E4</f>
        <v>4</v>
      </c>
      <c r="F4" s="431">
        <f>月間設定!F4</f>
        <v>5</v>
      </c>
      <c r="G4" s="431">
        <f>月間設定!G4</f>
        <v>6</v>
      </c>
      <c r="H4" s="433">
        <f>月間設定!H4</f>
        <v>7</v>
      </c>
      <c r="I4" s="431">
        <f>月間設定!I4</f>
        <v>1</v>
      </c>
      <c r="J4" s="431">
        <f>月間設定!J4</f>
        <v>2</v>
      </c>
      <c r="K4" s="431">
        <f>月間設定!K4</f>
        <v>3</v>
      </c>
      <c r="L4" s="431">
        <f>月間設定!L4</f>
        <v>4</v>
      </c>
      <c r="M4" s="431">
        <f>月間設定!M4</f>
        <v>5</v>
      </c>
      <c r="N4" s="431">
        <f>月間設定!N4</f>
        <v>6</v>
      </c>
      <c r="O4" s="433">
        <f>月間設定!O4</f>
        <v>7</v>
      </c>
      <c r="P4" s="431">
        <f>月間設定!P4</f>
        <v>1</v>
      </c>
      <c r="Q4" s="431">
        <f>月間設定!Q4</f>
        <v>2</v>
      </c>
      <c r="R4" s="433"/>
      <c r="S4" s="434" t="str">
        <f>月間設定!I1&amp;"日"</f>
        <v>8日</v>
      </c>
      <c r="V4" s="432" t="str">
        <f>B4</f>
        <v>6月</v>
      </c>
      <c r="W4" s="431">
        <f t="shared" ref="W4:AK4" si="0">C4</f>
        <v>2</v>
      </c>
      <c r="X4" s="431">
        <f t="shared" si="0"/>
        <v>3</v>
      </c>
      <c r="Y4" s="431">
        <f t="shared" si="0"/>
        <v>4</v>
      </c>
      <c r="Z4" s="431">
        <f t="shared" si="0"/>
        <v>5</v>
      </c>
      <c r="AA4" s="431">
        <f t="shared" si="0"/>
        <v>6</v>
      </c>
      <c r="AB4" s="433">
        <f t="shared" si="0"/>
        <v>7</v>
      </c>
      <c r="AC4" s="431">
        <f t="shared" si="0"/>
        <v>1</v>
      </c>
      <c r="AD4" s="431">
        <f t="shared" si="0"/>
        <v>2</v>
      </c>
      <c r="AE4" s="431">
        <f t="shared" si="0"/>
        <v>3</v>
      </c>
      <c r="AF4" s="431">
        <f t="shared" si="0"/>
        <v>4</v>
      </c>
      <c r="AG4" s="431">
        <f t="shared" si="0"/>
        <v>5</v>
      </c>
      <c r="AH4" s="431">
        <f t="shared" si="0"/>
        <v>6</v>
      </c>
      <c r="AI4" s="433">
        <f t="shared" si="0"/>
        <v>7</v>
      </c>
      <c r="AJ4" s="431">
        <f t="shared" si="0"/>
        <v>1</v>
      </c>
      <c r="AK4" s="431">
        <f t="shared" si="0"/>
        <v>2</v>
      </c>
      <c r="AL4" s="433"/>
      <c r="AM4" s="434" t="str">
        <f>S4</f>
        <v>8日</v>
      </c>
      <c r="AP4" s="432" t="str">
        <f>B4</f>
        <v>6月</v>
      </c>
      <c r="AQ4" s="431">
        <f>月間設定!R4</f>
        <v>3</v>
      </c>
      <c r="AR4" s="431">
        <f>月間設定!S4</f>
        <v>4</v>
      </c>
      <c r="AS4" s="431">
        <f>月間設定!T4</f>
        <v>5</v>
      </c>
      <c r="AT4" s="431">
        <f>月間設定!U4</f>
        <v>6</v>
      </c>
      <c r="AU4" s="433">
        <f>月間設定!V4</f>
        <v>7</v>
      </c>
      <c r="AV4" s="431">
        <f>月間設定!W4</f>
        <v>1</v>
      </c>
      <c r="AW4" s="431">
        <f>月間設定!X4</f>
        <v>2</v>
      </c>
      <c r="AX4" s="431">
        <f>月間設定!Y4</f>
        <v>3</v>
      </c>
      <c r="AY4" s="431">
        <f>月間設定!Z4</f>
        <v>4</v>
      </c>
      <c r="AZ4" s="431">
        <f>月間設定!AA4</f>
        <v>5</v>
      </c>
      <c r="BA4" s="431">
        <f>月間設定!AB4</f>
        <v>6</v>
      </c>
      <c r="BB4" s="433">
        <f>月間設定!AC4</f>
        <v>7</v>
      </c>
      <c r="BC4" s="431">
        <f>月間設定!AD4</f>
        <v>1</v>
      </c>
      <c r="BD4" s="431">
        <f>月間設定!AE4</f>
        <v>2</v>
      </c>
      <c r="BE4" s="431">
        <f>月間設定!AF4</f>
        <v>3</v>
      </c>
      <c r="BF4" s="433" t="str">
        <f>月間設定!AG4</f>
        <v/>
      </c>
      <c r="BG4" s="434" t="str">
        <f>S4</f>
        <v>8日</v>
      </c>
      <c r="BJ4" s="432" t="str">
        <f>B4</f>
        <v>6月</v>
      </c>
      <c r="BK4" s="431">
        <f>AQ4</f>
        <v>3</v>
      </c>
      <c r="BL4" s="431">
        <f t="shared" ref="BL4:BW4" si="1">AR4</f>
        <v>4</v>
      </c>
      <c r="BM4" s="431">
        <f t="shared" si="1"/>
        <v>5</v>
      </c>
      <c r="BN4" s="431">
        <f t="shared" si="1"/>
        <v>6</v>
      </c>
      <c r="BO4" s="433">
        <f t="shared" si="1"/>
        <v>7</v>
      </c>
      <c r="BP4" s="431">
        <f t="shared" si="1"/>
        <v>1</v>
      </c>
      <c r="BQ4" s="431">
        <f t="shared" si="1"/>
        <v>2</v>
      </c>
      <c r="BR4" s="431">
        <f t="shared" si="1"/>
        <v>3</v>
      </c>
      <c r="BS4" s="431">
        <f t="shared" si="1"/>
        <v>4</v>
      </c>
      <c r="BT4" s="431">
        <f t="shared" si="1"/>
        <v>5</v>
      </c>
      <c r="BU4" s="431">
        <f t="shared" si="1"/>
        <v>6</v>
      </c>
      <c r="BV4" s="433">
        <f t="shared" si="1"/>
        <v>7</v>
      </c>
      <c r="BW4" s="431">
        <f t="shared" si="1"/>
        <v>1</v>
      </c>
      <c r="BX4" s="431">
        <f>BD4</f>
        <v>2</v>
      </c>
      <c r="BY4" s="431">
        <f>BE4</f>
        <v>3</v>
      </c>
      <c r="BZ4" s="433" t="str">
        <f>BF4</f>
        <v/>
      </c>
      <c r="CA4" s="434" t="str">
        <f>S4</f>
        <v>8日</v>
      </c>
    </row>
    <row r="5" spans="2:79" ht="13.5" customHeight="1">
      <c r="B5" s="23"/>
      <c r="C5" s="307" t="s">
        <v>422</v>
      </c>
      <c r="D5" s="307" t="s">
        <v>422</v>
      </c>
      <c r="E5" s="307" t="s">
        <v>422</v>
      </c>
      <c r="F5" s="307" t="s">
        <v>422</v>
      </c>
      <c r="G5" s="307" t="s">
        <v>422</v>
      </c>
      <c r="H5" s="310"/>
      <c r="I5" s="307"/>
      <c r="J5" s="307" t="s">
        <v>422</v>
      </c>
      <c r="K5" s="307" t="s">
        <v>422</v>
      </c>
      <c r="L5" s="307" t="s">
        <v>422</v>
      </c>
      <c r="M5" s="307" t="s">
        <v>422</v>
      </c>
      <c r="N5" s="307" t="s">
        <v>422</v>
      </c>
      <c r="O5" s="310" t="s">
        <v>423</v>
      </c>
      <c r="P5" s="307"/>
      <c r="Q5" s="307" t="s">
        <v>422</v>
      </c>
      <c r="R5" s="310"/>
      <c r="S5" s="293"/>
      <c r="V5" s="23"/>
      <c r="W5" s="307" t="s">
        <v>422</v>
      </c>
      <c r="X5" s="307" t="s">
        <v>422</v>
      </c>
      <c r="Y5" s="307" t="s">
        <v>422</v>
      </c>
      <c r="Z5" s="307" t="s">
        <v>422</v>
      </c>
      <c r="AA5" s="307" t="s">
        <v>422</v>
      </c>
      <c r="AB5" s="310"/>
      <c r="AC5" s="307"/>
      <c r="AD5" s="307" t="s">
        <v>422</v>
      </c>
      <c r="AE5" s="307" t="s">
        <v>422</v>
      </c>
      <c r="AF5" s="307" t="s">
        <v>422</v>
      </c>
      <c r="AG5" s="307" t="s">
        <v>422</v>
      </c>
      <c r="AH5" s="307" t="s">
        <v>422</v>
      </c>
      <c r="AI5" s="310" t="s">
        <v>423</v>
      </c>
      <c r="AJ5" s="307"/>
      <c r="AK5" s="307" t="s">
        <v>422</v>
      </c>
      <c r="AL5" s="310"/>
      <c r="AM5" s="293"/>
      <c r="AP5" s="23"/>
      <c r="AQ5" s="307" t="s">
        <v>422</v>
      </c>
      <c r="AR5" s="307" t="s">
        <v>422</v>
      </c>
      <c r="AS5" s="307" t="s">
        <v>422</v>
      </c>
      <c r="AT5" s="307" t="s">
        <v>422</v>
      </c>
      <c r="AU5" s="310"/>
      <c r="AV5" s="307"/>
      <c r="AW5" s="307" t="s">
        <v>422</v>
      </c>
      <c r="AX5" s="307" t="s">
        <v>422</v>
      </c>
      <c r="AY5" s="307" t="s">
        <v>422</v>
      </c>
      <c r="AZ5" s="307" t="s">
        <v>422</v>
      </c>
      <c r="BA5" s="307" t="s">
        <v>422</v>
      </c>
      <c r="BB5" s="310" t="s">
        <v>423</v>
      </c>
      <c r="BC5" s="307"/>
      <c r="BD5" s="307" t="s">
        <v>422</v>
      </c>
      <c r="BE5" s="307" t="s">
        <v>422</v>
      </c>
      <c r="BF5" s="310"/>
      <c r="BG5" s="293"/>
      <c r="BJ5" s="23"/>
      <c r="BK5" s="307" t="s">
        <v>422</v>
      </c>
      <c r="BL5" s="307" t="s">
        <v>422</v>
      </c>
      <c r="BM5" s="307" t="s">
        <v>422</v>
      </c>
      <c r="BN5" s="307" t="s">
        <v>422</v>
      </c>
      <c r="BO5" s="310"/>
      <c r="BP5" s="307"/>
      <c r="BQ5" s="307" t="s">
        <v>422</v>
      </c>
      <c r="BR5" s="307" t="s">
        <v>422</v>
      </c>
      <c r="BS5" s="307" t="s">
        <v>422</v>
      </c>
      <c r="BT5" s="307" t="s">
        <v>422</v>
      </c>
      <c r="BU5" s="307" t="s">
        <v>422</v>
      </c>
      <c r="BV5" s="310" t="s">
        <v>423</v>
      </c>
      <c r="BW5" s="307"/>
      <c r="BX5" s="307" t="s">
        <v>422</v>
      </c>
      <c r="BY5" s="307" t="s">
        <v>422</v>
      </c>
      <c r="BZ5" s="310"/>
      <c r="CA5" s="293"/>
    </row>
    <row r="6" spans="2:79" ht="13.5" customHeight="1">
      <c r="B6" s="23" t="s">
        <v>6</v>
      </c>
      <c r="C6" s="307" t="s">
        <v>424</v>
      </c>
      <c r="D6" s="307" t="s">
        <v>424</v>
      </c>
      <c r="E6" s="307" t="s">
        <v>424</v>
      </c>
      <c r="F6" s="307" t="s">
        <v>424</v>
      </c>
      <c r="G6" s="307" t="s">
        <v>424</v>
      </c>
      <c r="H6" s="310"/>
      <c r="I6" s="307"/>
      <c r="J6" s="307" t="s">
        <v>424</v>
      </c>
      <c r="K6" s="307" t="s">
        <v>424</v>
      </c>
      <c r="L6" s="307" t="s">
        <v>424</v>
      </c>
      <c r="M6" s="307" t="s">
        <v>424</v>
      </c>
      <c r="N6" s="307" t="s">
        <v>424</v>
      </c>
      <c r="O6" s="310"/>
      <c r="P6" s="307"/>
      <c r="Q6" s="307" t="s">
        <v>424</v>
      </c>
      <c r="R6" s="310"/>
      <c r="S6" s="293" t="s">
        <v>6</v>
      </c>
      <c r="V6" s="23" t="s">
        <v>6</v>
      </c>
      <c r="W6" s="307" t="s">
        <v>424</v>
      </c>
      <c r="X6" s="307" t="s">
        <v>424</v>
      </c>
      <c r="Y6" s="307" t="s">
        <v>424</v>
      </c>
      <c r="Z6" s="307" t="s">
        <v>424</v>
      </c>
      <c r="AA6" s="307" t="s">
        <v>424</v>
      </c>
      <c r="AB6" s="310"/>
      <c r="AC6" s="307"/>
      <c r="AD6" s="307" t="s">
        <v>424</v>
      </c>
      <c r="AE6" s="307" t="s">
        <v>424</v>
      </c>
      <c r="AF6" s="307" t="s">
        <v>424</v>
      </c>
      <c r="AG6" s="307" t="s">
        <v>424</v>
      </c>
      <c r="AH6" s="307" t="s">
        <v>424</v>
      </c>
      <c r="AI6" s="310"/>
      <c r="AJ6" s="307"/>
      <c r="AK6" s="307" t="s">
        <v>424</v>
      </c>
      <c r="AL6" s="310"/>
      <c r="AM6" s="293" t="s">
        <v>6</v>
      </c>
      <c r="AP6" s="23" t="s">
        <v>6</v>
      </c>
      <c r="AQ6" s="307" t="s">
        <v>424</v>
      </c>
      <c r="AR6" s="307" t="s">
        <v>424</v>
      </c>
      <c r="AS6" s="307" t="s">
        <v>424</v>
      </c>
      <c r="AT6" s="307" t="s">
        <v>424</v>
      </c>
      <c r="AU6" s="310"/>
      <c r="AV6" s="307"/>
      <c r="AW6" s="307" t="s">
        <v>424</v>
      </c>
      <c r="AX6" s="307" t="s">
        <v>424</v>
      </c>
      <c r="AY6" s="307" t="s">
        <v>424</v>
      </c>
      <c r="AZ6" s="307" t="s">
        <v>424</v>
      </c>
      <c r="BA6" s="307" t="s">
        <v>424</v>
      </c>
      <c r="BB6" s="310"/>
      <c r="BC6" s="307"/>
      <c r="BD6" s="307" t="s">
        <v>424</v>
      </c>
      <c r="BE6" s="307" t="s">
        <v>424</v>
      </c>
      <c r="BF6" s="310"/>
      <c r="BG6" s="293" t="s">
        <v>6</v>
      </c>
      <c r="BJ6" s="23" t="s">
        <v>6</v>
      </c>
      <c r="BK6" s="307" t="s">
        <v>424</v>
      </c>
      <c r="BL6" s="307" t="s">
        <v>424</v>
      </c>
      <c r="BM6" s="307" t="s">
        <v>424</v>
      </c>
      <c r="BN6" s="307" t="s">
        <v>424</v>
      </c>
      <c r="BO6" s="310"/>
      <c r="BP6" s="307"/>
      <c r="BQ6" s="307" t="s">
        <v>424</v>
      </c>
      <c r="BR6" s="307" t="s">
        <v>424</v>
      </c>
      <c r="BS6" s="307" t="s">
        <v>424</v>
      </c>
      <c r="BT6" s="307" t="s">
        <v>424</v>
      </c>
      <c r="BU6" s="307" t="s">
        <v>424</v>
      </c>
      <c r="BV6" s="310"/>
      <c r="BW6" s="307"/>
      <c r="BX6" s="307" t="s">
        <v>424</v>
      </c>
      <c r="BY6" s="307" t="s">
        <v>424</v>
      </c>
      <c r="BZ6" s="310"/>
      <c r="CA6" s="293" t="s">
        <v>6</v>
      </c>
    </row>
    <row r="7" spans="2:79" ht="13.5" customHeight="1">
      <c r="B7" s="24"/>
      <c r="C7" s="313"/>
      <c r="D7" s="313"/>
      <c r="E7" s="313"/>
      <c r="F7" s="313"/>
      <c r="G7" s="313"/>
      <c r="H7" s="314"/>
      <c r="I7" s="313"/>
      <c r="J7" s="313"/>
      <c r="K7" s="313"/>
      <c r="L7" s="313"/>
      <c r="M7" s="313"/>
      <c r="N7" s="313"/>
      <c r="O7" s="314"/>
      <c r="P7" s="313"/>
      <c r="Q7" s="313"/>
      <c r="R7" s="314"/>
      <c r="S7" s="296"/>
      <c r="V7" s="24"/>
      <c r="W7" s="313"/>
      <c r="X7" s="313"/>
      <c r="Y7" s="313"/>
      <c r="Z7" s="313"/>
      <c r="AA7" s="313"/>
      <c r="AB7" s="314"/>
      <c r="AC7" s="313"/>
      <c r="AD7" s="313"/>
      <c r="AE7" s="313"/>
      <c r="AF7" s="313"/>
      <c r="AG7" s="313"/>
      <c r="AH7" s="313"/>
      <c r="AI7" s="314"/>
      <c r="AJ7" s="313"/>
      <c r="AK7" s="313"/>
      <c r="AL7" s="314"/>
      <c r="AM7" s="296"/>
      <c r="AP7" s="24"/>
      <c r="AQ7" s="313"/>
      <c r="AR7" s="313"/>
      <c r="AS7" s="313"/>
      <c r="AT7" s="313"/>
      <c r="AU7" s="314"/>
      <c r="AV7" s="313"/>
      <c r="AW7" s="313"/>
      <c r="AX7" s="313"/>
      <c r="AY7" s="313"/>
      <c r="AZ7" s="313"/>
      <c r="BA7" s="313"/>
      <c r="BB7" s="314"/>
      <c r="BC7" s="313"/>
      <c r="BD7" s="313"/>
      <c r="BE7" s="313"/>
      <c r="BF7" s="314"/>
      <c r="BG7" s="296"/>
      <c r="BJ7" s="24"/>
      <c r="BK7" s="313"/>
      <c r="BL7" s="313"/>
      <c r="BM7" s="313"/>
      <c r="BN7" s="313"/>
      <c r="BO7" s="314"/>
      <c r="BP7" s="313"/>
      <c r="BQ7" s="313"/>
      <c r="BR7" s="313"/>
      <c r="BS7" s="313"/>
      <c r="BT7" s="313"/>
      <c r="BU7" s="313"/>
      <c r="BV7" s="314"/>
      <c r="BW7" s="313"/>
      <c r="BX7" s="313"/>
      <c r="BY7" s="313"/>
      <c r="BZ7" s="314"/>
      <c r="CA7" s="296"/>
    </row>
    <row r="8" spans="2:79" ht="13.5" customHeight="1">
      <c r="B8" s="23"/>
      <c r="C8" s="307"/>
      <c r="D8" s="307"/>
      <c r="E8" s="307"/>
      <c r="F8" s="307"/>
      <c r="G8" s="307" t="s">
        <v>425</v>
      </c>
      <c r="H8" s="310"/>
      <c r="I8" s="307"/>
      <c r="J8" s="307"/>
      <c r="K8" s="307"/>
      <c r="L8" s="307" t="s">
        <v>426</v>
      </c>
      <c r="M8" s="307"/>
      <c r="N8" s="307"/>
      <c r="O8" s="310"/>
      <c r="P8" s="307"/>
      <c r="Q8" s="307"/>
      <c r="R8" s="310"/>
      <c r="S8" s="293"/>
      <c r="V8" s="23"/>
      <c r="W8" s="307"/>
      <c r="X8" s="307"/>
      <c r="Y8" s="307"/>
      <c r="Z8" s="307"/>
      <c r="AA8" s="307" t="s">
        <v>425</v>
      </c>
      <c r="AB8" s="310"/>
      <c r="AC8" s="307"/>
      <c r="AD8" s="307"/>
      <c r="AE8" s="307"/>
      <c r="AF8" s="307" t="s">
        <v>426</v>
      </c>
      <c r="AG8" s="307"/>
      <c r="AH8" s="307"/>
      <c r="AI8" s="310"/>
      <c r="AJ8" s="307"/>
      <c r="AK8" s="307"/>
      <c r="AL8" s="310"/>
      <c r="AM8" s="293"/>
      <c r="AP8" s="23"/>
      <c r="AQ8" s="307"/>
      <c r="AR8" s="307"/>
      <c r="AS8" s="307" t="s">
        <v>425</v>
      </c>
      <c r="AT8" s="307"/>
      <c r="AU8" s="310"/>
      <c r="AV8" s="307"/>
      <c r="AW8" s="307" t="s">
        <v>427</v>
      </c>
      <c r="AX8" s="307"/>
      <c r="AY8" s="307"/>
      <c r="AZ8" s="307"/>
      <c r="BA8" s="307"/>
      <c r="BB8" s="310"/>
      <c r="BC8" s="307"/>
      <c r="BD8" s="307"/>
      <c r="BE8" s="307"/>
      <c r="BF8" s="310"/>
      <c r="BG8" s="293"/>
      <c r="BJ8" s="23"/>
      <c r="BK8" s="307"/>
      <c r="BL8" s="307"/>
      <c r="BM8" s="307" t="s">
        <v>425</v>
      </c>
      <c r="BN8" s="307"/>
      <c r="BO8" s="310"/>
      <c r="BP8" s="307"/>
      <c r="BQ8" s="307" t="s">
        <v>427</v>
      </c>
      <c r="BR8" s="307"/>
      <c r="BS8" s="307"/>
      <c r="BT8" s="307"/>
      <c r="BU8" s="307"/>
      <c r="BV8" s="310"/>
      <c r="BW8" s="307"/>
      <c r="BX8" s="307"/>
      <c r="BY8" s="307"/>
      <c r="BZ8" s="310"/>
      <c r="CA8" s="293"/>
    </row>
    <row r="9" spans="2:79" ht="13.5" customHeight="1">
      <c r="B9" s="23" t="s">
        <v>8</v>
      </c>
      <c r="C9" s="307"/>
      <c r="D9" s="307"/>
      <c r="E9" s="307"/>
      <c r="F9" s="307"/>
      <c r="G9" s="307"/>
      <c r="H9" s="310"/>
      <c r="I9" s="307"/>
      <c r="J9" s="307"/>
      <c r="K9" s="307"/>
      <c r="L9" s="307"/>
      <c r="M9" s="307"/>
      <c r="N9" s="307"/>
      <c r="O9" s="310"/>
      <c r="P9" s="307"/>
      <c r="Q9" s="307"/>
      <c r="R9" s="310"/>
      <c r="S9" s="293" t="s">
        <v>8</v>
      </c>
      <c r="V9" s="23" t="s">
        <v>8</v>
      </c>
      <c r="W9" s="307"/>
      <c r="X9" s="307"/>
      <c r="Y9" s="307"/>
      <c r="Z9" s="307"/>
      <c r="AA9" s="307"/>
      <c r="AB9" s="310"/>
      <c r="AC9" s="307"/>
      <c r="AD9" s="307"/>
      <c r="AE9" s="307"/>
      <c r="AF9" s="307"/>
      <c r="AG9" s="307"/>
      <c r="AH9" s="307"/>
      <c r="AI9" s="310"/>
      <c r="AJ9" s="307"/>
      <c r="AK9" s="307"/>
      <c r="AL9" s="310"/>
      <c r="AM9" s="293" t="s">
        <v>8</v>
      </c>
      <c r="AP9" s="23" t="s">
        <v>8</v>
      </c>
      <c r="AQ9" s="307"/>
      <c r="AR9" s="307"/>
      <c r="AS9" s="307" t="s">
        <v>428</v>
      </c>
      <c r="AT9" s="307"/>
      <c r="AU9" s="310"/>
      <c r="AV9" s="307"/>
      <c r="AW9" s="307"/>
      <c r="AX9" s="307"/>
      <c r="AY9" s="307"/>
      <c r="AZ9" s="307"/>
      <c r="BA9" s="307"/>
      <c r="BB9" s="310"/>
      <c r="BC9" s="307"/>
      <c r="BD9" s="307"/>
      <c r="BE9" s="307"/>
      <c r="BF9" s="310"/>
      <c r="BG9" s="293" t="s">
        <v>8</v>
      </c>
      <c r="BJ9" s="23" t="s">
        <v>8</v>
      </c>
      <c r="BK9" s="307"/>
      <c r="BL9" s="307"/>
      <c r="BM9" s="307" t="s">
        <v>428</v>
      </c>
      <c r="BN9" s="307"/>
      <c r="BO9" s="310"/>
      <c r="BP9" s="307"/>
      <c r="BQ9" s="307"/>
      <c r="BR9" s="307"/>
      <c r="BS9" s="307"/>
      <c r="BT9" s="307"/>
      <c r="BU9" s="307"/>
      <c r="BV9" s="310"/>
      <c r="BW9" s="307"/>
      <c r="BX9" s="307"/>
      <c r="BY9" s="307"/>
      <c r="BZ9" s="310"/>
      <c r="CA9" s="293" t="s">
        <v>8</v>
      </c>
    </row>
    <row r="10" spans="2:79" ht="13.5" customHeight="1">
      <c r="B10" s="24"/>
      <c r="C10" s="313"/>
      <c r="D10" s="313"/>
      <c r="E10" s="313"/>
      <c r="F10" s="313"/>
      <c r="G10" s="313"/>
      <c r="H10" s="314"/>
      <c r="I10" s="313"/>
      <c r="J10" s="313"/>
      <c r="K10" s="313"/>
      <c r="L10" s="313"/>
      <c r="M10" s="313"/>
      <c r="N10" s="313"/>
      <c r="O10" s="314"/>
      <c r="P10" s="313"/>
      <c r="Q10" s="313"/>
      <c r="R10" s="314"/>
      <c r="S10" s="296"/>
      <c r="V10" s="24"/>
      <c r="W10" s="313"/>
      <c r="X10" s="313"/>
      <c r="Y10" s="313"/>
      <c r="Z10" s="313"/>
      <c r="AA10" s="313"/>
      <c r="AB10" s="314"/>
      <c r="AC10" s="313"/>
      <c r="AD10" s="313"/>
      <c r="AE10" s="313"/>
      <c r="AF10" s="313"/>
      <c r="AG10" s="313"/>
      <c r="AH10" s="313"/>
      <c r="AI10" s="314"/>
      <c r="AJ10" s="313"/>
      <c r="AK10" s="313"/>
      <c r="AL10" s="314"/>
      <c r="AM10" s="296"/>
      <c r="AP10" s="24"/>
      <c r="AQ10" s="313"/>
      <c r="AR10" s="313"/>
      <c r="AS10" s="313"/>
      <c r="AT10" s="313"/>
      <c r="AU10" s="314"/>
      <c r="AV10" s="313"/>
      <c r="AW10" s="313"/>
      <c r="AX10" s="313"/>
      <c r="AY10" s="313"/>
      <c r="AZ10" s="313"/>
      <c r="BA10" s="313"/>
      <c r="BB10" s="314"/>
      <c r="BC10" s="313"/>
      <c r="BD10" s="313"/>
      <c r="BE10" s="313"/>
      <c r="BF10" s="314"/>
      <c r="BG10" s="296"/>
      <c r="BJ10" s="24"/>
      <c r="BK10" s="313"/>
      <c r="BL10" s="313"/>
      <c r="BM10" s="313"/>
      <c r="BN10" s="313"/>
      <c r="BO10" s="314"/>
      <c r="BP10" s="313"/>
      <c r="BQ10" s="313"/>
      <c r="BR10" s="313"/>
      <c r="BS10" s="313"/>
      <c r="BT10" s="313"/>
      <c r="BU10" s="313"/>
      <c r="BV10" s="314"/>
      <c r="BW10" s="313"/>
      <c r="BX10" s="313"/>
      <c r="BY10" s="313"/>
      <c r="BZ10" s="314"/>
      <c r="CA10" s="296"/>
    </row>
    <row r="11" spans="2:79" ht="13.5" customHeight="1">
      <c r="B11" s="23"/>
      <c r="C11" s="307"/>
      <c r="D11" s="307"/>
      <c r="E11" s="307" t="s">
        <v>429</v>
      </c>
      <c r="F11" s="307"/>
      <c r="G11" s="307"/>
      <c r="H11" s="310" t="s">
        <v>430</v>
      </c>
      <c r="I11" s="307"/>
      <c r="J11" s="307"/>
      <c r="K11" s="307" t="s">
        <v>431</v>
      </c>
      <c r="L11" s="307"/>
      <c r="M11" s="307" t="s">
        <v>432</v>
      </c>
      <c r="N11" s="307" t="s">
        <v>433</v>
      </c>
      <c r="O11" s="310" t="s">
        <v>430</v>
      </c>
      <c r="P11" s="307"/>
      <c r="Q11" s="307" t="s">
        <v>434</v>
      </c>
      <c r="R11" s="310"/>
      <c r="S11" s="293"/>
      <c r="V11" s="23"/>
      <c r="W11" s="307"/>
      <c r="X11" s="307"/>
      <c r="Y11" s="307" t="s">
        <v>429</v>
      </c>
      <c r="Z11" s="307"/>
      <c r="AA11" s="307"/>
      <c r="AB11" s="310" t="s">
        <v>430</v>
      </c>
      <c r="AC11" s="307"/>
      <c r="AD11" s="307"/>
      <c r="AE11" s="307" t="s">
        <v>431</v>
      </c>
      <c r="AF11" s="307"/>
      <c r="AG11" s="307" t="s">
        <v>432</v>
      </c>
      <c r="AH11" s="307" t="s">
        <v>433</v>
      </c>
      <c r="AI11" s="310" t="s">
        <v>430</v>
      </c>
      <c r="AJ11" s="307"/>
      <c r="AK11" s="307" t="s">
        <v>434</v>
      </c>
      <c r="AL11" s="310"/>
      <c r="AM11" s="293"/>
      <c r="AP11" s="23"/>
      <c r="AQ11" s="307"/>
      <c r="AR11" s="307" t="s">
        <v>429</v>
      </c>
      <c r="AS11" s="307"/>
      <c r="AT11" s="307"/>
      <c r="AU11" s="310" t="s">
        <v>430</v>
      </c>
      <c r="AV11" s="307"/>
      <c r="AW11" s="307" t="s">
        <v>432</v>
      </c>
      <c r="AX11" s="307" t="s">
        <v>431</v>
      </c>
      <c r="AY11" s="307"/>
      <c r="AZ11" s="307"/>
      <c r="BA11" s="307" t="s">
        <v>433</v>
      </c>
      <c r="BB11" s="310"/>
      <c r="BC11" s="307"/>
      <c r="BD11" s="307" t="s">
        <v>434</v>
      </c>
      <c r="BE11" s="307"/>
      <c r="BF11" s="310"/>
      <c r="BG11" s="293"/>
      <c r="BJ11" s="23"/>
      <c r="BK11" s="307"/>
      <c r="BL11" s="307" t="s">
        <v>429</v>
      </c>
      <c r="BM11" s="307"/>
      <c r="BN11" s="307"/>
      <c r="BO11" s="310" t="s">
        <v>430</v>
      </c>
      <c r="BP11" s="307"/>
      <c r="BQ11" s="307" t="s">
        <v>432</v>
      </c>
      <c r="BR11" s="307" t="s">
        <v>431</v>
      </c>
      <c r="BS11" s="307"/>
      <c r="BT11" s="307"/>
      <c r="BU11" s="307" t="s">
        <v>433</v>
      </c>
      <c r="BV11" s="310"/>
      <c r="BW11" s="307"/>
      <c r="BX11" s="307" t="s">
        <v>434</v>
      </c>
      <c r="BY11" s="307"/>
      <c r="BZ11" s="310"/>
      <c r="CA11" s="293"/>
    </row>
    <row r="12" spans="2:79" ht="13.5" customHeight="1">
      <c r="B12" s="23" t="s">
        <v>14</v>
      </c>
      <c r="C12" s="307"/>
      <c r="D12" s="307"/>
      <c r="E12" s="307"/>
      <c r="F12" s="307"/>
      <c r="G12" s="307"/>
      <c r="H12" s="310"/>
      <c r="I12" s="307"/>
      <c r="J12" s="307"/>
      <c r="K12" s="307"/>
      <c r="L12" s="307"/>
      <c r="M12" s="307"/>
      <c r="N12" s="307"/>
      <c r="O12" s="310"/>
      <c r="P12" s="307"/>
      <c r="Q12" s="307"/>
      <c r="R12" s="310"/>
      <c r="S12" s="293" t="s">
        <v>14</v>
      </c>
      <c r="V12" s="23" t="s">
        <v>14</v>
      </c>
      <c r="W12" s="307"/>
      <c r="X12" s="307"/>
      <c r="Y12" s="307"/>
      <c r="Z12" s="307"/>
      <c r="AA12" s="307"/>
      <c r="AB12" s="310"/>
      <c r="AC12" s="307"/>
      <c r="AD12" s="307"/>
      <c r="AE12" s="307"/>
      <c r="AF12" s="307"/>
      <c r="AG12" s="307"/>
      <c r="AH12" s="307"/>
      <c r="AI12" s="310"/>
      <c r="AJ12" s="307"/>
      <c r="AK12" s="307"/>
      <c r="AL12" s="310"/>
      <c r="AM12" s="293" t="s">
        <v>14</v>
      </c>
      <c r="AP12" s="23" t="s">
        <v>14</v>
      </c>
      <c r="AQ12" s="307"/>
      <c r="AR12" s="307" t="s">
        <v>435</v>
      </c>
      <c r="AS12" s="307"/>
      <c r="AT12" s="307"/>
      <c r="AU12" s="310"/>
      <c r="AV12" s="307"/>
      <c r="AW12" s="307"/>
      <c r="AX12" s="307"/>
      <c r="AY12" s="307"/>
      <c r="AZ12" s="307"/>
      <c r="BA12" s="307"/>
      <c r="BB12" s="310"/>
      <c r="BC12" s="307"/>
      <c r="BD12" s="307"/>
      <c r="BE12" s="307"/>
      <c r="BF12" s="310"/>
      <c r="BG12" s="293" t="s">
        <v>14</v>
      </c>
      <c r="BJ12" s="23" t="s">
        <v>14</v>
      </c>
      <c r="BK12" s="307"/>
      <c r="BL12" s="307" t="s">
        <v>435</v>
      </c>
      <c r="BM12" s="307"/>
      <c r="BN12" s="307"/>
      <c r="BO12" s="310"/>
      <c r="BP12" s="307"/>
      <c r="BQ12" s="307"/>
      <c r="BR12" s="307"/>
      <c r="BS12" s="307"/>
      <c r="BT12" s="307"/>
      <c r="BU12" s="307"/>
      <c r="BV12" s="310"/>
      <c r="BW12" s="307"/>
      <c r="BX12" s="307"/>
      <c r="BY12" s="307"/>
      <c r="BZ12" s="310"/>
      <c r="CA12" s="293" t="s">
        <v>14</v>
      </c>
    </row>
    <row r="13" spans="2:79" ht="13.5" customHeight="1">
      <c r="B13" s="24"/>
      <c r="C13" s="313"/>
      <c r="D13" s="313"/>
      <c r="E13" s="313"/>
      <c r="F13" s="313"/>
      <c r="G13" s="313"/>
      <c r="H13" s="314"/>
      <c r="I13" s="313"/>
      <c r="J13" s="313"/>
      <c r="K13" s="313"/>
      <c r="L13" s="313"/>
      <c r="M13" s="313"/>
      <c r="N13" s="313"/>
      <c r="O13" s="314"/>
      <c r="P13" s="313"/>
      <c r="Q13" s="313"/>
      <c r="R13" s="314"/>
      <c r="S13" s="296"/>
      <c r="V13" s="24"/>
      <c r="W13" s="313"/>
      <c r="X13" s="313"/>
      <c r="Y13" s="313"/>
      <c r="Z13" s="313"/>
      <c r="AA13" s="313"/>
      <c r="AB13" s="314"/>
      <c r="AC13" s="313"/>
      <c r="AD13" s="313"/>
      <c r="AE13" s="313"/>
      <c r="AF13" s="313"/>
      <c r="AG13" s="313"/>
      <c r="AH13" s="313"/>
      <c r="AI13" s="314"/>
      <c r="AJ13" s="313"/>
      <c r="AK13" s="313"/>
      <c r="AL13" s="314"/>
      <c r="AM13" s="296"/>
      <c r="AP13" s="24"/>
      <c r="AQ13" s="313"/>
      <c r="AR13" s="313"/>
      <c r="AS13" s="313"/>
      <c r="AT13" s="313"/>
      <c r="AU13" s="314"/>
      <c r="AV13" s="313"/>
      <c r="AW13" s="313"/>
      <c r="AX13" s="313"/>
      <c r="AY13" s="313"/>
      <c r="AZ13" s="313"/>
      <c r="BA13" s="313"/>
      <c r="BB13" s="314"/>
      <c r="BC13" s="313"/>
      <c r="BD13" s="313"/>
      <c r="BE13" s="313"/>
      <c r="BF13" s="314"/>
      <c r="BG13" s="296"/>
      <c r="BJ13" s="24"/>
      <c r="BK13" s="313"/>
      <c r="BL13" s="313"/>
      <c r="BM13" s="313"/>
      <c r="BN13" s="313"/>
      <c r="BO13" s="314"/>
      <c r="BP13" s="313"/>
      <c r="BQ13" s="313"/>
      <c r="BR13" s="313"/>
      <c r="BS13" s="313"/>
      <c r="BT13" s="313"/>
      <c r="BU13" s="313"/>
      <c r="BV13" s="314"/>
      <c r="BW13" s="313"/>
      <c r="BX13" s="313"/>
      <c r="BY13" s="313"/>
      <c r="BZ13" s="314"/>
      <c r="CA13" s="296"/>
    </row>
    <row r="14" spans="2:79" ht="13.5" customHeight="1">
      <c r="B14" s="23" t="s">
        <v>79</v>
      </c>
      <c r="C14" s="307"/>
      <c r="D14" s="307"/>
      <c r="E14" s="307"/>
      <c r="F14" s="307"/>
      <c r="G14" s="307"/>
      <c r="H14" s="310"/>
      <c r="I14" s="307"/>
      <c r="J14" s="307"/>
      <c r="K14" s="307"/>
      <c r="L14" s="307"/>
      <c r="M14" s="307"/>
      <c r="N14" s="307"/>
      <c r="O14" s="310"/>
      <c r="P14" s="307"/>
      <c r="Q14" s="307"/>
      <c r="R14" s="310"/>
      <c r="S14" s="293" t="s">
        <v>79</v>
      </c>
      <c r="V14" s="23" t="s">
        <v>79</v>
      </c>
      <c r="W14" s="307"/>
      <c r="X14" s="307"/>
      <c r="Y14" s="307"/>
      <c r="Z14" s="307"/>
      <c r="AA14" s="307"/>
      <c r="AB14" s="310"/>
      <c r="AC14" s="307"/>
      <c r="AD14" s="307"/>
      <c r="AE14" s="307"/>
      <c r="AF14" s="307"/>
      <c r="AG14" s="307"/>
      <c r="AH14" s="307"/>
      <c r="AI14" s="310"/>
      <c r="AJ14" s="307"/>
      <c r="AK14" s="307"/>
      <c r="AL14" s="310"/>
      <c r="AM14" s="293" t="s">
        <v>79</v>
      </c>
      <c r="AP14" s="23" t="s">
        <v>79</v>
      </c>
      <c r="AQ14" s="307"/>
      <c r="AR14" s="307" t="s">
        <v>441</v>
      </c>
      <c r="AS14" s="307"/>
      <c r="AT14" s="307"/>
      <c r="AU14" s="310"/>
      <c r="AV14" s="307"/>
      <c r="AW14" s="307"/>
      <c r="AX14" s="307"/>
      <c r="AY14" s="307"/>
      <c r="AZ14" s="307"/>
      <c r="BA14" s="307"/>
      <c r="BB14" s="310"/>
      <c r="BC14" s="307"/>
      <c r="BD14" s="307"/>
      <c r="BE14" s="307" t="s">
        <v>442</v>
      </c>
      <c r="BF14" s="310"/>
      <c r="BG14" s="293" t="s">
        <v>79</v>
      </c>
      <c r="BJ14" s="23" t="s">
        <v>79</v>
      </c>
      <c r="BK14" s="307"/>
      <c r="BL14" s="307" t="s">
        <v>441</v>
      </c>
      <c r="BM14" s="307"/>
      <c r="BN14" s="307"/>
      <c r="BO14" s="310"/>
      <c r="BP14" s="307"/>
      <c r="BQ14" s="307"/>
      <c r="BR14" s="307"/>
      <c r="BS14" s="307"/>
      <c r="BT14" s="307"/>
      <c r="BU14" s="307"/>
      <c r="BV14" s="310"/>
      <c r="BW14" s="307"/>
      <c r="BX14" s="307"/>
      <c r="BY14" s="307" t="s">
        <v>442</v>
      </c>
      <c r="BZ14" s="310"/>
      <c r="CA14" s="293" t="s">
        <v>79</v>
      </c>
    </row>
    <row r="15" spans="2:79" ht="13.5" customHeight="1">
      <c r="B15" s="24"/>
      <c r="C15" s="313"/>
      <c r="D15" s="313"/>
      <c r="E15" s="313"/>
      <c r="F15" s="313"/>
      <c r="G15" s="313"/>
      <c r="H15" s="314"/>
      <c r="I15" s="313"/>
      <c r="J15" s="313"/>
      <c r="K15" s="313"/>
      <c r="L15" s="313"/>
      <c r="M15" s="313"/>
      <c r="N15" s="313"/>
      <c r="O15" s="314"/>
      <c r="P15" s="313"/>
      <c r="Q15" s="313"/>
      <c r="R15" s="314"/>
      <c r="S15" s="296"/>
      <c r="V15" s="24"/>
      <c r="W15" s="313"/>
      <c r="X15" s="313"/>
      <c r="Y15" s="313"/>
      <c r="Z15" s="313"/>
      <c r="AA15" s="313"/>
      <c r="AB15" s="314"/>
      <c r="AC15" s="313"/>
      <c r="AD15" s="313"/>
      <c r="AE15" s="313"/>
      <c r="AF15" s="313"/>
      <c r="AG15" s="313"/>
      <c r="AH15" s="313"/>
      <c r="AI15" s="314"/>
      <c r="AJ15" s="313"/>
      <c r="AK15" s="313"/>
      <c r="AL15" s="314"/>
      <c r="AM15" s="296"/>
      <c r="AP15" s="24"/>
      <c r="AQ15" s="313"/>
      <c r="AR15" s="313"/>
      <c r="AS15" s="313"/>
      <c r="AT15" s="313"/>
      <c r="AU15" s="314"/>
      <c r="AV15" s="313"/>
      <c r="AW15" s="313"/>
      <c r="AX15" s="313"/>
      <c r="AY15" s="313"/>
      <c r="AZ15" s="313"/>
      <c r="BA15" s="313"/>
      <c r="BB15" s="314"/>
      <c r="BC15" s="313"/>
      <c r="BD15" s="313"/>
      <c r="BE15" s="313" t="s">
        <v>443</v>
      </c>
      <c r="BF15" s="314"/>
      <c r="BG15" s="296"/>
      <c r="BJ15" s="24"/>
      <c r="BK15" s="313"/>
      <c r="BL15" s="313"/>
      <c r="BM15" s="313"/>
      <c r="BN15" s="313"/>
      <c r="BO15" s="314"/>
      <c r="BP15" s="313"/>
      <c r="BQ15" s="313"/>
      <c r="BR15" s="313"/>
      <c r="BS15" s="313"/>
      <c r="BT15" s="313"/>
      <c r="BU15" s="313"/>
      <c r="BV15" s="314"/>
      <c r="BW15" s="313"/>
      <c r="BX15" s="313"/>
      <c r="BY15" s="313" t="s">
        <v>443</v>
      </c>
      <c r="BZ15" s="314"/>
      <c r="CA15" s="296"/>
    </row>
    <row r="16" spans="2:79" ht="13.5" customHeight="1">
      <c r="B16" s="23" t="s">
        <v>83</v>
      </c>
      <c r="C16" s="307"/>
      <c r="D16" s="307"/>
      <c r="E16" s="307"/>
      <c r="F16" s="307"/>
      <c r="G16" s="307"/>
      <c r="H16" s="310"/>
      <c r="I16" s="307"/>
      <c r="J16" s="307"/>
      <c r="K16" s="307"/>
      <c r="L16" s="307"/>
      <c r="M16" s="307"/>
      <c r="N16" s="307"/>
      <c r="O16" s="310"/>
      <c r="P16" s="307"/>
      <c r="Q16" s="307"/>
      <c r="R16" s="310"/>
      <c r="S16" s="293" t="s">
        <v>83</v>
      </c>
      <c r="V16" s="23" t="s">
        <v>83</v>
      </c>
      <c r="W16" s="307"/>
      <c r="X16" s="307"/>
      <c r="Y16" s="307"/>
      <c r="Z16" s="307"/>
      <c r="AA16" s="307"/>
      <c r="AB16" s="310"/>
      <c r="AC16" s="307"/>
      <c r="AD16" s="307"/>
      <c r="AE16" s="307"/>
      <c r="AF16" s="307"/>
      <c r="AG16" s="307"/>
      <c r="AH16" s="307"/>
      <c r="AI16" s="310"/>
      <c r="AJ16" s="307"/>
      <c r="AK16" s="307"/>
      <c r="AL16" s="310"/>
      <c r="AM16" s="293" t="s">
        <v>83</v>
      </c>
      <c r="AP16" s="23" t="s">
        <v>83</v>
      </c>
      <c r="AQ16" s="307"/>
      <c r="AR16" s="307"/>
      <c r="AS16" s="307"/>
      <c r="AT16" s="307"/>
      <c r="AU16" s="310"/>
      <c r="AV16" s="307"/>
      <c r="AW16" s="307"/>
      <c r="AX16" s="307"/>
      <c r="AY16" s="307"/>
      <c r="AZ16" s="307"/>
      <c r="BA16" s="307"/>
      <c r="BB16" s="310"/>
      <c r="BC16" s="307"/>
      <c r="BD16" s="307"/>
      <c r="BE16" s="307"/>
      <c r="BF16" s="310"/>
      <c r="BG16" s="293" t="s">
        <v>83</v>
      </c>
      <c r="BJ16" s="23" t="s">
        <v>83</v>
      </c>
      <c r="BK16" s="307"/>
      <c r="BL16" s="307"/>
      <c r="BM16" s="307"/>
      <c r="BN16" s="307"/>
      <c r="BO16" s="310"/>
      <c r="BP16" s="307"/>
      <c r="BQ16" s="307"/>
      <c r="BR16" s="307"/>
      <c r="BS16" s="307"/>
      <c r="BT16" s="307"/>
      <c r="BU16" s="307"/>
      <c r="BV16" s="310"/>
      <c r="BW16" s="307"/>
      <c r="BX16" s="307"/>
      <c r="BY16" s="307"/>
      <c r="BZ16" s="310"/>
      <c r="CA16" s="293" t="s">
        <v>83</v>
      </c>
    </row>
    <row r="17" spans="2:79" ht="13.5" customHeight="1">
      <c r="B17" s="24"/>
      <c r="C17" s="313"/>
      <c r="D17" s="313"/>
      <c r="E17" s="313"/>
      <c r="F17" s="313"/>
      <c r="G17" s="313"/>
      <c r="H17" s="314"/>
      <c r="I17" s="313"/>
      <c r="J17" s="313"/>
      <c r="K17" s="313"/>
      <c r="L17" s="313"/>
      <c r="M17" s="313"/>
      <c r="N17" s="313"/>
      <c r="O17" s="314"/>
      <c r="P17" s="313"/>
      <c r="Q17" s="313"/>
      <c r="R17" s="314"/>
      <c r="S17" s="296"/>
      <c r="V17" s="24"/>
      <c r="W17" s="313"/>
      <c r="X17" s="313"/>
      <c r="Y17" s="313"/>
      <c r="Z17" s="313"/>
      <c r="AA17" s="313"/>
      <c r="AB17" s="314"/>
      <c r="AC17" s="313"/>
      <c r="AD17" s="313"/>
      <c r="AE17" s="313"/>
      <c r="AF17" s="313"/>
      <c r="AG17" s="313"/>
      <c r="AH17" s="313"/>
      <c r="AI17" s="314"/>
      <c r="AJ17" s="313"/>
      <c r="AK17" s="313"/>
      <c r="AL17" s="314"/>
      <c r="AM17" s="296"/>
      <c r="AP17" s="24"/>
      <c r="AQ17" s="313"/>
      <c r="AR17" s="313"/>
      <c r="AS17" s="313"/>
      <c r="AT17" s="313"/>
      <c r="AU17" s="314"/>
      <c r="AV17" s="313"/>
      <c r="AW17" s="313"/>
      <c r="AX17" s="313"/>
      <c r="AY17" s="313"/>
      <c r="AZ17" s="313"/>
      <c r="BA17" s="313"/>
      <c r="BB17" s="314"/>
      <c r="BC17" s="313"/>
      <c r="BD17" s="313"/>
      <c r="BE17" s="313"/>
      <c r="BF17" s="314"/>
      <c r="BG17" s="296"/>
      <c r="BJ17" s="24"/>
      <c r="BK17" s="313"/>
      <c r="BL17" s="313"/>
      <c r="BM17" s="313"/>
      <c r="BN17" s="313"/>
      <c r="BO17" s="314"/>
      <c r="BP17" s="313"/>
      <c r="BQ17" s="313"/>
      <c r="BR17" s="313"/>
      <c r="BS17" s="313"/>
      <c r="BT17" s="313"/>
      <c r="BU17" s="313"/>
      <c r="BV17" s="314"/>
      <c r="BW17" s="313"/>
      <c r="BX17" s="313"/>
      <c r="BY17" s="313"/>
      <c r="BZ17" s="314"/>
      <c r="CA17" s="296"/>
    </row>
    <row r="18" spans="2:79" ht="13.5" customHeight="1">
      <c r="B18" s="23" t="s">
        <v>37</v>
      </c>
      <c r="C18" s="307"/>
      <c r="D18" s="307"/>
      <c r="E18" s="307"/>
      <c r="F18" s="307"/>
      <c r="G18" s="307"/>
      <c r="H18" s="310"/>
      <c r="I18" s="307" t="s">
        <v>444</v>
      </c>
      <c r="J18" s="307"/>
      <c r="K18" s="307"/>
      <c r="L18" s="307"/>
      <c r="M18" s="307"/>
      <c r="N18" s="307"/>
      <c r="O18" s="310"/>
      <c r="P18" s="307"/>
      <c r="Q18" s="307" t="s">
        <v>384</v>
      </c>
      <c r="R18" s="310"/>
      <c r="S18" s="293" t="s">
        <v>37</v>
      </c>
      <c r="V18" s="23" t="s">
        <v>37</v>
      </c>
      <c r="W18" s="307"/>
      <c r="X18" s="307"/>
      <c r="Y18" s="307"/>
      <c r="Z18" s="307"/>
      <c r="AA18" s="307"/>
      <c r="AB18" s="310"/>
      <c r="AC18" s="307" t="s">
        <v>444</v>
      </c>
      <c r="AD18" s="307"/>
      <c r="AE18" s="307"/>
      <c r="AF18" s="307"/>
      <c r="AG18" s="307"/>
      <c r="AH18" s="307"/>
      <c r="AI18" s="310"/>
      <c r="AJ18" s="307"/>
      <c r="AK18" s="307" t="s">
        <v>384</v>
      </c>
      <c r="AL18" s="310"/>
      <c r="AM18" s="293" t="s">
        <v>37</v>
      </c>
      <c r="AP18" s="23" t="s">
        <v>37</v>
      </c>
      <c r="AQ18" s="307" t="s">
        <v>445</v>
      </c>
      <c r="AR18" s="307"/>
      <c r="AS18" s="307"/>
      <c r="AT18" s="307"/>
      <c r="AU18" s="310"/>
      <c r="AV18" s="307"/>
      <c r="AW18" s="307"/>
      <c r="AX18" s="307"/>
      <c r="AY18" s="307"/>
      <c r="AZ18" s="307"/>
      <c r="BA18" s="307"/>
      <c r="BB18" s="310"/>
      <c r="BC18" s="307" t="s">
        <v>444</v>
      </c>
      <c r="BD18" s="307"/>
      <c r="BE18" s="307"/>
      <c r="BF18" s="310"/>
      <c r="BG18" s="293" t="s">
        <v>37</v>
      </c>
      <c r="BJ18" s="23" t="s">
        <v>37</v>
      </c>
      <c r="BK18" s="307" t="s">
        <v>445</v>
      </c>
      <c r="BL18" s="307"/>
      <c r="BM18" s="307"/>
      <c r="BN18" s="307"/>
      <c r="BO18" s="310"/>
      <c r="BP18" s="307"/>
      <c r="BQ18" s="307"/>
      <c r="BR18" s="307"/>
      <c r="BS18" s="307"/>
      <c r="BT18" s="307"/>
      <c r="BU18" s="307"/>
      <c r="BV18" s="310"/>
      <c r="BW18" s="307" t="s">
        <v>444</v>
      </c>
      <c r="BX18" s="307"/>
      <c r="BY18" s="307"/>
      <c r="BZ18" s="310"/>
      <c r="CA18" s="293" t="s">
        <v>37</v>
      </c>
    </row>
    <row r="19" spans="2:79" ht="13.5" customHeight="1">
      <c r="B19" s="24"/>
      <c r="C19" s="313"/>
      <c r="D19" s="313"/>
      <c r="E19" s="313"/>
      <c r="F19" s="313"/>
      <c r="G19" s="313"/>
      <c r="H19" s="314"/>
      <c r="I19" s="313" t="s">
        <v>446</v>
      </c>
      <c r="J19" s="313"/>
      <c r="K19" s="313"/>
      <c r="L19" s="313"/>
      <c r="M19" s="313"/>
      <c r="N19" s="313"/>
      <c r="O19" s="314"/>
      <c r="P19" s="313"/>
      <c r="Q19" s="313"/>
      <c r="R19" s="314"/>
      <c r="S19" s="296"/>
      <c r="V19" s="24"/>
      <c r="W19" s="313"/>
      <c r="X19" s="313"/>
      <c r="Y19" s="313"/>
      <c r="Z19" s="313"/>
      <c r="AA19" s="313"/>
      <c r="AB19" s="314"/>
      <c r="AC19" s="313" t="s">
        <v>446</v>
      </c>
      <c r="AD19" s="313"/>
      <c r="AE19" s="313"/>
      <c r="AF19" s="313"/>
      <c r="AG19" s="313"/>
      <c r="AH19" s="313"/>
      <c r="AI19" s="314"/>
      <c r="AJ19" s="313"/>
      <c r="AK19" s="313"/>
      <c r="AL19" s="314"/>
      <c r="AM19" s="296"/>
      <c r="AP19" s="24"/>
      <c r="AQ19" s="313"/>
      <c r="AR19" s="313"/>
      <c r="AS19" s="313"/>
      <c r="AT19" s="313"/>
      <c r="AU19" s="314"/>
      <c r="AV19" s="313"/>
      <c r="AW19" s="313"/>
      <c r="AX19" s="313"/>
      <c r="AY19" s="313"/>
      <c r="AZ19" s="313"/>
      <c r="BA19" s="313"/>
      <c r="BB19" s="314"/>
      <c r="BC19" s="313" t="s">
        <v>446</v>
      </c>
      <c r="BD19" s="313"/>
      <c r="BE19" s="313"/>
      <c r="BF19" s="314"/>
      <c r="BG19" s="296"/>
      <c r="BJ19" s="24"/>
      <c r="BK19" s="313"/>
      <c r="BL19" s="313"/>
      <c r="BM19" s="313"/>
      <c r="BN19" s="313"/>
      <c r="BO19" s="314"/>
      <c r="BP19" s="313"/>
      <c r="BQ19" s="313"/>
      <c r="BR19" s="313"/>
      <c r="BS19" s="313"/>
      <c r="BT19" s="313"/>
      <c r="BU19" s="313"/>
      <c r="BV19" s="314"/>
      <c r="BW19" s="313" t="s">
        <v>446</v>
      </c>
      <c r="BX19" s="313"/>
      <c r="BY19" s="313"/>
      <c r="BZ19" s="314"/>
      <c r="CA19" s="296"/>
    </row>
    <row r="20" spans="2:79" ht="13.5" customHeight="1">
      <c r="B20" s="23"/>
      <c r="C20" s="307"/>
      <c r="D20" s="307"/>
      <c r="E20" s="307"/>
      <c r="F20" s="307" t="s">
        <v>447</v>
      </c>
      <c r="G20" s="307"/>
      <c r="H20" s="310"/>
      <c r="I20" s="307"/>
      <c r="J20" s="307"/>
      <c r="K20" s="307"/>
      <c r="L20" s="307"/>
      <c r="M20" s="307" t="s">
        <v>447</v>
      </c>
      <c r="N20" s="307"/>
      <c r="O20" s="310"/>
      <c r="P20" s="307"/>
      <c r="Q20" s="307"/>
      <c r="R20" s="310"/>
      <c r="S20" s="293"/>
      <c r="V20" s="23"/>
      <c r="W20" s="307"/>
      <c r="X20" s="307"/>
      <c r="Y20" s="307"/>
      <c r="Z20" s="307" t="s">
        <v>447</v>
      </c>
      <c r="AA20" s="307"/>
      <c r="AB20" s="310"/>
      <c r="AC20" s="307"/>
      <c r="AD20" s="307"/>
      <c r="AE20" s="307"/>
      <c r="AF20" s="307"/>
      <c r="AG20" s="307" t="s">
        <v>447</v>
      </c>
      <c r="AH20" s="307"/>
      <c r="AI20" s="310"/>
      <c r="AJ20" s="307"/>
      <c r="AK20" s="307"/>
      <c r="AL20" s="310"/>
      <c r="AM20" s="293"/>
      <c r="AP20" s="23"/>
      <c r="AQ20" s="307"/>
      <c r="AR20" s="307"/>
      <c r="AS20" s="307" t="s">
        <v>447</v>
      </c>
      <c r="AT20" s="307"/>
      <c r="AU20" s="310"/>
      <c r="AV20" s="307"/>
      <c r="AW20" s="307"/>
      <c r="AX20" s="307"/>
      <c r="AY20" s="307"/>
      <c r="AZ20" s="307" t="s">
        <v>447</v>
      </c>
      <c r="BA20" s="307"/>
      <c r="BB20" s="310"/>
      <c r="BC20" s="307"/>
      <c r="BD20" s="307"/>
      <c r="BE20" s="307"/>
      <c r="BF20" s="310"/>
      <c r="BG20" s="293"/>
      <c r="BJ20" s="23"/>
      <c r="BK20" s="307"/>
      <c r="BL20" s="307"/>
      <c r="BM20" s="307" t="s">
        <v>447</v>
      </c>
      <c r="BN20" s="307"/>
      <c r="BO20" s="310"/>
      <c r="BP20" s="307"/>
      <c r="BQ20" s="307"/>
      <c r="BR20" s="307"/>
      <c r="BS20" s="307"/>
      <c r="BT20" s="307" t="s">
        <v>447</v>
      </c>
      <c r="BU20" s="307"/>
      <c r="BV20" s="310"/>
      <c r="BW20" s="307"/>
      <c r="BX20" s="307"/>
      <c r="BY20" s="307"/>
      <c r="BZ20" s="310"/>
      <c r="CA20" s="293"/>
    </row>
    <row r="21" spans="2:79" ht="13.5" customHeight="1">
      <c r="B21" s="23" t="s">
        <v>42</v>
      </c>
      <c r="C21" s="307"/>
      <c r="D21" s="307"/>
      <c r="E21" s="307" t="s">
        <v>448</v>
      </c>
      <c r="F21" s="307" t="s">
        <v>435</v>
      </c>
      <c r="G21" s="307"/>
      <c r="H21" s="310"/>
      <c r="I21" s="307"/>
      <c r="J21" s="307"/>
      <c r="K21" s="307"/>
      <c r="L21" s="307"/>
      <c r="M21" s="307" t="s">
        <v>449</v>
      </c>
      <c r="N21" s="307"/>
      <c r="O21" s="310" t="s">
        <v>438</v>
      </c>
      <c r="P21" s="307"/>
      <c r="Q21" s="307"/>
      <c r="R21" s="310"/>
      <c r="S21" s="293" t="s">
        <v>42</v>
      </c>
      <c r="V21" s="23" t="s">
        <v>42</v>
      </c>
      <c r="W21" s="307"/>
      <c r="X21" s="307"/>
      <c r="Y21" s="307" t="s">
        <v>448</v>
      </c>
      <c r="Z21" s="307" t="s">
        <v>435</v>
      </c>
      <c r="AA21" s="307"/>
      <c r="AB21" s="310"/>
      <c r="AC21" s="307"/>
      <c r="AD21" s="307"/>
      <c r="AE21" s="307"/>
      <c r="AF21" s="307"/>
      <c r="AG21" s="307" t="s">
        <v>449</v>
      </c>
      <c r="AH21" s="307"/>
      <c r="AI21" s="310" t="s">
        <v>438</v>
      </c>
      <c r="AJ21" s="307"/>
      <c r="AK21" s="307"/>
      <c r="AL21" s="310"/>
      <c r="AM21" s="293" t="s">
        <v>42</v>
      </c>
      <c r="AP21" s="23" t="s">
        <v>42</v>
      </c>
      <c r="AQ21" s="307"/>
      <c r="AR21" s="307"/>
      <c r="AS21" s="307" t="s">
        <v>450</v>
      </c>
      <c r="AT21" s="307"/>
      <c r="AU21" s="310"/>
      <c r="AV21" s="307"/>
      <c r="AW21" s="307" t="s">
        <v>451</v>
      </c>
      <c r="AX21" s="307"/>
      <c r="AY21" s="307"/>
      <c r="AZ21" s="307" t="s">
        <v>435</v>
      </c>
      <c r="BA21" s="307"/>
      <c r="BB21" s="310"/>
      <c r="BC21" s="307"/>
      <c r="BD21" s="307"/>
      <c r="BE21" s="307" t="s">
        <v>452</v>
      </c>
      <c r="BF21" s="310"/>
      <c r="BG21" s="293" t="s">
        <v>42</v>
      </c>
      <c r="BJ21" s="23" t="s">
        <v>42</v>
      </c>
      <c r="BK21" s="307"/>
      <c r="BL21" s="307"/>
      <c r="BM21" s="307" t="s">
        <v>450</v>
      </c>
      <c r="BN21" s="307"/>
      <c r="BO21" s="310"/>
      <c r="BP21" s="307"/>
      <c r="BQ21" s="307" t="s">
        <v>451</v>
      </c>
      <c r="BR21" s="307"/>
      <c r="BS21" s="307"/>
      <c r="BT21" s="307" t="s">
        <v>435</v>
      </c>
      <c r="BU21" s="307"/>
      <c r="BV21" s="310"/>
      <c r="BW21" s="307"/>
      <c r="BX21" s="307"/>
      <c r="BY21" s="307" t="s">
        <v>452</v>
      </c>
      <c r="BZ21" s="310"/>
      <c r="CA21" s="293" t="s">
        <v>42</v>
      </c>
    </row>
    <row r="22" spans="2:79" ht="13.5" customHeight="1">
      <c r="B22" s="430"/>
      <c r="C22" s="500"/>
      <c r="D22" s="500"/>
      <c r="E22" s="500" t="s">
        <v>453</v>
      </c>
      <c r="F22" s="500"/>
      <c r="G22" s="500"/>
      <c r="H22" s="501"/>
      <c r="I22" s="500"/>
      <c r="J22" s="500"/>
      <c r="K22" s="500"/>
      <c r="L22" s="500"/>
      <c r="M22" s="500"/>
      <c r="N22" s="500"/>
      <c r="O22" s="501" t="s">
        <v>439</v>
      </c>
      <c r="P22" s="500"/>
      <c r="Q22" s="500"/>
      <c r="R22" s="501"/>
      <c r="S22" s="437"/>
      <c r="V22" s="430"/>
      <c r="W22" s="500"/>
      <c r="X22" s="500"/>
      <c r="Y22" s="500" t="s">
        <v>453</v>
      </c>
      <c r="Z22" s="500"/>
      <c r="AA22" s="500"/>
      <c r="AB22" s="501"/>
      <c r="AC22" s="500"/>
      <c r="AD22" s="500"/>
      <c r="AE22" s="500"/>
      <c r="AF22" s="500"/>
      <c r="AG22" s="500"/>
      <c r="AH22" s="500"/>
      <c r="AI22" s="501" t="s">
        <v>439</v>
      </c>
      <c r="AJ22" s="500"/>
      <c r="AK22" s="500"/>
      <c r="AL22" s="501"/>
      <c r="AM22" s="437"/>
      <c r="AP22" s="430"/>
      <c r="AQ22" s="500"/>
      <c r="AR22" s="500"/>
      <c r="AS22" s="500" t="s">
        <v>454</v>
      </c>
      <c r="AT22" s="500"/>
      <c r="AU22" s="501"/>
      <c r="AV22" s="500"/>
      <c r="AW22" s="500" t="s">
        <v>455</v>
      </c>
      <c r="AX22" s="500"/>
      <c r="AY22" s="500"/>
      <c r="AZ22" s="500" t="s">
        <v>456</v>
      </c>
      <c r="BA22" s="500"/>
      <c r="BB22" s="501"/>
      <c r="BC22" s="500"/>
      <c r="BD22" s="500" t="s">
        <v>457</v>
      </c>
      <c r="BE22" s="500" t="s">
        <v>443</v>
      </c>
      <c r="BF22" s="501"/>
      <c r="BG22" s="437"/>
      <c r="BJ22" s="430"/>
      <c r="BK22" s="500"/>
      <c r="BL22" s="500"/>
      <c r="BM22" s="500" t="s">
        <v>454</v>
      </c>
      <c r="BN22" s="500"/>
      <c r="BO22" s="501"/>
      <c r="BP22" s="500"/>
      <c r="BQ22" s="500" t="s">
        <v>455</v>
      </c>
      <c r="BR22" s="500"/>
      <c r="BS22" s="500"/>
      <c r="BT22" s="500" t="s">
        <v>456</v>
      </c>
      <c r="BU22" s="500"/>
      <c r="BV22" s="501"/>
      <c r="BW22" s="500"/>
      <c r="BX22" s="500" t="s">
        <v>457</v>
      </c>
      <c r="BY22" s="500" t="s">
        <v>443</v>
      </c>
      <c r="BZ22" s="501"/>
      <c r="CA22" s="437"/>
    </row>
    <row r="23" spans="2:79" ht="13.5" customHeight="1">
      <c r="B23" s="23" t="s">
        <v>464</v>
      </c>
      <c r="C23" s="307" t="s">
        <v>917</v>
      </c>
      <c r="D23" s="307" t="s">
        <v>241</v>
      </c>
      <c r="E23" s="307" t="s">
        <v>943</v>
      </c>
      <c r="F23" s="307" t="s">
        <v>943</v>
      </c>
      <c r="G23" s="307" t="s">
        <v>924</v>
      </c>
      <c r="H23" s="310"/>
      <c r="I23" s="307" t="s">
        <v>913</v>
      </c>
      <c r="J23" s="307" t="s">
        <v>917</v>
      </c>
      <c r="K23" s="307" t="s">
        <v>241</v>
      </c>
      <c r="L23" s="307" t="s">
        <v>943</v>
      </c>
      <c r="M23" s="307" t="s">
        <v>943</v>
      </c>
      <c r="N23" s="307" t="s">
        <v>943</v>
      </c>
      <c r="O23" s="310" t="s">
        <v>924</v>
      </c>
      <c r="P23" s="307" t="s">
        <v>943</v>
      </c>
      <c r="Q23" s="307" t="s">
        <v>917</v>
      </c>
      <c r="R23" s="310"/>
      <c r="S23" s="293" t="s">
        <v>464</v>
      </c>
      <c r="V23" s="23" t="s">
        <v>464</v>
      </c>
      <c r="W23" s="307" t="s">
        <v>917</v>
      </c>
      <c r="X23" s="307" t="s">
        <v>241</v>
      </c>
      <c r="Y23" s="307" t="s">
        <v>943</v>
      </c>
      <c r="Z23" s="307" t="s">
        <v>943</v>
      </c>
      <c r="AA23" s="307" t="s">
        <v>924</v>
      </c>
      <c r="AB23" s="310"/>
      <c r="AC23" s="307" t="s">
        <v>913</v>
      </c>
      <c r="AD23" s="307" t="s">
        <v>917</v>
      </c>
      <c r="AE23" s="307" t="s">
        <v>241</v>
      </c>
      <c r="AF23" s="307" t="s">
        <v>943</v>
      </c>
      <c r="AG23" s="307" t="s">
        <v>943</v>
      </c>
      <c r="AH23" s="307" t="s">
        <v>943</v>
      </c>
      <c r="AI23" s="310" t="s">
        <v>924</v>
      </c>
      <c r="AJ23" s="307" t="s">
        <v>943</v>
      </c>
      <c r="AK23" s="307" t="s">
        <v>917</v>
      </c>
      <c r="AL23" s="310"/>
      <c r="AM23" s="293" t="s">
        <v>464</v>
      </c>
      <c r="AP23" s="23" t="s">
        <v>464</v>
      </c>
      <c r="AQ23" s="307" t="s">
        <v>241</v>
      </c>
      <c r="AR23" s="307" t="s">
        <v>913</v>
      </c>
      <c r="AS23" s="307" t="s">
        <v>925</v>
      </c>
      <c r="AT23" s="307" t="s">
        <v>944</v>
      </c>
      <c r="AU23" s="310" t="s">
        <v>944</v>
      </c>
      <c r="AV23" s="307" t="s">
        <v>944</v>
      </c>
      <c r="AW23" s="307" t="s">
        <v>917</v>
      </c>
      <c r="AX23" s="307" t="s">
        <v>241</v>
      </c>
      <c r="AY23" s="307" t="s">
        <v>913</v>
      </c>
      <c r="AZ23" s="307" t="s">
        <v>925</v>
      </c>
      <c r="BA23" s="307" t="s">
        <v>916</v>
      </c>
      <c r="BB23" s="310" t="s">
        <v>924</v>
      </c>
      <c r="BC23" s="307" t="s">
        <v>913</v>
      </c>
      <c r="BD23" s="307" t="s">
        <v>917</v>
      </c>
      <c r="BE23" s="307" t="s">
        <v>241</v>
      </c>
      <c r="BF23" s="310"/>
      <c r="BG23" s="293" t="s">
        <v>464</v>
      </c>
      <c r="BJ23" s="23" t="s">
        <v>464</v>
      </c>
      <c r="BK23" s="307" t="s">
        <v>241</v>
      </c>
      <c r="BL23" s="307" t="s">
        <v>913</v>
      </c>
      <c r="BM23" s="307" t="s">
        <v>925</v>
      </c>
      <c r="BN23" s="307" t="s">
        <v>944</v>
      </c>
      <c r="BO23" s="310" t="s">
        <v>944</v>
      </c>
      <c r="BP23" s="307" t="s">
        <v>944</v>
      </c>
      <c r="BQ23" s="307" t="s">
        <v>917</v>
      </c>
      <c r="BR23" s="307" t="s">
        <v>241</v>
      </c>
      <c r="BS23" s="307" t="s">
        <v>913</v>
      </c>
      <c r="BT23" s="307" t="s">
        <v>925</v>
      </c>
      <c r="BU23" s="307" t="s">
        <v>916</v>
      </c>
      <c r="BV23" s="310" t="s">
        <v>924</v>
      </c>
      <c r="BW23" s="307" t="s">
        <v>913</v>
      </c>
      <c r="BX23" s="307" t="s">
        <v>917</v>
      </c>
      <c r="BY23" s="307" t="s">
        <v>241</v>
      </c>
      <c r="BZ23" s="310"/>
      <c r="CA23" s="293" t="s">
        <v>464</v>
      </c>
    </row>
    <row r="24" spans="2:79" ht="13.5" customHeight="1">
      <c r="B24" s="24"/>
      <c r="C24" s="313"/>
      <c r="D24" s="313" t="s">
        <v>945</v>
      </c>
      <c r="E24" s="313" t="s">
        <v>946</v>
      </c>
      <c r="F24" s="313" t="s">
        <v>947</v>
      </c>
      <c r="G24" s="313" t="s">
        <v>948</v>
      </c>
      <c r="H24" s="314"/>
      <c r="I24" s="313" t="s">
        <v>913</v>
      </c>
      <c r="J24" s="313" t="s">
        <v>913</v>
      </c>
      <c r="K24" s="313" t="s">
        <v>949</v>
      </c>
      <c r="L24" s="313" t="s">
        <v>950</v>
      </c>
      <c r="M24" s="313" t="s">
        <v>951</v>
      </c>
      <c r="N24" s="313" t="s">
        <v>952</v>
      </c>
      <c r="O24" s="314" t="s">
        <v>953</v>
      </c>
      <c r="P24" s="313" t="s">
        <v>954</v>
      </c>
      <c r="Q24" s="313" t="s">
        <v>913</v>
      </c>
      <c r="R24" s="314"/>
      <c r="S24" s="296"/>
      <c r="V24" s="24"/>
      <c r="W24" s="313"/>
      <c r="X24" s="313" t="s">
        <v>945</v>
      </c>
      <c r="Y24" s="313" t="s">
        <v>946</v>
      </c>
      <c r="Z24" s="313" t="s">
        <v>947</v>
      </c>
      <c r="AA24" s="313" t="s">
        <v>948</v>
      </c>
      <c r="AB24" s="314"/>
      <c r="AC24" s="313" t="s">
        <v>913</v>
      </c>
      <c r="AD24" s="313" t="s">
        <v>913</v>
      </c>
      <c r="AE24" s="313" t="s">
        <v>949</v>
      </c>
      <c r="AF24" s="313" t="s">
        <v>950</v>
      </c>
      <c r="AG24" s="313" t="s">
        <v>951</v>
      </c>
      <c r="AH24" s="313" t="s">
        <v>952</v>
      </c>
      <c r="AI24" s="314" t="s">
        <v>953</v>
      </c>
      <c r="AJ24" s="313" t="s">
        <v>954</v>
      </c>
      <c r="AK24" s="313" t="s">
        <v>913</v>
      </c>
      <c r="AL24" s="314"/>
      <c r="AM24" s="296"/>
      <c r="AP24" s="24"/>
      <c r="AQ24" s="313" t="s">
        <v>955</v>
      </c>
      <c r="AR24" s="313" t="s">
        <v>913</v>
      </c>
      <c r="AS24" s="313" t="s">
        <v>930</v>
      </c>
      <c r="AT24" s="313" t="s">
        <v>913</v>
      </c>
      <c r="AU24" s="314" t="s">
        <v>913</v>
      </c>
      <c r="AV24" s="313" t="s">
        <v>913</v>
      </c>
      <c r="AW24" s="313" t="s">
        <v>913</v>
      </c>
      <c r="AX24" s="313" t="s">
        <v>956</v>
      </c>
      <c r="AY24" s="313" t="s">
        <v>913</v>
      </c>
      <c r="AZ24" s="313" t="s">
        <v>930</v>
      </c>
      <c r="BA24" s="313" t="s">
        <v>913</v>
      </c>
      <c r="BB24" s="314" t="s">
        <v>957</v>
      </c>
      <c r="BC24" s="313" t="s">
        <v>913</v>
      </c>
      <c r="BD24" s="313" t="s">
        <v>913</v>
      </c>
      <c r="BE24" s="313" t="s">
        <v>958</v>
      </c>
      <c r="BF24" s="314"/>
      <c r="BG24" s="296"/>
      <c r="BJ24" s="24"/>
      <c r="BK24" s="313" t="s">
        <v>955</v>
      </c>
      <c r="BL24" s="313" t="s">
        <v>913</v>
      </c>
      <c r="BM24" s="313" t="s">
        <v>930</v>
      </c>
      <c r="BN24" s="313" t="s">
        <v>913</v>
      </c>
      <c r="BO24" s="314" t="s">
        <v>913</v>
      </c>
      <c r="BP24" s="313" t="s">
        <v>913</v>
      </c>
      <c r="BQ24" s="313" t="s">
        <v>913</v>
      </c>
      <c r="BR24" s="313" t="s">
        <v>956</v>
      </c>
      <c r="BS24" s="313" t="s">
        <v>913</v>
      </c>
      <c r="BT24" s="313" t="s">
        <v>930</v>
      </c>
      <c r="BU24" s="313" t="s">
        <v>913</v>
      </c>
      <c r="BV24" s="314" t="s">
        <v>957</v>
      </c>
      <c r="BW24" s="313" t="s">
        <v>913</v>
      </c>
      <c r="BX24" s="313" t="s">
        <v>913</v>
      </c>
      <c r="BY24" s="313" t="s">
        <v>958</v>
      </c>
      <c r="BZ24" s="314"/>
      <c r="CA24" s="296"/>
    </row>
    <row r="25" spans="2:79" ht="13.5" customHeight="1">
      <c r="B25" s="23" t="s">
        <v>466</v>
      </c>
      <c r="C25" s="307" t="s">
        <v>932</v>
      </c>
      <c r="D25" s="307" t="s">
        <v>932</v>
      </c>
      <c r="E25" s="307" t="s">
        <v>924</v>
      </c>
      <c r="F25" s="307" t="s">
        <v>925</v>
      </c>
      <c r="G25" s="307" t="s">
        <v>912</v>
      </c>
      <c r="H25" s="310" t="s">
        <v>913</v>
      </c>
      <c r="I25" s="307"/>
      <c r="J25" s="307" t="s">
        <v>932</v>
      </c>
      <c r="K25" s="307" t="s">
        <v>932</v>
      </c>
      <c r="L25" s="307" t="s">
        <v>927</v>
      </c>
      <c r="M25" s="307" t="s">
        <v>927</v>
      </c>
      <c r="N25" s="307"/>
      <c r="O25" s="310" t="s">
        <v>912</v>
      </c>
      <c r="P25" s="307" t="s">
        <v>913</v>
      </c>
      <c r="Q25" s="307" t="s">
        <v>932</v>
      </c>
      <c r="R25" s="310"/>
      <c r="S25" s="293" t="s">
        <v>466</v>
      </c>
      <c r="V25" s="23" t="s">
        <v>466</v>
      </c>
      <c r="W25" s="307" t="s">
        <v>932</v>
      </c>
      <c r="X25" s="307" t="s">
        <v>932</v>
      </c>
      <c r="Y25" s="307" t="s">
        <v>924</v>
      </c>
      <c r="Z25" s="307" t="s">
        <v>925</v>
      </c>
      <c r="AA25" s="307" t="s">
        <v>912</v>
      </c>
      <c r="AB25" s="310" t="s">
        <v>913</v>
      </c>
      <c r="AC25" s="307"/>
      <c r="AD25" s="307" t="s">
        <v>932</v>
      </c>
      <c r="AE25" s="307" t="s">
        <v>932</v>
      </c>
      <c r="AF25" s="307" t="s">
        <v>927</v>
      </c>
      <c r="AG25" s="307" t="s">
        <v>927</v>
      </c>
      <c r="AH25" s="307"/>
      <c r="AI25" s="310" t="s">
        <v>912</v>
      </c>
      <c r="AJ25" s="307" t="s">
        <v>913</v>
      </c>
      <c r="AK25" s="307" t="s">
        <v>932</v>
      </c>
      <c r="AL25" s="310"/>
      <c r="AM25" s="293" t="s">
        <v>466</v>
      </c>
      <c r="AP25" s="23" t="s">
        <v>466</v>
      </c>
      <c r="AQ25" s="307" t="s">
        <v>932</v>
      </c>
      <c r="AR25" s="307" t="s">
        <v>927</v>
      </c>
      <c r="AS25" s="307" t="s">
        <v>927</v>
      </c>
      <c r="AT25" s="307" t="s">
        <v>912</v>
      </c>
      <c r="AU25" s="310" t="s">
        <v>913</v>
      </c>
      <c r="AV25" s="307" t="s">
        <v>913</v>
      </c>
      <c r="AW25" s="307" t="s">
        <v>932</v>
      </c>
      <c r="AX25" s="307" t="s">
        <v>932</v>
      </c>
      <c r="AY25" s="307" t="s">
        <v>959</v>
      </c>
      <c r="AZ25" s="307" t="s">
        <v>959</v>
      </c>
      <c r="BA25" s="307"/>
      <c r="BB25" s="310" t="s">
        <v>912</v>
      </c>
      <c r="BC25" s="307" t="s">
        <v>960</v>
      </c>
      <c r="BD25" s="307" t="s">
        <v>932</v>
      </c>
      <c r="BE25" s="307" t="s">
        <v>932</v>
      </c>
      <c r="BF25" s="310"/>
      <c r="BG25" s="293" t="s">
        <v>466</v>
      </c>
      <c r="BJ25" s="23" t="s">
        <v>466</v>
      </c>
      <c r="BK25" s="307" t="s">
        <v>932</v>
      </c>
      <c r="BL25" s="307" t="s">
        <v>927</v>
      </c>
      <c r="BM25" s="307" t="s">
        <v>927</v>
      </c>
      <c r="BN25" s="307" t="s">
        <v>912</v>
      </c>
      <c r="BO25" s="310" t="s">
        <v>913</v>
      </c>
      <c r="BP25" s="307" t="s">
        <v>913</v>
      </c>
      <c r="BQ25" s="307" t="s">
        <v>932</v>
      </c>
      <c r="BR25" s="307" t="s">
        <v>932</v>
      </c>
      <c r="BS25" s="307" t="s">
        <v>959</v>
      </c>
      <c r="BT25" s="307" t="s">
        <v>959</v>
      </c>
      <c r="BU25" s="307"/>
      <c r="BV25" s="310" t="s">
        <v>912</v>
      </c>
      <c r="BW25" s="307" t="s">
        <v>960</v>
      </c>
      <c r="BX25" s="307" t="s">
        <v>932</v>
      </c>
      <c r="BY25" s="307" t="s">
        <v>932</v>
      </c>
      <c r="BZ25" s="310"/>
      <c r="CA25" s="293" t="s">
        <v>466</v>
      </c>
    </row>
    <row r="26" spans="2:79" ht="13.5" customHeight="1">
      <c r="B26" s="24"/>
      <c r="C26" s="313" t="s">
        <v>961</v>
      </c>
      <c r="D26" s="313" t="s">
        <v>913</v>
      </c>
      <c r="E26" s="313" t="s">
        <v>962</v>
      </c>
      <c r="F26" s="313" t="s">
        <v>930</v>
      </c>
      <c r="G26" s="313" t="s">
        <v>916</v>
      </c>
      <c r="H26" s="314" t="s">
        <v>913</v>
      </c>
      <c r="I26" s="313" t="s">
        <v>913</v>
      </c>
      <c r="J26" s="313" t="s">
        <v>963</v>
      </c>
      <c r="K26" s="313" t="s">
        <v>913</v>
      </c>
      <c r="L26" s="313" t="s">
        <v>964</v>
      </c>
      <c r="M26" s="313" t="s">
        <v>964</v>
      </c>
      <c r="N26" s="313" t="s">
        <v>916</v>
      </c>
      <c r="O26" s="314" t="s">
        <v>913</v>
      </c>
      <c r="P26" s="313" t="s">
        <v>913</v>
      </c>
      <c r="Q26" s="313" t="s">
        <v>965</v>
      </c>
      <c r="R26" s="314"/>
      <c r="S26" s="296"/>
      <c r="V26" s="24"/>
      <c r="W26" s="313" t="s">
        <v>961</v>
      </c>
      <c r="X26" s="313" t="s">
        <v>913</v>
      </c>
      <c r="Y26" s="313" t="s">
        <v>962</v>
      </c>
      <c r="Z26" s="313" t="s">
        <v>930</v>
      </c>
      <c r="AA26" s="313" t="s">
        <v>916</v>
      </c>
      <c r="AB26" s="314" t="s">
        <v>913</v>
      </c>
      <c r="AC26" s="313" t="s">
        <v>913</v>
      </c>
      <c r="AD26" s="313" t="s">
        <v>963</v>
      </c>
      <c r="AE26" s="313" t="s">
        <v>913</v>
      </c>
      <c r="AF26" s="313" t="s">
        <v>964</v>
      </c>
      <c r="AG26" s="313" t="s">
        <v>964</v>
      </c>
      <c r="AH26" s="313" t="s">
        <v>916</v>
      </c>
      <c r="AI26" s="314" t="s">
        <v>913</v>
      </c>
      <c r="AJ26" s="313" t="s">
        <v>913</v>
      </c>
      <c r="AK26" s="313" t="s">
        <v>965</v>
      </c>
      <c r="AL26" s="314"/>
      <c r="AM26" s="296"/>
      <c r="AP26" s="24"/>
      <c r="AQ26" s="313" t="s">
        <v>913</v>
      </c>
      <c r="AR26" s="313" t="s">
        <v>931</v>
      </c>
      <c r="AS26" s="313" t="s">
        <v>931</v>
      </c>
      <c r="AT26" s="313" t="s">
        <v>916</v>
      </c>
      <c r="AU26" s="314" t="s">
        <v>913</v>
      </c>
      <c r="AV26" s="313" t="s">
        <v>913</v>
      </c>
      <c r="AW26" s="313" t="s">
        <v>966</v>
      </c>
      <c r="AX26" s="313" t="s">
        <v>913</v>
      </c>
      <c r="AY26" s="313" t="s">
        <v>967</v>
      </c>
      <c r="AZ26" s="313" t="s">
        <v>968</v>
      </c>
      <c r="BA26" s="313"/>
      <c r="BB26" s="314" t="s">
        <v>913</v>
      </c>
      <c r="BC26" s="313" t="s">
        <v>969</v>
      </c>
      <c r="BD26" s="313" t="s">
        <v>913</v>
      </c>
      <c r="BE26" s="313" t="s">
        <v>913</v>
      </c>
      <c r="BF26" s="314"/>
      <c r="BG26" s="296"/>
      <c r="BJ26" s="24"/>
      <c r="BK26" s="313" t="s">
        <v>913</v>
      </c>
      <c r="BL26" s="313" t="s">
        <v>931</v>
      </c>
      <c r="BM26" s="313" t="s">
        <v>931</v>
      </c>
      <c r="BN26" s="313" t="s">
        <v>916</v>
      </c>
      <c r="BO26" s="314" t="s">
        <v>913</v>
      </c>
      <c r="BP26" s="313" t="s">
        <v>913</v>
      </c>
      <c r="BQ26" s="313" t="s">
        <v>966</v>
      </c>
      <c r="BR26" s="313" t="s">
        <v>913</v>
      </c>
      <c r="BS26" s="313" t="s">
        <v>967</v>
      </c>
      <c r="BT26" s="313" t="s">
        <v>968</v>
      </c>
      <c r="BU26" s="313"/>
      <c r="BV26" s="314" t="s">
        <v>913</v>
      </c>
      <c r="BW26" s="313" t="s">
        <v>969</v>
      </c>
      <c r="BX26" s="313" t="s">
        <v>913</v>
      </c>
      <c r="BY26" s="313" t="s">
        <v>913</v>
      </c>
      <c r="BZ26" s="314"/>
      <c r="CA26" s="296"/>
    </row>
    <row r="27" spans="2:79" ht="13.5" customHeight="1">
      <c r="B27" s="23" t="s">
        <v>467</v>
      </c>
      <c r="C27" s="307"/>
      <c r="D27" s="307"/>
      <c r="E27" s="307"/>
      <c r="F27" s="307"/>
      <c r="G27" s="307"/>
      <c r="H27" s="310"/>
      <c r="I27" s="307"/>
      <c r="J27" s="307"/>
      <c r="K27" s="307"/>
      <c r="L27" s="307"/>
      <c r="M27" s="307"/>
      <c r="N27" s="307"/>
      <c r="O27" s="310"/>
      <c r="P27" s="307"/>
      <c r="Q27" s="307"/>
      <c r="R27" s="310"/>
      <c r="S27" s="293" t="s">
        <v>467</v>
      </c>
      <c r="V27" s="23" t="s">
        <v>467</v>
      </c>
      <c r="W27" s="307"/>
      <c r="X27" s="307"/>
      <c r="Y27" s="307"/>
      <c r="Z27" s="307"/>
      <c r="AA27" s="307"/>
      <c r="AB27" s="310"/>
      <c r="AC27" s="307"/>
      <c r="AD27" s="307"/>
      <c r="AE27" s="307"/>
      <c r="AF27" s="307"/>
      <c r="AG27" s="307"/>
      <c r="AH27" s="307"/>
      <c r="AI27" s="310"/>
      <c r="AJ27" s="307"/>
      <c r="AK27" s="307"/>
      <c r="AL27" s="310"/>
      <c r="AM27" s="293" t="s">
        <v>467</v>
      </c>
      <c r="AP27" s="23" t="s">
        <v>467</v>
      </c>
      <c r="AQ27" s="307"/>
      <c r="AR27" s="307"/>
      <c r="AS27" s="307"/>
      <c r="AT27" s="307"/>
      <c r="AU27" s="310"/>
      <c r="AV27" s="307"/>
      <c r="AW27" s="307"/>
      <c r="AX27" s="307"/>
      <c r="AY27" s="307"/>
      <c r="AZ27" s="307"/>
      <c r="BA27" s="307"/>
      <c r="BB27" s="310"/>
      <c r="BC27" s="307"/>
      <c r="BD27" s="307"/>
      <c r="BE27" s="307"/>
      <c r="BF27" s="310"/>
      <c r="BG27" s="293" t="s">
        <v>467</v>
      </c>
      <c r="BJ27" s="23" t="s">
        <v>467</v>
      </c>
      <c r="BK27" s="307"/>
      <c r="BL27" s="307"/>
      <c r="BM27" s="307"/>
      <c r="BN27" s="307"/>
      <c r="BO27" s="310"/>
      <c r="BP27" s="307"/>
      <c r="BQ27" s="307"/>
      <c r="BR27" s="307"/>
      <c r="BS27" s="307"/>
      <c r="BT27" s="307"/>
      <c r="BU27" s="307"/>
      <c r="BV27" s="310"/>
      <c r="BW27" s="307"/>
      <c r="BX27" s="307"/>
      <c r="BY27" s="307"/>
      <c r="BZ27" s="310"/>
      <c r="CA27" s="293" t="s">
        <v>467</v>
      </c>
    </row>
    <row r="28" spans="2:79" ht="13.5" customHeight="1" thickBot="1">
      <c r="B28" s="430"/>
      <c r="C28" s="500"/>
      <c r="D28" s="500"/>
      <c r="E28" s="500"/>
      <c r="F28" s="500"/>
      <c r="G28" s="500"/>
      <c r="H28" s="501"/>
      <c r="I28" s="500"/>
      <c r="J28" s="500"/>
      <c r="K28" s="500"/>
      <c r="L28" s="500"/>
      <c r="M28" s="500"/>
      <c r="N28" s="500"/>
      <c r="O28" s="501"/>
      <c r="P28" s="500"/>
      <c r="Q28" s="500"/>
      <c r="R28" s="501"/>
      <c r="S28" s="437"/>
      <c r="V28" s="430"/>
      <c r="W28" s="500"/>
      <c r="X28" s="500"/>
      <c r="Y28" s="500"/>
      <c r="Z28" s="500"/>
      <c r="AA28" s="500"/>
      <c r="AB28" s="501"/>
      <c r="AC28" s="500"/>
      <c r="AD28" s="500"/>
      <c r="AE28" s="500"/>
      <c r="AF28" s="500"/>
      <c r="AG28" s="500"/>
      <c r="AH28" s="500"/>
      <c r="AI28" s="501"/>
      <c r="AJ28" s="500"/>
      <c r="AK28" s="500"/>
      <c r="AL28" s="501"/>
      <c r="AM28" s="437"/>
      <c r="AP28" s="430"/>
      <c r="AQ28" s="500"/>
      <c r="AR28" s="500"/>
      <c r="AS28" s="500"/>
      <c r="AT28" s="500"/>
      <c r="AU28" s="501"/>
      <c r="AV28" s="500"/>
      <c r="AW28" s="500"/>
      <c r="AX28" s="500"/>
      <c r="AY28" s="500"/>
      <c r="AZ28" s="500"/>
      <c r="BA28" s="500"/>
      <c r="BB28" s="501"/>
      <c r="BC28" s="500"/>
      <c r="BD28" s="500"/>
      <c r="BE28" s="500"/>
      <c r="BF28" s="501"/>
      <c r="BG28" s="437"/>
      <c r="BJ28" s="430"/>
      <c r="BK28" s="500"/>
      <c r="BL28" s="500"/>
      <c r="BM28" s="500"/>
      <c r="BN28" s="500"/>
      <c r="BO28" s="501"/>
      <c r="BP28" s="500"/>
      <c r="BQ28" s="500"/>
      <c r="BR28" s="500"/>
      <c r="BS28" s="500"/>
      <c r="BT28" s="500"/>
      <c r="BU28" s="500"/>
      <c r="BV28" s="501"/>
      <c r="BW28" s="500"/>
      <c r="BX28" s="500"/>
      <c r="BY28" s="500"/>
      <c r="BZ28" s="501"/>
      <c r="CA28" s="437"/>
    </row>
    <row r="29" spans="2:79" ht="13.5" customHeight="1">
      <c r="B29" s="23" t="s">
        <v>645</v>
      </c>
      <c r="C29" s="307"/>
      <c r="D29" s="307"/>
      <c r="E29" s="307"/>
      <c r="F29" s="307"/>
      <c r="G29" s="307"/>
      <c r="H29" s="310"/>
      <c r="I29" s="307"/>
      <c r="J29" s="307"/>
      <c r="K29" s="307"/>
      <c r="L29" s="307"/>
      <c r="M29" s="307"/>
      <c r="N29" s="307"/>
      <c r="O29" s="310"/>
      <c r="P29" s="307"/>
      <c r="Q29" s="307"/>
      <c r="R29" s="310"/>
      <c r="S29" s="293" t="s">
        <v>645</v>
      </c>
      <c r="V29" s="23" t="s">
        <v>645</v>
      </c>
      <c r="W29" s="307"/>
      <c r="X29" s="307"/>
      <c r="Y29" s="307"/>
      <c r="Z29" s="307"/>
      <c r="AA29" s="307"/>
      <c r="AB29" s="310"/>
      <c r="AC29" s="307"/>
      <c r="AD29" s="307"/>
      <c r="AE29" s="307"/>
      <c r="AF29" s="307"/>
      <c r="AG29" s="307"/>
      <c r="AH29" s="307"/>
      <c r="AI29" s="310"/>
      <c r="AJ29" s="307"/>
      <c r="AK29" s="307"/>
      <c r="AL29" s="310"/>
      <c r="AM29" s="293" t="s">
        <v>645</v>
      </c>
      <c r="AP29" s="23" t="s">
        <v>645</v>
      </c>
      <c r="AQ29" s="307"/>
      <c r="AR29" s="307"/>
      <c r="AS29" s="307"/>
      <c r="AT29" s="307"/>
      <c r="AU29" s="310"/>
      <c r="AV29" s="307"/>
      <c r="AW29" s="307"/>
      <c r="AX29" s="307"/>
      <c r="AY29" s="307"/>
      <c r="AZ29" s="307"/>
      <c r="BA29" s="307"/>
      <c r="BB29" s="310"/>
      <c r="BC29" s="307"/>
      <c r="BD29" s="307"/>
      <c r="BE29" s="307"/>
      <c r="BF29" s="310"/>
      <c r="BG29" s="293" t="s">
        <v>645</v>
      </c>
      <c r="BJ29" s="23" t="s">
        <v>645</v>
      </c>
      <c r="BK29" s="307"/>
      <c r="BL29" s="307"/>
      <c r="BM29" s="307"/>
      <c r="BN29" s="307"/>
      <c r="BO29" s="310"/>
      <c r="BP29" s="307"/>
      <c r="BQ29" s="307"/>
      <c r="BR29" s="307"/>
      <c r="BS29" s="307"/>
      <c r="BT29" s="307"/>
      <c r="BU29" s="307"/>
      <c r="BV29" s="310"/>
      <c r="BW29" s="307"/>
      <c r="BX29" s="307"/>
      <c r="BY29" s="307"/>
      <c r="BZ29" s="310"/>
      <c r="CA29" s="293" t="s">
        <v>645</v>
      </c>
    </row>
    <row r="30" spans="2:79" ht="13.5" customHeight="1">
      <c r="B30" s="24"/>
      <c r="C30" s="313"/>
      <c r="D30" s="313"/>
      <c r="E30" s="313"/>
      <c r="F30" s="313"/>
      <c r="G30" s="313"/>
      <c r="H30" s="314"/>
      <c r="I30" s="313"/>
      <c r="J30" s="313"/>
      <c r="K30" s="313"/>
      <c r="L30" s="313"/>
      <c r="M30" s="313"/>
      <c r="N30" s="313"/>
      <c r="O30" s="314"/>
      <c r="P30" s="313"/>
      <c r="Q30" s="313"/>
      <c r="R30" s="314"/>
      <c r="S30" s="296"/>
      <c r="V30" s="24"/>
      <c r="W30" s="313"/>
      <c r="X30" s="313"/>
      <c r="Y30" s="313"/>
      <c r="Z30" s="313"/>
      <c r="AA30" s="313"/>
      <c r="AB30" s="314"/>
      <c r="AC30" s="313"/>
      <c r="AD30" s="313"/>
      <c r="AE30" s="313"/>
      <c r="AF30" s="313"/>
      <c r="AG30" s="313"/>
      <c r="AH30" s="313"/>
      <c r="AI30" s="314"/>
      <c r="AJ30" s="313"/>
      <c r="AK30" s="313"/>
      <c r="AL30" s="314"/>
      <c r="AM30" s="296"/>
      <c r="AP30" s="24"/>
      <c r="AQ30" s="313"/>
      <c r="AR30" s="313"/>
      <c r="AS30" s="313"/>
      <c r="AT30" s="313"/>
      <c r="AU30" s="314"/>
      <c r="AV30" s="313"/>
      <c r="AW30" s="313"/>
      <c r="AX30" s="313"/>
      <c r="AY30" s="313"/>
      <c r="AZ30" s="313"/>
      <c r="BA30" s="313"/>
      <c r="BB30" s="314"/>
      <c r="BC30" s="313"/>
      <c r="BD30" s="313"/>
      <c r="BE30" s="313"/>
      <c r="BF30" s="314"/>
      <c r="BG30" s="296"/>
      <c r="BJ30" s="24"/>
      <c r="BK30" s="313"/>
      <c r="BL30" s="313"/>
      <c r="BM30" s="313"/>
      <c r="BN30" s="313"/>
      <c r="BO30" s="314"/>
      <c r="BP30" s="313"/>
      <c r="BQ30" s="313"/>
      <c r="BR30" s="313"/>
      <c r="BS30" s="313"/>
      <c r="BT30" s="313"/>
      <c r="BU30" s="313"/>
      <c r="BV30" s="314"/>
      <c r="BW30" s="313"/>
      <c r="BX30" s="313"/>
      <c r="BY30" s="313"/>
      <c r="BZ30" s="314"/>
      <c r="CA30" s="296"/>
    </row>
    <row r="31" spans="2:79" ht="13.5" customHeight="1">
      <c r="B31" s="23"/>
      <c r="C31" s="307" t="s">
        <v>437</v>
      </c>
      <c r="D31" s="307" t="s">
        <v>437</v>
      </c>
      <c r="E31" s="307" t="s">
        <v>437</v>
      </c>
      <c r="F31" s="307" t="s">
        <v>437</v>
      </c>
      <c r="G31" s="307" t="s">
        <v>437</v>
      </c>
      <c r="H31" s="310"/>
      <c r="I31" s="307"/>
      <c r="J31" s="307" t="s">
        <v>437</v>
      </c>
      <c r="K31" s="307" t="s">
        <v>437</v>
      </c>
      <c r="L31" s="307" t="s">
        <v>437</v>
      </c>
      <c r="M31" s="307" t="s">
        <v>437</v>
      </c>
      <c r="N31" s="307" t="s">
        <v>437</v>
      </c>
      <c r="O31" s="310" t="s">
        <v>438</v>
      </c>
      <c r="P31" s="307"/>
      <c r="Q31" s="307" t="s">
        <v>437</v>
      </c>
      <c r="R31" s="310"/>
      <c r="S31" s="293"/>
      <c r="V31" s="23"/>
      <c r="W31" s="307" t="s">
        <v>437</v>
      </c>
      <c r="X31" s="307" t="s">
        <v>437</v>
      </c>
      <c r="Y31" s="307" t="s">
        <v>437</v>
      </c>
      <c r="Z31" s="307" t="s">
        <v>437</v>
      </c>
      <c r="AA31" s="307" t="s">
        <v>437</v>
      </c>
      <c r="AB31" s="310"/>
      <c r="AC31" s="307"/>
      <c r="AD31" s="307" t="s">
        <v>437</v>
      </c>
      <c r="AE31" s="307" t="s">
        <v>437</v>
      </c>
      <c r="AF31" s="307" t="s">
        <v>437</v>
      </c>
      <c r="AG31" s="307" t="s">
        <v>437</v>
      </c>
      <c r="AH31" s="307" t="s">
        <v>437</v>
      </c>
      <c r="AI31" s="310" t="s">
        <v>438</v>
      </c>
      <c r="AJ31" s="307"/>
      <c r="AK31" s="307" t="s">
        <v>437</v>
      </c>
      <c r="AL31" s="310"/>
      <c r="AM31" s="293"/>
      <c r="AP31" s="23"/>
      <c r="AQ31" s="307" t="s">
        <v>437</v>
      </c>
      <c r="AR31" s="307" t="s">
        <v>437</v>
      </c>
      <c r="AS31" s="307" t="s">
        <v>437</v>
      </c>
      <c r="AT31" s="307" t="s">
        <v>437</v>
      </c>
      <c r="AU31" s="310"/>
      <c r="AV31" s="307"/>
      <c r="AW31" s="307" t="s">
        <v>437</v>
      </c>
      <c r="AX31" s="307" t="s">
        <v>437</v>
      </c>
      <c r="AY31" s="307" t="s">
        <v>437</v>
      </c>
      <c r="AZ31" s="307" t="s">
        <v>437</v>
      </c>
      <c r="BA31" s="307" t="s">
        <v>437</v>
      </c>
      <c r="BB31" s="310"/>
      <c r="BC31" s="307"/>
      <c r="BD31" s="307" t="s">
        <v>437</v>
      </c>
      <c r="BE31" s="307" t="s">
        <v>437</v>
      </c>
      <c r="BF31" s="310"/>
      <c r="BG31" s="293"/>
      <c r="BJ31" s="23"/>
      <c r="BK31" s="307" t="s">
        <v>437</v>
      </c>
      <c r="BL31" s="307" t="s">
        <v>437</v>
      </c>
      <c r="BM31" s="307" t="s">
        <v>437</v>
      </c>
      <c r="BN31" s="307" t="s">
        <v>437</v>
      </c>
      <c r="BO31" s="310"/>
      <c r="BP31" s="307"/>
      <c r="BQ31" s="307" t="s">
        <v>437</v>
      </c>
      <c r="BR31" s="307" t="s">
        <v>437</v>
      </c>
      <c r="BS31" s="307" t="s">
        <v>437</v>
      </c>
      <c r="BT31" s="307" t="s">
        <v>437</v>
      </c>
      <c r="BU31" s="307" t="s">
        <v>437</v>
      </c>
      <c r="BV31" s="310"/>
      <c r="BW31" s="307"/>
      <c r="BX31" s="307" t="s">
        <v>437</v>
      </c>
      <c r="BY31" s="307" t="s">
        <v>437</v>
      </c>
      <c r="BZ31" s="310"/>
      <c r="CA31" s="293"/>
    </row>
    <row r="32" spans="2:79" ht="13.5" customHeight="1">
      <c r="B32" s="23" t="s">
        <v>776</v>
      </c>
      <c r="C32" s="307"/>
      <c r="D32" s="307"/>
      <c r="E32" s="307"/>
      <c r="F32" s="307"/>
      <c r="G32" s="307"/>
      <c r="H32" s="310"/>
      <c r="I32" s="307"/>
      <c r="J32" s="307"/>
      <c r="K32" s="307"/>
      <c r="L32" s="307"/>
      <c r="M32" s="307"/>
      <c r="N32" s="307"/>
      <c r="O32" s="310" t="s">
        <v>439</v>
      </c>
      <c r="P32" s="307"/>
      <c r="Q32" s="307"/>
      <c r="R32" s="310"/>
      <c r="S32" s="293" t="s">
        <v>776</v>
      </c>
      <c r="V32" s="23" t="s">
        <v>776</v>
      </c>
      <c r="W32" s="307"/>
      <c r="X32" s="307"/>
      <c r="Y32" s="307"/>
      <c r="Z32" s="307"/>
      <c r="AA32" s="307"/>
      <c r="AB32" s="310"/>
      <c r="AC32" s="307"/>
      <c r="AD32" s="307"/>
      <c r="AE32" s="307"/>
      <c r="AF32" s="307"/>
      <c r="AG32" s="307"/>
      <c r="AH32" s="307"/>
      <c r="AI32" s="310" t="s">
        <v>439</v>
      </c>
      <c r="AJ32" s="307"/>
      <c r="AK32" s="307"/>
      <c r="AL32" s="310"/>
      <c r="AM32" s="293" t="s">
        <v>776</v>
      </c>
      <c r="AP32" s="23" t="s">
        <v>776</v>
      </c>
      <c r="AQ32" s="307"/>
      <c r="AR32" s="307"/>
      <c r="AS32" s="307"/>
      <c r="AT32" s="307"/>
      <c r="AU32" s="310"/>
      <c r="AV32" s="307"/>
      <c r="AW32" s="307"/>
      <c r="AX32" s="307"/>
      <c r="AY32" s="307"/>
      <c r="AZ32" s="307"/>
      <c r="BA32" s="307"/>
      <c r="BB32" s="310"/>
      <c r="BC32" s="307"/>
      <c r="BD32" s="307"/>
      <c r="BE32" s="307"/>
      <c r="BF32" s="310"/>
      <c r="BG32" s="293" t="s">
        <v>776</v>
      </c>
      <c r="BJ32" s="23" t="s">
        <v>776</v>
      </c>
      <c r="BK32" s="307"/>
      <c r="BL32" s="307"/>
      <c r="BM32" s="307"/>
      <c r="BN32" s="307"/>
      <c r="BO32" s="310"/>
      <c r="BP32" s="307"/>
      <c r="BQ32" s="307"/>
      <c r="BR32" s="307"/>
      <c r="BS32" s="307"/>
      <c r="BT32" s="307"/>
      <c r="BU32" s="307"/>
      <c r="BV32" s="310"/>
      <c r="BW32" s="307"/>
      <c r="BX32" s="307"/>
      <c r="BY32" s="307"/>
      <c r="BZ32" s="310"/>
      <c r="CA32" s="293" t="s">
        <v>776</v>
      </c>
    </row>
    <row r="33" spans="2:79" ht="13.5" customHeight="1">
      <c r="B33" s="23"/>
      <c r="C33" s="307"/>
      <c r="D33" s="307"/>
      <c r="E33" s="307"/>
      <c r="F33" s="307"/>
      <c r="G33" s="307"/>
      <c r="H33" s="310"/>
      <c r="I33" s="307"/>
      <c r="J33" s="307"/>
      <c r="K33" s="307"/>
      <c r="L33" s="307"/>
      <c r="M33" s="307"/>
      <c r="N33" s="307"/>
      <c r="O33" s="310"/>
      <c r="P33" s="307"/>
      <c r="Q33" s="307"/>
      <c r="R33" s="310"/>
      <c r="S33" s="293"/>
      <c r="V33" s="23"/>
      <c r="W33" s="307"/>
      <c r="X33" s="307"/>
      <c r="Y33" s="307"/>
      <c r="Z33" s="307"/>
      <c r="AA33" s="307"/>
      <c r="AB33" s="310"/>
      <c r="AC33" s="307"/>
      <c r="AD33" s="307"/>
      <c r="AE33" s="307"/>
      <c r="AF33" s="307"/>
      <c r="AG33" s="307"/>
      <c r="AH33" s="307"/>
      <c r="AI33" s="310"/>
      <c r="AJ33" s="307"/>
      <c r="AK33" s="307"/>
      <c r="AL33" s="310"/>
      <c r="AM33" s="293"/>
      <c r="AP33" s="23"/>
      <c r="AQ33" s="307"/>
      <c r="AR33" s="307"/>
      <c r="AS33" s="307"/>
      <c r="AT33" s="307"/>
      <c r="AU33" s="310"/>
      <c r="AV33" s="307"/>
      <c r="AW33" s="307"/>
      <c r="AX33" s="307"/>
      <c r="AY33" s="307"/>
      <c r="AZ33" s="307"/>
      <c r="BA33" s="307"/>
      <c r="BB33" s="310"/>
      <c r="BC33" s="307"/>
      <c r="BD33" s="307"/>
      <c r="BE33" s="307"/>
      <c r="BF33" s="310"/>
      <c r="BG33" s="293"/>
      <c r="BJ33" s="23"/>
      <c r="BK33" s="307"/>
      <c r="BL33" s="307"/>
      <c r="BM33" s="307"/>
      <c r="BN33" s="307"/>
      <c r="BO33" s="310"/>
      <c r="BP33" s="307"/>
      <c r="BQ33" s="307"/>
      <c r="BR33" s="307"/>
      <c r="BS33" s="307"/>
      <c r="BT33" s="307"/>
      <c r="BU33" s="307"/>
      <c r="BV33" s="310"/>
      <c r="BW33" s="307"/>
      <c r="BX33" s="307"/>
      <c r="BY33" s="307"/>
      <c r="BZ33" s="310"/>
      <c r="CA33" s="293"/>
    </row>
    <row r="34" spans="2:79" ht="13.5" customHeight="1" thickBot="1">
      <c r="B34" s="430"/>
      <c r="C34" s="500"/>
      <c r="D34" s="500"/>
      <c r="E34" s="500"/>
      <c r="F34" s="500"/>
      <c r="G34" s="500"/>
      <c r="H34" s="501"/>
      <c r="I34" s="500"/>
      <c r="J34" s="500"/>
      <c r="K34" s="500"/>
      <c r="L34" s="500"/>
      <c r="M34" s="500"/>
      <c r="N34" s="500"/>
      <c r="O34" s="501"/>
      <c r="P34" s="500"/>
      <c r="Q34" s="500"/>
      <c r="R34" s="501"/>
      <c r="S34" s="437"/>
      <c r="V34" s="430"/>
      <c r="W34" s="500"/>
      <c r="X34" s="500"/>
      <c r="Y34" s="500"/>
      <c r="Z34" s="500"/>
      <c r="AA34" s="500"/>
      <c r="AB34" s="501"/>
      <c r="AC34" s="500"/>
      <c r="AD34" s="500"/>
      <c r="AE34" s="500"/>
      <c r="AF34" s="500"/>
      <c r="AG34" s="500"/>
      <c r="AH34" s="500"/>
      <c r="AI34" s="501"/>
      <c r="AJ34" s="500"/>
      <c r="AK34" s="500"/>
      <c r="AL34" s="501"/>
      <c r="AM34" s="437"/>
      <c r="AP34" s="430"/>
      <c r="AQ34" s="500"/>
      <c r="AR34" s="500"/>
      <c r="AS34" s="500"/>
      <c r="AT34" s="500"/>
      <c r="AU34" s="501"/>
      <c r="AV34" s="500"/>
      <c r="AW34" s="500"/>
      <c r="AX34" s="500"/>
      <c r="AY34" s="500"/>
      <c r="AZ34" s="500"/>
      <c r="BA34" s="500"/>
      <c r="BB34" s="501"/>
      <c r="BC34" s="500"/>
      <c r="BD34" s="500"/>
      <c r="BE34" s="500"/>
      <c r="BF34" s="501"/>
      <c r="BG34" s="437"/>
      <c r="BJ34" s="430"/>
      <c r="BK34" s="500"/>
      <c r="BL34" s="500"/>
      <c r="BM34" s="500"/>
      <c r="BN34" s="500"/>
      <c r="BO34" s="501"/>
      <c r="BP34" s="500"/>
      <c r="BQ34" s="500"/>
      <c r="BR34" s="500"/>
      <c r="BS34" s="500"/>
      <c r="BT34" s="500"/>
      <c r="BU34" s="500"/>
      <c r="BV34" s="501"/>
      <c r="BW34" s="500"/>
      <c r="BX34" s="500"/>
      <c r="BY34" s="500"/>
      <c r="BZ34" s="501"/>
      <c r="CA34" s="437"/>
    </row>
    <row r="35" spans="2:79" ht="13.5" customHeight="1">
      <c r="B35" s="518" t="s">
        <v>732</v>
      </c>
      <c r="C35" s="308"/>
      <c r="D35" s="308"/>
      <c r="E35" s="308"/>
      <c r="F35" s="308"/>
      <c r="G35" s="308"/>
      <c r="H35" s="311"/>
      <c r="I35" s="308"/>
      <c r="J35" s="308"/>
      <c r="K35" s="308"/>
      <c r="L35" s="308"/>
      <c r="M35" s="308"/>
      <c r="N35" s="308"/>
      <c r="O35" s="311"/>
      <c r="P35" s="308"/>
      <c r="Q35" s="308"/>
      <c r="R35" s="311"/>
      <c r="S35" s="519" t="s">
        <v>777</v>
      </c>
      <c r="V35" s="23" t="s">
        <v>778</v>
      </c>
      <c r="W35" s="308"/>
      <c r="X35" s="308"/>
      <c r="Y35" s="308"/>
      <c r="Z35" s="308"/>
      <c r="AA35" s="308"/>
      <c r="AB35" s="311"/>
      <c r="AC35" s="308"/>
      <c r="AD35" s="308"/>
      <c r="AE35" s="308"/>
      <c r="AF35" s="308"/>
      <c r="AG35" s="308"/>
      <c r="AH35" s="308"/>
      <c r="AI35" s="311"/>
      <c r="AJ35" s="308"/>
      <c r="AK35" s="308"/>
      <c r="AL35" s="311"/>
      <c r="AM35" s="293" t="s">
        <v>779</v>
      </c>
      <c r="AP35" s="518" t="s">
        <v>732</v>
      </c>
      <c r="AQ35" s="308"/>
      <c r="AR35" s="308"/>
      <c r="AS35" s="308"/>
      <c r="AT35" s="308"/>
      <c r="AU35" s="311"/>
      <c r="AV35" s="308"/>
      <c r="AW35" s="308"/>
      <c r="AX35" s="308"/>
      <c r="AY35" s="308"/>
      <c r="AZ35" s="308"/>
      <c r="BA35" s="308"/>
      <c r="BB35" s="311"/>
      <c r="BC35" s="308"/>
      <c r="BD35" s="308"/>
      <c r="BE35" s="308"/>
      <c r="BF35" s="311"/>
      <c r="BG35" s="519" t="s">
        <v>777</v>
      </c>
      <c r="BJ35" s="23" t="s">
        <v>778</v>
      </c>
      <c r="BK35" s="308"/>
      <c r="BL35" s="308"/>
      <c r="BM35" s="308"/>
      <c r="BN35" s="308"/>
      <c r="BO35" s="311"/>
      <c r="BP35" s="308"/>
      <c r="BQ35" s="308"/>
      <c r="BR35" s="308"/>
      <c r="BS35" s="308"/>
      <c r="BT35" s="308"/>
      <c r="BU35" s="308"/>
      <c r="BV35" s="311"/>
      <c r="BW35" s="308"/>
      <c r="BX35" s="308"/>
      <c r="BY35" s="308"/>
      <c r="BZ35" s="311"/>
      <c r="CA35" s="293" t="s">
        <v>779</v>
      </c>
    </row>
    <row r="36" spans="2:79" ht="13.5" customHeight="1">
      <c r="B36" s="303"/>
      <c r="C36" s="315"/>
      <c r="D36" s="315"/>
      <c r="E36" s="315"/>
      <c r="F36" s="315"/>
      <c r="G36" s="315"/>
      <c r="H36" s="316"/>
      <c r="I36" s="315"/>
      <c r="J36" s="315"/>
      <c r="K36" s="315"/>
      <c r="L36" s="315"/>
      <c r="M36" s="315"/>
      <c r="N36" s="315"/>
      <c r="O36" s="316"/>
      <c r="P36" s="315"/>
      <c r="Q36" s="315"/>
      <c r="R36" s="316"/>
      <c r="S36" s="304"/>
      <c r="V36" s="24"/>
      <c r="W36" s="315"/>
      <c r="X36" s="315"/>
      <c r="Y36" s="315"/>
      <c r="Z36" s="315"/>
      <c r="AA36" s="315"/>
      <c r="AB36" s="316"/>
      <c r="AC36" s="315"/>
      <c r="AD36" s="315"/>
      <c r="AE36" s="315"/>
      <c r="AF36" s="315"/>
      <c r="AG36" s="315"/>
      <c r="AH36" s="315"/>
      <c r="AI36" s="316"/>
      <c r="AJ36" s="315"/>
      <c r="AK36" s="315"/>
      <c r="AL36" s="316"/>
      <c r="AM36" s="296"/>
      <c r="AP36" s="303"/>
      <c r="AQ36" s="315"/>
      <c r="AR36" s="315"/>
      <c r="AS36" s="315"/>
      <c r="AT36" s="315"/>
      <c r="AU36" s="316"/>
      <c r="AV36" s="315"/>
      <c r="AW36" s="315"/>
      <c r="AX36" s="315"/>
      <c r="AY36" s="315"/>
      <c r="AZ36" s="315"/>
      <c r="BA36" s="315"/>
      <c r="BB36" s="316"/>
      <c r="BC36" s="315"/>
      <c r="BD36" s="315"/>
      <c r="BE36" s="315"/>
      <c r="BF36" s="316"/>
      <c r="BG36" s="304"/>
      <c r="BJ36" s="24"/>
      <c r="BK36" s="315"/>
      <c r="BL36" s="315"/>
      <c r="BM36" s="315"/>
      <c r="BN36" s="315"/>
      <c r="BO36" s="316"/>
      <c r="BP36" s="315"/>
      <c r="BQ36" s="315"/>
      <c r="BR36" s="315"/>
      <c r="BS36" s="315"/>
      <c r="BT36" s="315"/>
      <c r="BU36" s="315"/>
      <c r="BV36" s="316"/>
      <c r="BW36" s="315"/>
      <c r="BX36" s="315"/>
      <c r="BY36" s="315"/>
      <c r="BZ36" s="316"/>
      <c r="CA36" s="296"/>
    </row>
    <row r="37" spans="2:79" ht="13.5" customHeight="1">
      <c r="B37" s="23" t="s">
        <v>780</v>
      </c>
      <c r="C37" s="308"/>
      <c r="D37" s="308"/>
      <c r="E37" s="308"/>
      <c r="F37" s="308"/>
      <c r="G37" s="308"/>
      <c r="H37" s="311"/>
      <c r="I37" s="308"/>
      <c r="J37" s="308"/>
      <c r="K37" s="308"/>
      <c r="L37" s="308"/>
      <c r="M37" s="308"/>
      <c r="N37" s="308"/>
      <c r="O37" s="311"/>
      <c r="P37" s="308"/>
      <c r="Q37" s="308"/>
      <c r="R37" s="311"/>
      <c r="S37" s="293" t="s">
        <v>781</v>
      </c>
      <c r="V37" s="23" t="s">
        <v>782</v>
      </c>
      <c r="W37" s="308"/>
      <c r="X37" s="308"/>
      <c r="Y37" s="308"/>
      <c r="Z37" s="308"/>
      <c r="AA37" s="308"/>
      <c r="AB37" s="311"/>
      <c r="AC37" s="308"/>
      <c r="AD37" s="308"/>
      <c r="AE37" s="308"/>
      <c r="AF37" s="308"/>
      <c r="AG37" s="308"/>
      <c r="AH37" s="308"/>
      <c r="AI37" s="311"/>
      <c r="AJ37" s="308"/>
      <c r="AK37" s="308"/>
      <c r="AL37" s="311"/>
      <c r="AM37" s="293" t="s">
        <v>552</v>
      </c>
      <c r="AP37" s="23" t="s">
        <v>780</v>
      </c>
      <c r="AQ37" s="308"/>
      <c r="AR37" s="308"/>
      <c r="AS37" s="308"/>
      <c r="AT37" s="308"/>
      <c r="AU37" s="311"/>
      <c r="AV37" s="308"/>
      <c r="AW37" s="308"/>
      <c r="AX37" s="308"/>
      <c r="AY37" s="308"/>
      <c r="AZ37" s="308"/>
      <c r="BA37" s="308"/>
      <c r="BB37" s="311"/>
      <c r="BC37" s="308"/>
      <c r="BD37" s="308"/>
      <c r="BE37" s="308"/>
      <c r="BF37" s="311"/>
      <c r="BG37" s="293" t="s">
        <v>781</v>
      </c>
      <c r="BJ37" s="23" t="s">
        <v>782</v>
      </c>
      <c r="BK37" s="308"/>
      <c r="BL37" s="308"/>
      <c r="BM37" s="308"/>
      <c r="BN37" s="308"/>
      <c r="BO37" s="311"/>
      <c r="BP37" s="308"/>
      <c r="BQ37" s="308"/>
      <c r="BR37" s="308"/>
      <c r="BS37" s="308"/>
      <c r="BT37" s="308"/>
      <c r="BU37" s="308"/>
      <c r="BV37" s="311"/>
      <c r="BW37" s="308"/>
      <c r="BX37" s="308"/>
      <c r="BY37" s="308"/>
      <c r="BZ37" s="311"/>
      <c r="CA37" s="293" t="s">
        <v>552</v>
      </c>
    </row>
    <row r="38" spans="2:79" ht="13.5" customHeight="1">
      <c r="B38" s="24"/>
      <c r="C38" s="315"/>
      <c r="D38" s="315"/>
      <c r="E38" s="315"/>
      <c r="F38" s="315"/>
      <c r="G38" s="315"/>
      <c r="H38" s="316"/>
      <c r="I38" s="315"/>
      <c r="J38" s="315"/>
      <c r="K38" s="315"/>
      <c r="L38" s="315"/>
      <c r="M38" s="315"/>
      <c r="N38" s="315"/>
      <c r="O38" s="316"/>
      <c r="P38" s="315"/>
      <c r="Q38" s="315"/>
      <c r="R38" s="316"/>
      <c r="S38" s="296"/>
      <c r="V38" s="24"/>
      <c r="W38" s="315"/>
      <c r="X38" s="315"/>
      <c r="Y38" s="315"/>
      <c r="Z38" s="315"/>
      <c r="AA38" s="315"/>
      <c r="AB38" s="316"/>
      <c r="AC38" s="315"/>
      <c r="AD38" s="315"/>
      <c r="AE38" s="315"/>
      <c r="AF38" s="315"/>
      <c r="AG38" s="315"/>
      <c r="AH38" s="315"/>
      <c r="AI38" s="316"/>
      <c r="AJ38" s="315"/>
      <c r="AK38" s="315"/>
      <c r="AL38" s="316"/>
      <c r="AM38" s="296"/>
      <c r="AP38" s="24"/>
      <c r="AQ38" s="315"/>
      <c r="AR38" s="315"/>
      <c r="AS38" s="315"/>
      <c r="AT38" s="315"/>
      <c r="AU38" s="316"/>
      <c r="AV38" s="315"/>
      <c r="AW38" s="315"/>
      <c r="AX38" s="315"/>
      <c r="AY38" s="315"/>
      <c r="AZ38" s="315"/>
      <c r="BA38" s="315"/>
      <c r="BB38" s="316"/>
      <c r="BC38" s="315"/>
      <c r="BD38" s="315"/>
      <c r="BE38" s="315"/>
      <c r="BF38" s="316"/>
      <c r="BG38" s="296"/>
      <c r="BJ38" s="24"/>
      <c r="BK38" s="315"/>
      <c r="BL38" s="315"/>
      <c r="BM38" s="315"/>
      <c r="BN38" s="315"/>
      <c r="BO38" s="316"/>
      <c r="BP38" s="315"/>
      <c r="BQ38" s="315"/>
      <c r="BR38" s="315"/>
      <c r="BS38" s="315"/>
      <c r="BT38" s="315"/>
      <c r="BU38" s="315"/>
      <c r="BV38" s="316"/>
      <c r="BW38" s="315"/>
      <c r="BX38" s="315"/>
      <c r="BY38" s="315"/>
      <c r="BZ38" s="316"/>
      <c r="CA38" s="296"/>
    </row>
    <row r="39" spans="2:79" ht="13.5" customHeight="1">
      <c r="B39" s="23" t="s">
        <v>783</v>
      </c>
      <c r="C39" s="308"/>
      <c r="D39" s="308"/>
      <c r="E39" s="308"/>
      <c r="F39" s="308"/>
      <c r="G39" s="308"/>
      <c r="H39" s="311"/>
      <c r="I39" s="308"/>
      <c r="J39" s="308"/>
      <c r="K39" s="308"/>
      <c r="L39" s="308"/>
      <c r="M39" s="308"/>
      <c r="N39" s="308"/>
      <c r="O39" s="311"/>
      <c r="P39" s="308"/>
      <c r="Q39" s="308"/>
      <c r="R39" s="311"/>
      <c r="S39" s="293" t="s">
        <v>784</v>
      </c>
      <c r="V39" s="23" t="s">
        <v>785</v>
      </c>
      <c r="W39" s="308"/>
      <c r="X39" s="308"/>
      <c r="Y39" s="308"/>
      <c r="Z39" s="308"/>
      <c r="AA39" s="308"/>
      <c r="AB39" s="311"/>
      <c r="AC39" s="308"/>
      <c r="AD39" s="308"/>
      <c r="AE39" s="308"/>
      <c r="AF39" s="308"/>
      <c r="AG39" s="308"/>
      <c r="AH39" s="308"/>
      <c r="AI39" s="311"/>
      <c r="AJ39" s="308"/>
      <c r="AK39" s="308"/>
      <c r="AL39" s="311"/>
      <c r="AM39" s="293" t="s">
        <v>510</v>
      </c>
      <c r="AP39" s="23" t="s">
        <v>783</v>
      </c>
      <c r="AQ39" s="308"/>
      <c r="AR39" s="308"/>
      <c r="AS39" s="308"/>
      <c r="AT39" s="308"/>
      <c r="AU39" s="311"/>
      <c r="AV39" s="308"/>
      <c r="AW39" s="308"/>
      <c r="AX39" s="308"/>
      <c r="AY39" s="308"/>
      <c r="AZ39" s="308"/>
      <c r="BA39" s="308"/>
      <c r="BB39" s="311"/>
      <c r="BC39" s="308"/>
      <c r="BD39" s="308"/>
      <c r="BE39" s="308"/>
      <c r="BF39" s="311"/>
      <c r="BG39" s="293" t="s">
        <v>784</v>
      </c>
      <c r="BJ39" s="23" t="s">
        <v>785</v>
      </c>
      <c r="BK39" s="308"/>
      <c r="BL39" s="308"/>
      <c r="BM39" s="308"/>
      <c r="BN39" s="308"/>
      <c r="BO39" s="311"/>
      <c r="BP39" s="308"/>
      <c r="BQ39" s="308"/>
      <c r="BR39" s="308"/>
      <c r="BS39" s="308"/>
      <c r="BT39" s="308"/>
      <c r="BU39" s="308"/>
      <c r="BV39" s="311"/>
      <c r="BW39" s="308"/>
      <c r="BX39" s="308"/>
      <c r="BY39" s="308"/>
      <c r="BZ39" s="311"/>
      <c r="CA39" s="293" t="s">
        <v>510</v>
      </c>
    </row>
    <row r="40" spans="2:79" ht="13.5" customHeight="1">
      <c r="B40" s="24"/>
      <c r="C40" s="315"/>
      <c r="D40" s="315"/>
      <c r="E40" s="315"/>
      <c r="F40" s="315"/>
      <c r="G40" s="315"/>
      <c r="H40" s="316"/>
      <c r="I40" s="315"/>
      <c r="J40" s="315"/>
      <c r="K40" s="315"/>
      <c r="L40" s="315"/>
      <c r="M40" s="315"/>
      <c r="N40" s="315"/>
      <c r="O40" s="316"/>
      <c r="P40" s="315"/>
      <c r="Q40" s="315"/>
      <c r="R40" s="316"/>
      <c r="S40" s="296"/>
      <c r="V40" s="24"/>
      <c r="W40" s="315"/>
      <c r="X40" s="315"/>
      <c r="Y40" s="315"/>
      <c r="Z40" s="315"/>
      <c r="AA40" s="315"/>
      <c r="AB40" s="316"/>
      <c r="AC40" s="315"/>
      <c r="AD40" s="315"/>
      <c r="AE40" s="315"/>
      <c r="AF40" s="315"/>
      <c r="AG40" s="315"/>
      <c r="AH40" s="315"/>
      <c r="AI40" s="316"/>
      <c r="AJ40" s="315"/>
      <c r="AK40" s="315"/>
      <c r="AL40" s="316"/>
      <c r="AM40" s="296"/>
      <c r="AP40" s="24"/>
      <c r="AQ40" s="315"/>
      <c r="AR40" s="315"/>
      <c r="AS40" s="315"/>
      <c r="AT40" s="315"/>
      <c r="AU40" s="316"/>
      <c r="AV40" s="315"/>
      <c r="AW40" s="315"/>
      <c r="AX40" s="315"/>
      <c r="AY40" s="315"/>
      <c r="AZ40" s="315"/>
      <c r="BA40" s="315"/>
      <c r="BB40" s="316"/>
      <c r="BC40" s="315"/>
      <c r="BD40" s="315"/>
      <c r="BE40" s="315"/>
      <c r="BF40" s="316"/>
      <c r="BG40" s="296"/>
      <c r="BJ40" s="24"/>
      <c r="BK40" s="315"/>
      <c r="BL40" s="315"/>
      <c r="BM40" s="315"/>
      <c r="BN40" s="315"/>
      <c r="BO40" s="316"/>
      <c r="BP40" s="315"/>
      <c r="BQ40" s="315"/>
      <c r="BR40" s="315"/>
      <c r="BS40" s="315"/>
      <c r="BT40" s="315"/>
      <c r="BU40" s="315"/>
      <c r="BV40" s="316"/>
      <c r="BW40" s="315"/>
      <c r="BX40" s="315"/>
      <c r="BY40" s="315"/>
      <c r="BZ40" s="316"/>
      <c r="CA40" s="296"/>
    </row>
    <row r="41" spans="2:79" ht="13.5" customHeight="1">
      <c r="B41" s="23" t="s">
        <v>786</v>
      </c>
      <c r="C41" s="308"/>
      <c r="D41" s="308"/>
      <c r="E41" s="308"/>
      <c r="F41" s="308"/>
      <c r="G41" s="308"/>
      <c r="H41" s="311"/>
      <c r="I41" s="308"/>
      <c r="J41" s="308"/>
      <c r="K41" s="308"/>
      <c r="L41" s="308"/>
      <c r="M41" s="308"/>
      <c r="N41" s="308"/>
      <c r="O41" s="311"/>
      <c r="P41" s="308"/>
      <c r="Q41" s="308"/>
      <c r="R41" s="311"/>
      <c r="S41" s="293" t="s">
        <v>787</v>
      </c>
      <c r="V41" s="23" t="s">
        <v>788</v>
      </c>
      <c r="W41" s="308"/>
      <c r="X41" s="308"/>
      <c r="Y41" s="308"/>
      <c r="Z41" s="308"/>
      <c r="AA41" s="308"/>
      <c r="AB41" s="311"/>
      <c r="AC41" s="308"/>
      <c r="AD41" s="308"/>
      <c r="AE41" s="308"/>
      <c r="AF41" s="308"/>
      <c r="AG41" s="308"/>
      <c r="AH41" s="308"/>
      <c r="AI41" s="311"/>
      <c r="AJ41" s="308"/>
      <c r="AK41" s="308"/>
      <c r="AL41" s="311"/>
      <c r="AM41" s="293" t="s">
        <v>789</v>
      </c>
      <c r="AP41" s="23" t="s">
        <v>786</v>
      </c>
      <c r="AQ41" s="308"/>
      <c r="AR41" s="308"/>
      <c r="AS41" s="308"/>
      <c r="AT41" s="308"/>
      <c r="AU41" s="311"/>
      <c r="AV41" s="308"/>
      <c r="AW41" s="308"/>
      <c r="AX41" s="308"/>
      <c r="AY41" s="308"/>
      <c r="AZ41" s="308"/>
      <c r="BA41" s="308"/>
      <c r="BB41" s="311"/>
      <c r="BC41" s="308"/>
      <c r="BD41" s="308"/>
      <c r="BE41" s="308"/>
      <c r="BF41" s="311"/>
      <c r="BG41" s="293" t="s">
        <v>787</v>
      </c>
      <c r="BJ41" s="23" t="s">
        <v>788</v>
      </c>
      <c r="BK41" s="308"/>
      <c r="BL41" s="308"/>
      <c r="BM41" s="308"/>
      <c r="BN41" s="308"/>
      <c r="BO41" s="311"/>
      <c r="BP41" s="308"/>
      <c r="BQ41" s="308"/>
      <c r="BR41" s="308"/>
      <c r="BS41" s="308"/>
      <c r="BT41" s="308"/>
      <c r="BU41" s="308"/>
      <c r="BV41" s="311"/>
      <c r="BW41" s="308"/>
      <c r="BX41" s="308"/>
      <c r="BY41" s="308"/>
      <c r="BZ41" s="311"/>
      <c r="CA41" s="293" t="s">
        <v>789</v>
      </c>
    </row>
    <row r="42" spans="2:79" ht="13.5" customHeight="1">
      <c r="B42" s="24"/>
      <c r="C42" s="315"/>
      <c r="D42" s="315"/>
      <c r="E42" s="315"/>
      <c r="F42" s="315"/>
      <c r="G42" s="315"/>
      <c r="H42" s="316"/>
      <c r="I42" s="315"/>
      <c r="J42" s="315"/>
      <c r="K42" s="315"/>
      <c r="L42" s="315"/>
      <c r="M42" s="315"/>
      <c r="N42" s="315"/>
      <c r="O42" s="316"/>
      <c r="P42" s="315"/>
      <c r="Q42" s="315"/>
      <c r="R42" s="316"/>
      <c r="S42" s="296"/>
      <c r="V42" s="24"/>
      <c r="W42" s="315"/>
      <c r="X42" s="315"/>
      <c r="Y42" s="315"/>
      <c r="Z42" s="315"/>
      <c r="AA42" s="315"/>
      <c r="AB42" s="316"/>
      <c r="AC42" s="315"/>
      <c r="AD42" s="315"/>
      <c r="AE42" s="315"/>
      <c r="AF42" s="315"/>
      <c r="AG42" s="315"/>
      <c r="AH42" s="315"/>
      <c r="AI42" s="316"/>
      <c r="AJ42" s="315"/>
      <c r="AK42" s="315"/>
      <c r="AL42" s="316"/>
      <c r="AM42" s="296"/>
      <c r="AP42" s="24"/>
      <c r="AQ42" s="315"/>
      <c r="AR42" s="315"/>
      <c r="AS42" s="315"/>
      <c r="AT42" s="315"/>
      <c r="AU42" s="316"/>
      <c r="AV42" s="315"/>
      <c r="AW42" s="315"/>
      <c r="AX42" s="315"/>
      <c r="AY42" s="315"/>
      <c r="AZ42" s="315"/>
      <c r="BA42" s="315"/>
      <c r="BB42" s="316"/>
      <c r="BC42" s="315"/>
      <c r="BD42" s="315"/>
      <c r="BE42" s="315"/>
      <c r="BF42" s="316"/>
      <c r="BG42" s="296"/>
      <c r="BJ42" s="24"/>
      <c r="BK42" s="315"/>
      <c r="BL42" s="315"/>
      <c r="BM42" s="315"/>
      <c r="BN42" s="315"/>
      <c r="BO42" s="316"/>
      <c r="BP42" s="315"/>
      <c r="BQ42" s="315"/>
      <c r="BR42" s="315"/>
      <c r="BS42" s="315"/>
      <c r="BT42" s="315"/>
      <c r="BU42" s="315"/>
      <c r="BV42" s="316"/>
      <c r="BW42" s="315"/>
      <c r="BX42" s="315"/>
      <c r="BY42" s="315"/>
      <c r="BZ42" s="316"/>
      <c r="CA42" s="296"/>
    </row>
    <row r="43" spans="2:79" ht="13.5" customHeight="1">
      <c r="B43" s="23" t="s">
        <v>790</v>
      </c>
      <c r="C43" s="308"/>
      <c r="D43" s="308"/>
      <c r="E43" s="308"/>
      <c r="F43" s="308"/>
      <c r="G43" s="308"/>
      <c r="H43" s="311"/>
      <c r="I43" s="308"/>
      <c r="J43" s="308"/>
      <c r="K43" s="308"/>
      <c r="L43" s="308"/>
      <c r="M43" s="308"/>
      <c r="N43" s="308"/>
      <c r="O43" s="311"/>
      <c r="P43" s="308"/>
      <c r="Q43" s="308"/>
      <c r="R43" s="311"/>
      <c r="S43" s="293" t="s">
        <v>791</v>
      </c>
      <c r="V43" s="23" t="s">
        <v>792</v>
      </c>
      <c r="W43" s="308"/>
      <c r="X43" s="308"/>
      <c r="Y43" s="308"/>
      <c r="Z43" s="308"/>
      <c r="AA43" s="308"/>
      <c r="AB43" s="311"/>
      <c r="AC43" s="308"/>
      <c r="AD43" s="308"/>
      <c r="AE43" s="308"/>
      <c r="AF43" s="308"/>
      <c r="AG43" s="308"/>
      <c r="AH43" s="308"/>
      <c r="AI43" s="311"/>
      <c r="AJ43" s="308"/>
      <c r="AK43" s="308"/>
      <c r="AL43" s="311"/>
      <c r="AM43" s="293" t="s">
        <v>506</v>
      </c>
      <c r="AP43" s="23" t="s">
        <v>790</v>
      </c>
      <c r="AQ43" s="308"/>
      <c r="AR43" s="308"/>
      <c r="AS43" s="308"/>
      <c r="AT43" s="308"/>
      <c r="AU43" s="311"/>
      <c r="AV43" s="308"/>
      <c r="AW43" s="308"/>
      <c r="AX43" s="308"/>
      <c r="AY43" s="308"/>
      <c r="AZ43" s="308"/>
      <c r="BA43" s="308"/>
      <c r="BB43" s="311"/>
      <c r="BC43" s="308"/>
      <c r="BD43" s="308"/>
      <c r="BE43" s="308"/>
      <c r="BF43" s="311"/>
      <c r="BG43" s="293" t="s">
        <v>791</v>
      </c>
      <c r="BJ43" s="23" t="s">
        <v>792</v>
      </c>
      <c r="BK43" s="308"/>
      <c r="BL43" s="308"/>
      <c r="BM43" s="308"/>
      <c r="BN43" s="308"/>
      <c r="BO43" s="311"/>
      <c r="BP43" s="308"/>
      <c r="BQ43" s="308"/>
      <c r="BR43" s="308"/>
      <c r="BS43" s="308"/>
      <c r="BT43" s="308"/>
      <c r="BU43" s="308"/>
      <c r="BV43" s="311"/>
      <c r="BW43" s="308"/>
      <c r="BX43" s="308"/>
      <c r="BY43" s="308"/>
      <c r="BZ43" s="311"/>
      <c r="CA43" s="293" t="s">
        <v>506</v>
      </c>
    </row>
    <row r="44" spans="2:79" ht="13.5" customHeight="1">
      <c r="B44" s="24"/>
      <c r="C44" s="315"/>
      <c r="D44" s="315"/>
      <c r="E44" s="315"/>
      <c r="F44" s="315"/>
      <c r="G44" s="315"/>
      <c r="H44" s="316"/>
      <c r="I44" s="315"/>
      <c r="J44" s="315"/>
      <c r="K44" s="315"/>
      <c r="L44" s="315"/>
      <c r="M44" s="315"/>
      <c r="N44" s="315"/>
      <c r="O44" s="316"/>
      <c r="P44" s="315"/>
      <c r="Q44" s="315"/>
      <c r="R44" s="316"/>
      <c r="S44" s="296"/>
      <c r="V44" s="24"/>
      <c r="W44" s="315"/>
      <c r="X44" s="315"/>
      <c r="Y44" s="315"/>
      <c r="Z44" s="315"/>
      <c r="AA44" s="315"/>
      <c r="AB44" s="316"/>
      <c r="AC44" s="315"/>
      <c r="AD44" s="315"/>
      <c r="AE44" s="315"/>
      <c r="AF44" s="315"/>
      <c r="AG44" s="315"/>
      <c r="AH44" s="315"/>
      <c r="AI44" s="316"/>
      <c r="AJ44" s="315"/>
      <c r="AK44" s="315"/>
      <c r="AL44" s="316"/>
      <c r="AM44" s="296"/>
      <c r="AP44" s="24"/>
      <c r="AQ44" s="315"/>
      <c r="AR44" s="315"/>
      <c r="AS44" s="315"/>
      <c r="AT44" s="315"/>
      <c r="AU44" s="316"/>
      <c r="AV44" s="315"/>
      <c r="AW44" s="315"/>
      <c r="AX44" s="315"/>
      <c r="AY44" s="315"/>
      <c r="AZ44" s="315"/>
      <c r="BA44" s="315"/>
      <c r="BB44" s="316"/>
      <c r="BC44" s="315"/>
      <c r="BD44" s="315"/>
      <c r="BE44" s="315"/>
      <c r="BF44" s="316"/>
      <c r="BG44" s="296"/>
      <c r="BJ44" s="24"/>
      <c r="BK44" s="315"/>
      <c r="BL44" s="315"/>
      <c r="BM44" s="315"/>
      <c r="BN44" s="315"/>
      <c r="BO44" s="316"/>
      <c r="BP44" s="315"/>
      <c r="BQ44" s="315"/>
      <c r="BR44" s="315"/>
      <c r="BS44" s="315"/>
      <c r="BT44" s="315"/>
      <c r="BU44" s="315"/>
      <c r="BV44" s="316"/>
      <c r="BW44" s="315"/>
      <c r="BX44" s="315"/>
      <c r="BY44" s="315"/>
      <c r="BZ44" s="316"/>
      <c r="CA44" s="296"/>
    </row>
    <row r="45" spans="2:79" ht="13.5" customHeight="1">
      <c r="B45" s="23" t="s">
        <v>793</v>
      </c>
      <c r="C45" s="309"/>
      <c r="D45" s="309"/>
      <c r="E45" s="309"/>
      <c r="F45" s="309"/>
      <c r="G45" s="309"/>
      <c r="H45" s="312"/>
      <c r="I45" s="309"/>
      <c r="J45" s="309"/>
      <c r="K45" s="309"/>
      <c r="L45" s="309"/>
      <c r="M45" s="309"/>
      <c r="N45" s="309"/>
      <c r="O45" s="312"/>
      <c r="P45" s="309"/>
      <c r="Q45" s="309"/>
      <c r="R45" s="311"/>
      <c r="S45" s="293" t="s">
        <v>794</v>
      </c>
      <c r="V45" s="23" t="s">
        <v>795</v>
      </c>
      <c r="W45" s="308"/>
      <c r="X45" s="308"/>
      <c r="Y45" s="308"/>
      <c r="Z45" s="308"/>
      <c r="AA45" s="308"/>
      <c r="AB45" s="311"/>
      <c r="AC45" s="308"/>
      <c r="AD45" s="308"/>
      <c r="AE45" s="308"/>
      <c r="AF45" s="308"/>
      <c r="AG45" s="308"/>
      <c r="AH45" s="308"/>
      <c r="AI45" s="311"/>
      <c r="AJ45" s="308"/>
      <c r="AK45" s="308"/>
      <c r="AL45" s="311"/>
      <c r="AM45" s="293" t="s">
        <v>796</v>
      </c>
      <c r="AP45" s="23" t="s">
        <v>793</v>
      </c>
      <c r="AQ45" s="309"/>
      <c r="AR45" s="309"/>
      <c r="AS45" s="309"/>
      <c r="AT45" s="309"/>
      <c r="AU45" s="312"/>
      <c r="AV45" s="309"/>
      <c r="AW45" s="309"/>
      <c r="AX45" s="309"/>
      <c r="AY45" s="309"/>
      <c r="AZ45" s="309"/>
      <c r="BA45" s="309"/>
      <c r="BB45" s="312"/>
      <c r="BC45" s="309"/>
      <c r="BD45" s="309"/>
      <c r="BE45" s="309"/>
      <c r="BF45" s="311"/>
      <c r="BG45" s="293" t="s">
        <v>794</v>
      </c>
      <c r="BJ45" s="23" t="s">
        <v>795</v>
      </c>
      <c r="BK45" s="308"/>
      <c r="BL45" s="308"/>
      <c r="BM45" s="308"/>
      <c r="BN45" s="308"/>
      <c r="BO45" s="311"/>
      <c r="BP45" s="308"/>
      <c r="BQ45" s="308"/>
      <c r="BR45" s="308"/>
      <c r="BS45" s="308"/>
      <c r="BT45" s="308"/>
      <c r="BU45" s="308"/>
      <c r="BV45" s="311"/>
      <c r="BW45" s="308"/>
      <c r="BX45" s="308"/>
      <c r="BY45" s="308"/>
      <c r="BZ45" s="311"/>
      <c r="CA45" s="293" t="s">
        <v>796</v>
      </c>
    </row>
    <row r="46" spans="2:79" ht="13.5" customHeight="1">
      <c r="B46" s="24"/>
      <c r="C46" s="317"/>
      <c r="D46" s="317"/>
      <c r="E46" s="317"/>
      <c r="F46" s="317"/>
      <c r="G46" s="317"/>
      <c r="H46" s="318"/>
      <c r="I46" s="317"/>
      <c r="J46" s="317"/>
      <c r="K46" s="317"/>
      <c r="L46" s="317"/>
      <c r="M46" s="317"/>
      <c r="N46" s="317"/>
      <c r="O46" s="318"/>
      <c r="P46" s="317"/>
      <c r="Q46" s="317"/>
      <c r="R46" s="316"/>
      <c r="S46" s="296"/>
      <c r="V46" s="24"/>
      <c r="W46" s="315"/>
      <c r="X46" s="315"/>
      <c r="Y46" s="315"/>
      <c r="Z46" s="315"/>
      <c r="AA46" s="315"/>
      <c r="AB46" s="316"/>
      <c r="AC46" s="315"/>
      <c r="AD46" s="315"/>
      <c r="AE46" s="315"/>
      <c r="AF46" s="315"/>
      <c r="AG46" s="315"/>
      <c r="AH46" s="315"/>
      <c r="AI46" s="316"/>
      <c r="AJ46" s="315"/>
      <c r="AK46" s="315"/>
      <c r="AL46" s="316"/>
      <c r="AM46" s="296"/>
      <c r="AP46" s="24"/>
      <c r="AQ46" s="317"/>
      <c r="AR46" s="317"/>
      <c r="AS46" s="317"/>
      <c r="AT46" s="317"/>
      <c r="AU46" s="318"/>
      <c r="AV46" s="317"/>
      <c r="AW46" s="317"/>
      <c r="AX46" s="317"/>
      <c r="AY46" s="317"/>
      <c r="AZ46" s="317"/>
      <c r="BA46" s="317"/>
      <c r="BB46" s="318"/>
      <c r="BC46" s="317"/>
      <c r="BD46" s="317"/>
      <c r="BE46" s="317"/>
      <c r="BF46" s="316"/>
      <c r="BG46" s="296"/>
      <c r="BJ46" s="24"/>
      <c r="BK46" s="315"/>
      <c r="BL46" s="315"/>
      <c r="BM46" s="315"/>
      <c r="BN46" s="315"/>
      <c r="BO46" s="316"/>
      <c r="BP46" s="315"/>
      <c r="BQ46" s="315"/>
      <c r="BR46" s="315"/>
      <c r="BS46" s="315"/>
      <c r="BT46" s="315"/>
      <c r="BU46" s="315"/>
      <c r="BV46" s="316"/>
      <c r="BW46" s="315"/>
      <c r="BX46" s="315"/>
      <c r="BY46" s="315"/>
      <c r="BZ46" s="316"/>
      <c r="CA46" s="296"/>
    </row>
    <row r="47" spans="2:79" ht="13.5" customHeight="1">
      <c r="B47" s="23" t="s">
        <v>747</v>
      </c>
      <c r="C47" s="309"/>
      <c r="D47" s="309"/>
      <c r="E47" s="309"/>
      <c r="F47" s="309"/>
      <c r="G47" s="309"/>
      <c r="H47" s="312"/>
      <c r="I47" s="309"/>
      <c r="J47" s="309"/>
      <c r="K47" s="309"/>
      <c r="L47" s="309"/>
      <c r="M47" s="309"/>
      <c r="N47" s="309"/>
      <c r="O47" s="312"/>
      <c r="P47" s="309"/>
      <c r="Q47" s="309"/>
      <c r="R47" s="311"/>
      <c r="S47" s="293" t="s">
        <v>511</v>
      </c>
      <c r="V47" s="23" t="s">
        <v>797</v>
      </c>
      <c r="W47" s="308"/>
      <c r="X47" s="308"/>
      <c r="Y47" s="308"/>
      <c r="Z47" s="308"/>
      <c r="AA47" s="308"/>
      <c r="AB47" s="311"/>
      <c r="AC47" s="308"/>
      <c r="AD47" s="308"/>
      <c r="AE47" s="308"/>
      <c r="AF47" s="308"/>
      <c r="AG47" s="308"/>
      <c r="AH47" s="308"/>
      <c r="AI47" s="311"/>
      <c r="AJ47" s="308"/>
      <c r="AK47" s="308"/>
      <c r="AL47" s="311"/>
      <c r="AM47" s="293" t="s">
        <v>337</v>
      </c>
      <c r="AP47" s="23" t="s">
        <v>747</v>
      </c>
      <c r="AQ47" s="309"/>
      <c r="AR47" s="309"/>
      <c r="AS47" s="309"/>
      <c r="AT47" s="309"/>
      <c r="AU47" s="312"/>
      <c r="AV47" s="309"/>
      <c r="AW47" s="309"/>
      <c r="AX47" s="309"/>
      <c r="AY47" s="309"/>
      <c r="AZ47" s="309"/>
      <c r="BA47" s="309"/>
      <c r="BB47" s="312"/>
      <c r="BC47" s="309"/>
      <c r="BD47" s="309"/>
      <c r="BE47" s="309"/>
      <c r="BF47" s="311"/>
      <c r="BG47" s="293" t="s">
        <v>511</v>
      </c>
      <c r="BJ47" s="23" t="s">
        <v>797</v>
      </c>
      <c r="BK47" s="308"/>
      <c r="BL47" s="308"/>
      <c r="BM47" s="308"/>
      <c r="BN47" s="308"/>
      <c r="BO47" s="311"/>
      <c r="BP47" s="308"/>
      <c r="BQ47" s="308"/>
      <c r="BR47" s="308"/>
      <c r="BS47" s="308"/>
      <c r="BT47" s="308"/>
      <c r="BU47" s="308"/>
      <c r="BV47" s="311"/>
      <c r="BW47" s="308"/>
      <c r="BX47" s="308"/>
      <c r="BY47" s="308"/>
      <c r="BZ47" s="311"/>
      <c r="CA47" s="293" t="s">
        <v>337</v>
      </c>
    </row>
    <row r="48" spans="2:79" ht="13.5" customHeight="1">
      <c r="B48" s="24"/>
      <c r="C48" s="317"/>
      <c r="D48" s="317"/>
      <c r="E48" s="317"/>
      <c r="F48" s="317"/>
      <c r="G48" s="317"/>
      <c r="H48" s="318"/>
      <c r="I48" s="317"/>
      <c r="J48" s="317"/>
      <c r="K48" s="317"/>
      <c r="L48" s="317"/>
      <c r="M48" s="317"/>
      <c r="N48" s="317"/>
      <c r="O48" s="318"/>
      <c r="P48" s="317"/>
      <c r="Q48" s="317"/>
      <c r="R48" s="316"/>
      <c r="S48" s="296"/>
      <c r="V48" s="24"/>
      <c r="W48" s="315"/>
      <c r="X48" s="315"/>
      <c r="Y48" s="315"/>
      <c r="Z48" s="315"/>
      <c r="AA48" s="315"/>
      <c r="AB48" s="316"/>
      <c r="AC48" s="315"/>
      <c r="AD48" s="315"/>
      <c r="AE48" s="315"/>
      <c r="AF48" s="315"/>
      <c r="AG48" s="315"/>
      <c r="AH48" s="315"/>
      <c r="AI48" s="316"/>
      <c r="AJ48" s="315"/>
      <c r="AK48" s="315"/>
      <c r="AL48" s="316"/>
      <c r="AM48" s="296"/>
      <c r="AP48" s="24"/>
      <c r="AQ48" s="317"/>
      <c r="AR48" s="317"/>
      <c r="AS48" s="317"/>
      <c r="AT48" s="317"/>
      <c r="AU48" s="318"/>
      <c r="AV48" s="317"/>
      <c r="AW48" s="317"/>
      <c r="AX48" s="317"/>
      <c r="AY48" s="317"/>
      <c r="AZ48" s="317"/>
      <c r="BA48" s="317"/>
      <c r="BB48" s="318"/>
      <c r="BC48" s="317"/>
      <c r="BD48" s="317"/>
      <c r="BE48" s="317"/>
      <c r="BF48" s="316"/>
      <c r="BG48" s="296"/>
      <c r="BJ48" s="24"/>
      <c r="BK48" s="315"/>
      <c r="BL48" s="315"/>
      <c r="BM48" s="315"/>
      <c r="BN48" s="315"/>
      <c r="BO48" s="316"/>
      <c r="BP48" s="315"/>
      <c r="BQ48" s="315"/>
      <c r="BR48" s="315"/>
      <c r="BS48" s="315"/>
      <c r="BT48" s="315"/>
      <c r="BU48" s="315"/>
      <c r="BV48" s="316"/>
      <c r="BW48" s="315"/>
      <c r="BX48" s="315"/>
      <c r="BY48" s="315"/>
      <c r="BZ48" s="316"/>
      <c r="CA48" s="296"/>
    </row>
    <row r="49" spans="2:79" ht="13.5" customHeight="1">
      <c r="B49" s="23" t="s">
        <v>798</v>
      </c>
      <c r="C49" s="308"/>
      <c r="D49" s="308"/>
      <c r="E49" s="308"/>
      <c r="F49" s="308"/>
      <c r="G49" s="308"/>
      <c r="H49" s="311"/>
      <c r="I49" s="308"/>
      <c r="J49" s="308"/>
      <c r="K49" s="308"/>
      <c r="L49" s="308"/>
      <c r="M49" s="308"/>
      <c r="N49" s="308"/>
      <c r="O49" s="311"/>
      <c r="P49" s="308"/>
      <c r="Q49" s="308"/>
      <c r="R49" s="311"/>
      <c r="S49" s="293" t="s">
        <v>799</v>
      </c>
      <c r="V49" s="23" t="s">
        <v>800</v>
      </c>
      <c r="W49" s="308"/>
      <c r="X49" s="308"/>
      <c r="Y49" s="308"/>
      <c r="Z49" s="308"/>
      <c r="AA49" s="308"/>
      <c r="AB49" s="311"/>
      <c r="AC49" s="308"/>
      <c r="AD49" s="308"/>
      <c r="AE49" s="308"/>
      <c r="AF49" s="308"/>
      <c r="AG49" s="308"/>
      <c r="AH49" s="308"/>
      <c r="AI49" s="311"/>
      <c r="AJ49" s="308"/>
      <c r="AK49" s="308"/>
      <c r="AL49" s="311"/>
      <c r="AM49" s="293" t="s">
        <v>801</v>
      </c>
      <c r="AP49" s="23" t="s">
        <v>798</v>
      </c>
      <c r="AQ49" s="308"/>
      <c r="AR49" s="308"/>
      <c r="AS49" s="308"/>
      <c r="AT49" s="308"/>
      <c r="AU49" s="311"/>
      <c r="AV49" s="308"/>
      <c r="AW49" s="308"/>
      <c r="AX49" s="308"/>
      <c r="AY49" s="308"/>
      <c r="AZ49" s="308"/>
      <c r="BA49" s="308"/>
      <c r="BB49" s="311"/>
      <c r="BC49" s="308"/>
      <c r="BD49" s="308"/>
      <c r="BE49" s="308"/>
      <c r="BF49" s="311"/>
      <c r="BG49" s="293" t="s">
        <v>799</v>
      </c>
      <c r="BJ49" s="23" t="s">
        <v>800</v>
      </c>
      <c r="BK49" s="308"/>
      <c r="BL49" s="308"/>
      <c r="BM49" s="308"/>
      <c r="BN49" s="308"/>
      <c r="BO49" s="311"/>
      <c r="BP49" s="308"/>
      <c r="BQ49" s="308"/>
      <c r="BR49" s="308"/>
      <c r="BS49" s="308"/>
      <c r="BT49" s="308"/>
      <c r="BU49" s="308"/>
      <c r="BV49" s="311"/>
      <c r="BW49" s="308"/>
      <c r="BX49" s="308"/>
      <c r="BY49" s="308"/>
      <c r="BZ49" s="311"/>
      <c r="CA49" s="293" t="s">
        <v>801</v>
      </c>
    </row>
    <row r="50" spans="2:79" ht="13.5" customHeight="1">
      <c r="B50" s="24"/>
      <c r="C50" s="315"/>
      <c r="D50" s="315"/>
      <c r="E50" s="315"/>
      <c r="F50" s="315"/>
      <c r="G50" s="315"/>
      <c r="H50" s="316"/>
      <c r="I50" s="315"/>
      <c r="J50" s="315"/>
      <c r="K50" s="315"/>
      <c r="L50" s="315"/>
      <c r="M50" s="315"/>
      <c r="N50" s="315"/>
      <c r="O50" s="316"/>
      <c r="P50" s="315"/>
      <c r="Q50" s="315"/>
      <c r="R50" s="316"/>
      <c r="S50" s="296"/>
      <c r="V50" s="24"/>
      <c r="W50" s="315"/>
      <c r="X50" s="315"/>
      <c r="Y50" s="315"/>
      <c r="Z50" s="315"/>
      <c r="AA50" s="315"/>
      <c r="AB50" s="316"/>
      <c r="AC50" s="315"/>
      <c r="AD50" s="315"/>
      <c r="AE50" s="315"/>
      <c r="AF50" s="315"/>
      <c r="AG50" s="315"/>
      <c r="AH50" s="315"/>
      <c r="AI50" s="316"/>
      <c r="AJ50" s="315"/>
      <c r="AK50" s="315"/>
      <c r="AL50" s="316"/>
      <c r="AM50" s="296"/>
      <c r="AP50" s="24"/>
      <c r="AQ50" s="315"/>
      <c r="AR50" s="315"/>
      <c r="AS50" s="315"/>
      <c r="AT50" s="315"/>
      <c r="AU50" s="316"/>
      <c r="AV50" s="315"/>
      <c r="AW50" s="315"/>
      <c r="AX50" s="315"/>
      <c r="AY50" s="315"/>
      <c r="AZ50" s="315"/>
      <c r="BA50" s="315"/>
      <c r="BB50" s="316"/>
      <c r="BC50" s="315"/>
      <c r="BD50" s="315"/>
      <c r="BE50" s="315"/>
      <c r="BF50" s="316"/>
      <c r="BG50" s="296"/>
      <c r="BJ50" s="24"/>
      <c r="BK50" s="315"/>
      <c r="BL50" s="315"/>
      <c r="BM50" s="315"/>
      <c r="BN50" s="315"/>
      <c r="BO50" s="316"/>
      <c r="BP50" s="315"/>
      <c r="BQ50" s="315"/>
      <c r="BR50" s="315"/>
      <c r="BS50" s="315"/>
      <c r="BT50" s="315"/>
      <c r="BU50" s="315"/>
      <c r="BV50" s="316"/>
      <c r="BW50" s="315"/>
      <c r="BX50" s="315"/>
      <c r="BY50" s="315"/>
      <c r="BZ50" s="316"/>
      <c r="CA50" s="296"/>
    </row>
    <row r="51" spans="2:79" ht="13.5" customHeight="1">
      <c r="B51" s="23" t="s">
        <v>752</v>
      </c>
      <c r="C51" s="308"/>
      <c r="D51" s="308"/>
      <c r="E51" s="308"/>
      <c r="F51" s="308"/>
      <c r="G51" s="308"/>
      <c r="H51" s="311"/>
      <c r="I51" s="308"/>
      <c r="J51" s="308"/>
      <c r="K51" s="308"/>
      <c r="L51" s="308"/>
      <c r="M51" s="308"/>
      <c r="N51" s="308"/>
      <c r="O51" s="311"/>
      <c r="P51" s="308"/>
      <c r="Q51" s="308"/>
      <c r="R51" s="311"/>
      <c r="S51" s="293" t="s">
        <v>802</v>
      </c>
      <c r="V51" s="23" t="s">
        <v>803</v>
      </c>
      <c r="W51" s="308"/>
      <c r="X51" s="308"/>
      <c r="Y51" s="308"/>
      <c r="Z51" s="308"/>
      <c r="AA51" s="308"/>
      <c r="AB51" s="311"/>
      <c r="AC51" s="308"/>
      <c r="AD51" s="308"/>
      <c r="AE51" s="308"/>
      <c r="AF51" s="308"/>
      <c r="AG51" s="308"/>
      <c r="AH51" s="308"/>
      <c r="AI51" s="311"/>
      <c r="AJ51" s="308"/>
      <c r="AK51" s="308"/>
      <c r="AL51" s="311"/>
      <c r="AM51" s="293" t="s">
        <v>509</v>
      </c>
      <c r="AP51" s="23" t="s">
        <v>752</v>
      </c>
      <c r="AQ51" s="308"/>
      <c r="AR51" s="308"/>
      <c r="AS51" s="308"/>
      <c r="AT51" s="308"/>
      <c r="AU51" s="311"/>
      <c r="AV51" s="308"/>
      <c r="AW51" s="308"/>
      <c r="AX51" s="308"/>
      <c r="AY51" s="308"/>
      <c r="AZ51" s="308"/>
      <c r="BA51" s="308"/>
      <c r="BB51" s="311"/>
      <c r="BC51" s="308"/>
      <c r="BD51" s="308"/>
      <c r="BE51" s="308"/>
      <c r="BF51" s="311"/>
      <c r="BG51" s="293" t="s">
        <v>802</v>
      </c>
      <c r="BJ51" s="23" t="s">
        <v>803</v>
      </c>
      <c r="BK51" s="308"/>
      <c r="BL51" s="308"/>
      <c r="BM51" s="308"/>
      <c r="BN51" s="308"/>
      <c r="BO51" s="311"/>
      <c r="BP51" s="308"/>
      <c r="BQ51" s="308"/>
      <c r="BR51" s="308"/>
      <c r="BS51" s="308"/>
      <c r="BT51" s="308"/>
      <c r="BU51" s="308"/>
      <c r="BV51" s="311"/>
      <c r="BW51" s="308"/>
      <c r="BX51" s="308"/>
      <c r="BY51" s="308"/>
      <c r="BZ51" s="311"/>
      <c r="CA51" s="293" t="s">
        <v>509</v>
      </c>
    </row>
    <row r="52" spans="2:79" ht="13.5" customHeight="1">
      <c r="B52" s="24"/>
      <c r="C52" s="315"/>
      <c r="D52" s="315"/>
      <c r="E52" s="315"/>
      <c r="F52" s="315"/>
      <c r="G52" s="315"/>
      <c r="H52" s="316"/>
      <c r="I52" s="315"/>
      <c r="J52" s="315"/>
      <c r="K52" s="315"/>
      <c r="L52" s="315"/>
      <c r="M52" s="315"/>
      <c r="N52" s="315"/>
      <c r="O52" s="316"/>
      <c r="P52" s="315"/>
      <c r="Q52" s="315"/>
      <c r="R52" s="316"/>
      <c r="S52" s="296"/>
      <c r="V52" s="24"/>
      <c r="W52" s="315"/>
      <c r="X52" s="315"/>
      <c r="Y52" s="315"/>
      <c r="Z52" s="315"/>
      <c r="AA52" s="315"/>
      <c r="AB52" s="316"/>
      <c r="AC52" s="315"/>
      <c r="AD52" s="315"/>
      <c r="AE52" s="315"/>
      <c r="AF52" s="315"/>
      <c r="AG52" s="315"/>
      <c r="AH52" s="315"/>
      <c r="AI52" s="316"/>
      <c r="AJ52" s="315"/>
      <c r="AK52" s="315"/>
      <c r="AL52" s="316"/>
      <c r="AM52" s="296"/>
      <c r="AP52" s="24"/>
      <c r="AQ52" s="315"/>
      <c r="AR52" s="315"/>
      <c r="AS52" s="315"/>
      <c r="AT52" s="315"/>
      <c r="AU52" s="316"/>
      <c r="AV52" s="315"/>
      <c r="AW52" s="315"/>
      <c r="AX52" s="315"/>
      <c r="AY52" s="315"/>
      <c r="AZ52" s="315"/>
      <c r="BA52" s="315"/>
      <c r="BB52" s="316"/>
      <c r="BC52" s="315"/>
      <c r="BD52" s="315"/>
      <c r="BE52" s="315"/>
      <c r="BF52" s="316"/>
      <c r="BG52" s="296"/>
      <c r="BJ52" s="24"/>
      <c r="BK52" s="315"/>
      <c r="BL52" s="315"/>
      <c r="BM52" s="315"/>
      <c r="BN52" s="315"/>
      <c r="BO52" s="316"/>
      <c r="BP52" s="315"/>
      <c r="BQ52" s="315"/>
      <c r="BR52" s="315"/>
      <c r="BS52" s="315"/>
      <c r="BT52" s="315"/>
      <c r="BU52" s="315"/>
      <c r="BV52" s="316"/>
      <c r="BW52" s="315"/>
      <c r="BX52" s="315"/>
      <c r="BY52" s="315"/>
      <c r="BZ52" s="316"/>
      <c r="CA52" s="296"/>
    </row>
    <row r="53" spans="2:79" ht="13.5" customHeight="1">
      <c r="B53" s="23" t="s">
        <v>804</v>
      </c>
      <c r="C53" s="308"/>
      <c r="D53" s="308"/>
      <c r="E53" s="308"/>
      <c r="F53" s="308"/>
      <c r="G53" s="308"/>
      <c r="H53" s="311"/>
      <c r="I53" s="308"/>
      <c r="J53" s="308"/>
      <c r="K53" s="308"/>
      <c r="L53" s="308"/>
      <c r="M53" s="308"/>
      <c r="N53" s="308"/>
      <c r="O53" s="311"/>
      <c r="P53" s="308"/>
      <c r="Q53" s="308"/>
      <c r="R53" s="311"/>
      <c r="S53" s="293" t="s">
        <v>805</v>
      </c>
      <c r="V53" s="23" t="s">
        <v>806</v>
      </c>
      <c r="W53" s="308"/>
      <c r="X53" s="308"/>
      <c r="Y53" s="308"/>
      <c r="Z53" s="308"/>
      <c r="AA53" s="308"/>
      <c r="AB53" s="311"/>
      <c r="AC53" s="308"/>
      <c r="AD53" s="308"/>
      <c r="AE53" s="308"/>
      <c r="AF53" s="308"/>
      <c r="AG53" s="308"/>
      <c r="AH53" s="308"/>
      <c r="AI53" s="311"/>
      <c r="AJ53" s="308"/>
      <c r="AK53" s="308"/>
      <c r="AL53" s="311"/>
      <c r="AM53" s="293" t="s">
        <v>496</v>
      </c>
      <c r="AP53" s="23" t="s">
        <v>804</v>
      </c>
      <c r="AQ53" s="308"/>
      <c r="AR53" s="308"/>
      <c r="AS53" s="308"/>
      <c r="AT53" s="308"/>
      <c r="AU53" s="311"/>
      <c r="AV53" s="308"/>
      <c r="AW53" s="308"/>
      <c r="AX53" s="308"/>
      <c r="AY53" s="308"/>
      <c r="AZ53" s="308"/>
      <c r="BA53" s="308"/>
      <c r="BB53" s="311"/>
      <c r="BC53" s="308"/>
      <c r="BD53" s="308"/>
      <c r="BE53" s="308"/>
      <c r="BF53" s="311"/>
      <c r="BG53" s="293" t="s">
        <v>805</v>
      </c>
      <c r="BJ53" s="23" t="s">
        <v>806</v>
      </c>
      <c r="BK53" s="308"/>
      <c r="BL53" s="308"/>
      <c r="BM53" s="308"/>
      <c r="BN53" s="308"/>
      <c r="BO53" s="311"/>
      <c r="BP53" s="308"/>
      <c r="BQ53" s="308"/>
      <c r="BR53" s="308"/>
      <c r="BS53" s="308"/>
      <c r="BT53" s="308"/>
      <c r="BU53" s="308"/>
      <c r="BV53" s="311"/>
      <c r="BW53" s="308"/>
      <c r="BX53" s="308"/>
      <c r="BY53" s="308"/>
      <c r="BZ53" s="311"/>
      <c r="CA53" s="293" t="s">
        <v>496</v>
      </c>
    </row>
    <row r="54" spans="2:79" ht="13.5" customHeight="1">
      <c r="B54" s="24"/>
      <c r="C54" s="315"/>
      <c r="D54" s="315"/>
      <c r="E54" s="315"/>
      <c r="F54" s="315"/>
      <c r="G54" s="315"/>
      <c r="H54" s="316"/>
      <c r="I54" s="315"/>
      <c r="J54" s="315"/>
      <c r="K54" s="315"/>
      <c r="L54" s="315"/>
      <c r="M54" s="315"/>
      <c r="N54" s="315"/>
      <c r="O54" s="316"/>
      <c r="P54" s="315"/>
      <c r="Q54" s="315"/>
      <c r="R54" s="316"/>
      <c r="S54" s="296"/>
      <c r="V54" s="24"/>
      <c r="W54" s="315"/>
      <c r="X54" s="315"/>
      <c r="Y54" s="315"/>
      <c r="Z54" s="315"/>
      <c r="AA54" s="315"/>
      <c r="AB54" s="316"/>
      <c r="AC54" s="315"/>
      <c r="AD54" s="315"/>
      <c r="AE54" s="315"/>
      <c r="AF54" s="315"/>
      <c r="AG54" s="315"/>
      <c r="AH54" s="315"/>
      <c r="AI54" s="316"/>
      <c r="AJ54" s="315"/>
      <c r="AK54" s="315"/>
      <c r="AL54" s="316"/>
      <c r="AM54" s="296"/>
      <c r="AP54" s="24"/>
      <c r="AQ54" s="315"/>
      <c r="AR54" s="315"/>
      <c r="AS54" s="315"/>
      <c r="AT54" s="315"/>
      <c r="AU54" s="316"/>
      <c r="AV54" s="315"/>
      <c r="AW54" s="315"/>
      <c r="AX54" s="315"/>
      <c r="AY54" s="315"/>
      <c r="AZ54" s="315"/>
      <c r="BA54" s="315"/>
      <c r="BB54" s="316"/>
      <c r="BC54" s="315"/>
      <c r="BD54" s="315"/>
      <c r="BE54" s="315"/>
      <c r="BF54" s="316"/>
      <c r="BG54" s="296"/>
      <c r="BJ54" s="24"/>
      <c r="BK54" s="315"/>
      <c r="BL54" s="315"/>
      <c r="BM54" s="315"/>
      <c r="BN54" s="315"/>
      <c r="BO54" s="316"/>
      <c r="BP54" s="315"/>
      <c r="BQ54" s="315"/>
      <c r="BR54" s="315"/>
      <c r="BS54" s="315"/>
      <c r="BT54" s="315"/>
      <c r="BU54" s="315"/>
      <c r="BV54" s="316"/>
      <c r="BW54" s="315"/>
      <c r="BX54" s="315"/>
      <c r="BY54" s="315"/>
      <c r="BZ54" s="316"/>
      <c r="CA54" s="296"/>
    </row>
    <row r="55" spans="2:79" ht="13.5" customHeight="1">
      <c r="B55" s="23" t="s">
        <v>807</v>
      </c>
      <c r="C55" s="308"/>
      <c r="D55" s="308"/>
      <c r="E55" s="308"/>
      <c r="F55" s="308"/>
      <c r="G55" s="308"/>
      <c r="H55" s="311"/>
      <c r="I55" s="308"/>
      <c r="J55" s="308"/>
      <c r="K55" s="308"/>
      <c r="L55" s="308"/>
      <c r="M55" s="308"/>
      <c r="N55" s="308"/>
      <c r="O55" s="311"/>
      <c r="P55" s="308"/>
      <c r="Q55" s="308"/>
      <c r="R55" s="311"/>
      <c r="S55" s="293" t="s">
        <v>808</v>
      </c>
      <c r="V55" s="23" t="s">
        <v>809</v>
      </c>
      <c r="W55" s="308"/>
      <c r="X55" s="308"/>
      <c r="Y55" s="308"/>
      <c r="Z55" s="308"/>
      <c r="AA55" s="308"/>
      <c r="AB55" s="311"/>
      <c r="AC55" s="308"/>
      <c r="AD55" s="308"/>
      <c r="AE55" s="308"/>
      <c r="AF55" s="308"/>
      <c r="AG55" s="308"/>
      <c r="AH55" s="308"/>
      <c r="AI55" s="311"/>
      <c r="AJ55" s="308"/>
      <c r="AK55" s="308"/>
      <c r="AL55" s="311"/>
      <c r="AM55" s="293" t="s">
        <v>551</v>
      </c>
      <c r="AP55" s="23" t="s">
        <v>807</v>
      </c>
      <c r="AQ55" s="308"/>
      <c r="AR55" s="308"/>
      <c r="AS55" s="308"/>
      <c r="AT55" s="308"/>
      <c r="AU55" s="311"/>
      <c r="AV55" s="308"/>
      <c r="AW55" s="308"/>
      <c r="AX55" s="308"/>
      <c r="AY55" s="308"/>
      <c r="AZ55" s="308"/>
      <c r="BA55" s="308"/>
      <c r="BB55" s="311"/>
      <c r="BC55" s="308"/>
      <c r="BD55" s="308"/>
      <c r="BE55" s="308"/>
      <c r="BF55" s="311"/>
      <c r="BG55" s="293" t="s">
        <v>808</v>
      </c>
      <c r="BJ55" s="23" t="s">
        <v>809</v>
      </c>
      <c r="BK55" s="308"/>
      <c r="BL55" s="308"/>
      <c r="BM55" s="308"/>
      <c r="BN55" s="308"/>
      <c r="BO55" s="311"/>
      <c r="BP55" s="308"/>
      <c r="BQ55" s="308"/>
      <c r="BR55" s="308"/>
      <c r="BS55" s="308"/>
      <c r="BT55" s="308"/>
      <c r="BU55" s="308"/>
      <c r="BV55" s="311"/>
      <c r="BW55" s="308"/>
      <c r="BX55" s="308"/>
      <c r="BY55" s="308"/>
      <c r="BZ55" s="311"/>
      <c r="CA55" s="293" t="s">
        <v>551</v>
      </c>
    </row>
    <row r="56" spans="2:79" ht="13.5" customHeight="1">
      <c r="B56" s="24"/>
      <c r="C56" s="315"/>
      <c r="D56" s="315"/>
      <c r="E56" s="315"/>
      <c r="F56" s="315"/>
      <c r="G56" s="315"/>
      <c r="H56" s="316"/>
      <c r="I56" s="315"/>
      <c r="J56" s="315"/>
      <c r="K56" s="315"/>
      <c r="L56" s="315"/>
      <c r="M56" s="315"/>
      <c r="N56" s="315"/>
      <c r="O56" s="316"/>
      <c r="P56" s="315"/>
      <c r="Q56" s="315"/>
      <c r="R56" s="316"/>
      <c r="S56" s="296"/>
      <c r="V56" s="24"/>
      <c r="W56" s="315"/>
      <c r="X56" s="315"/>
      <c r="Y56" s="315"/>
      <c r="Z56" s="315"/>
      <c r="AA56" s="315"/>
      <c r="AB56" s="316"/>
      <c r="AC56" s="315"/>
      <c r="AD56" s="315"/>
      <c r="AE56" s="315"/>
      <c r="AF56" s="315"/>
      <c r="AG56" s="315"/>
      <c r="AH56" s="315"/>
      <c r="AI56" s="316"/>
      <c r="AJ56" s="315"/>
      <c r="AK56" s="315"/>
      <c r="AL56" s="316"/>
      <c r="AM56" s="296"/>
      <c r="AP56" s="24"/>
      <c r="AQ56" s="315"/>
      <c r="AR56" s="315"/>
      <c r="AS56" s="315"/>
      <c r="AT56" s="315"/>
      <c r="AU56" s="316"/>
      <c r="AV56" s="315"/>
      <c r="AW56" s="315"/>
      <c r="AX56" s="315"/>
      <c r="AY56" s="315"/>
      <c r="AZ56" s="315"/>
      <c r="BA56" s="315"/>
      <c r="BB56" s="316"/>
      <c r="BC56" s="315"/>
      <c r="BD56" s="315"/>
      <c r="BE56" s="315"/>
      <c r="BF56" s="316"/>
      <c r="BG56" s="296"/>
      <c r="BJ56" s="24"/>
      <c r="BK56" s="315"/>
      <c r="BL56" s="315"/>
      <c r="BM56" s="315"/>
      <c r="BN56" s="315"/>
      <c r="BO56" s="316"/>
      <c r="BP56" s="315"/>
      <c r="BQ56" s="315"/>
      <c r="BR56" s="315"/>
      <c r="BS56" s="315"/>
      <c r="BT56" s="315"/>
      <c r="BU56" s="315"/>
      <c r="BV56" s="316"/>
      <c r="BW56" s="315"/>
      <c r="BX56" s="315"/>
      <c r="BY56" s="315"/>
      <c r="BZ56" s="316"/>
      <c r="CA56" s="296"/>
    </row>
    <row r="57" spans="2:79" ht="13.5" customHeight="1">
      <c r="B57" s="23" t="s">
        <v>757</v>
      </c>
      <c r="C57" s="308"/>
      <c r="D57" s="308"/>
      <c r="E57" s="308"/>
      <c r="F57" s="308"/>
      <c r="G57" s="308"/>
      <c r="H57" s="311"/>
      <c r="I57" s="308"/>
      <c r="J57" s="308"/>
      <c r="K57" s="308"/>
      <c r="L57" s="308"/>
      <c r="M57" s="308"/>
      <c r="N57" s="308"/>
      <c r="O57" s="311"/>
      <c r="P57" s="308"/>
      <c r="Q57" s="308"/>
      <c r="R57" s="311"/>
      <c r="S57" s="293" t="s">
        <v>810</v>
      </c>
      <c r="V57" s="23" t="s">
        <v>811</v>
      </c>
      <c r="W57" s="308"/>
      <c r="X57" s="308"/>
      <c r="Y57" s="308"/>
      <c r="Z57" s="308"/>
      <c r="AA57" s="308"/>
      <c r="AB57" s="311"/>
      <c r="AC57" s="308"/>
      <c r="AD57" s="308"/>
      <c r="AE57" s="308"/>
      <c r="AF57" s="308"/>
      <c r="AG57" s="308"/>
      <c r="AH57" s="308"/>
      <c r="AI57" s="311"/>
      <c r="AJ57" s="308"/>
      <c r="AK57" s="308"/>
      <c r="AL57" s="311"/>
      <c r="AM57" s="293" t="s">
        <v>812</v>
      </c>
      <c r="AP57" s="23" t="s">
        <v>757</v>
      </c>
      <c r="AQ57" s="308"/>
      <c r="AR57" s="308"/>
      <c r="AS57" s="308"/>
      <c r="AT57" s="308"/>
      <c r="AU57" s="311"/>
      <c r="AV57" s="308"/>
      <c r="AW57" s="308"/>
      <c r="AX57" s="308"/>
      <c r="AY57" s="308"/>
      <c r="AZ57" s="308"/>
      <c r="BA57" s="308"/>
      <c r="BB57" s="311"/>
      <c r="BC57" s="308"/>
      <c r="BD57" s="308"/>
      <c r="BE57" s="308"/>
      <c r="BF57" s="311"/>
      <c r="BG57" s="293" t="s">
        <v>810</v>
      </c>
      <c r="BJ57" s="23" t="s">
        <v>811</v>
      </c>
      <c r="BK57" s="308"/>
      <c r="BL57" s="308"/>
      <c r="BM57" s="308"/>
      <c r="BN57" s="308"/>
      <c r="BO57" s="311"/>
      <c r="BP57" s="308"/>
      <c r="BQ57" s="308"/>
      <c r="BR57" s="308"/>
      <c r="BS57" s="308"/>
      <c r="BT57" s="308"/>
      <c r="BU57" s="308"/>
      <c r="BV57" s="311"/>
      <c r="BW57" s="308"/>
      <c r="BX57" s="308"/>
      <c r="BY57" s="308"/>
      <c r="BZ57" s="311"/>
      <c r="CA57" s="293" t="s">
        <v>812</v>
      </c>
    </row>
    <row r="58" spans="2:79" ht="13.5" customHeight="1">
      <c r="B58" s="24"/>
      <c r="C58" s="315"/>
      <c r="D58" s="315"/>
      <c r="E58" s="315"/>
      <c r="F58" s="315"/>
      <c r="G58" s="315"/>
      <c r="H58" s="316"/>
      <c r="I58" s="315"/>
      <c r="J58" s="315"/>
      <c r="K58" s="315"/>
      <c r="L58" s="315"/>
      <c r="M58" s="315"/>
      <c r="N58" s="315"/>
      <c r="O58" s="316"/>
      <c r="P58" s="315"/>
      <c r="Q58" s="315"/>
      <c r="R58" s="316"/>
      <c r="S58" s="296"/>
      <c r="V58" s="24"/>
      <c r="W58" s="315"/>
      <c r="X58" s="315"/>
      <c r="Y58" s="315"/>
      <c r="Z58" s="315"/>
      <c r="AA58" s="315"/>
      <c r="AB58" s="316"/>
      <c r="AC58" s="315"/>
      <c r="AD58" s="315"/>
      <c r="AE58" s="315"/>
      <c r="AF58" s="315"/>
      <c r="AG58" s="315"/>
      <c r="AH58" s="315"/>
      <c r="AI58" s="316"/>
      <c r="AJ58" s="315"/>
      <c r="AK58" s="315"/>
      <c r="AL58" s="316"/>
      <c r="AM58" s="296"/>
      <c r="AP58" s="24"/>
      <c r="AQ58" s="315"/>
      <c r="AR58" s="315"/>
      <c r="AS58" s="315"/>
      <c r="AT58" s="315"/>
      <c r="AU58" s="316"/>
      <c r="AV58" s="315"/>
      <c r="AW58" s="315"/>
      <c r="AX58" s="315"/>
      <c r="AY58" s="315"/>
      <c r="AZ58" s="315"/>
      <c r="BA58" s="315"/>
      <c r="BB58" s="316"/>
      <c r="BC58" s="315"/>
      <c r="BD58" s="315"/>
      <c r="BE58" s="315"/>
      <c r="BF58" s="316"/>
      <c r="BG58" s="296"/>
      <c r="BJ58" s="24"/>
      <c r="BK58" s="315"/>
      <c r="BL58" s="315"/>
      <c r="BM58" s="315"/>
      <c r="BN58" s="315"/>
      <c r="BO58" s="316"/>
      <c r="BP58" s="315"/>
      <c r="BQ58" s="315"/>
      <c r="BR58" s="315"/>
      <c r="BS58" s="315"/>
      <c r="BT58" s="315"/>
      <c r="BU58" s="315"/>
      <c r="BV58" s="316"/>
      <c r="BW58" s="315"/>
      <c r="BX58" s="315"/>
      <c r="BY58" s="315"/>
      <c r="BZ58" s="316"/>
      <c r="CA58" s="296"/>
    </row>
    <row r="59" spans="2:79" ht="13.5" customHeight="1">
      <c r="B59" s="23" t="s">
        <v>759</v>
      </c>
      <c r="C59" s="308"/>
      <c r="D59" s="308"/>
      <c r="E59" s="308"/>
      <c r="F59" s="308"/>
      <c r="G59" s="308"/>
      <c r="H59" s="311"/>
      <c r="I59" s="308"/>
      <c r="J59" s="308"/>
      <c r="K59" s="308"/>
      <c r="L59" s="308"/>
      <c r="M59" s="308"/>
      <c r="N59" s="308"/>
      <c r="O59" s="311"/>
      <c r="P59" s="308"/>
      <c r="Q59" s="308"/>
      <c r="R59" s="311"/>
      <c r="S59" s="293" t="s">
        <v>813</v>
      </c>
      <c r="V59" s="23" t="s">
        <v>814</v>
      </c>
      <c r="W59" s="308"/>
      <c r="X59" s="308"/>
      <c r="Y59" s="308"/>
      <c r="Z59" s="308"/>
      <c r="AA59" s="308"/>
      <c r="AB59" s="311"/>
      <c r="AC59" s="308"/>
      <c r="AD59" s="308"/>
      <c r="AE59" s="308"/>
      <c r="AF59" s="308"/>
      <c r="AG59" s="308"/>
      <c r="AH59" s="308"/>
      <c r="AI59" s="311"/>
      <c r="AJ59" s="308"/>
      <c r="AK59" s="308"/>
      <c r="AL59" s="311"/>
      <c r="AM59" s="293" t="s">
        <v>815</v>
      </c>
      <c r="AP59" s="23" t="s">
        <v>759</v>
      </c>
      <c r="AQ59" s="308"/>
      <c r="AR59" s="308"/>
      <c r="AS59" s="308"/>
      <c r="AT59" s="308"/>
      <c r="AU59" s="311"/>
      <c r="AV59" s="308"/>
      <c r="AW59" s="308"/>
      <c r="AX59" s="308"/>
      <c r="AY59" s="308"/>
      <c r="AZ59" s="308"/>
      <c r="BA59" s="308"/>
      <c r="BB59" s="311"/>
      <c r="BC59" s="308"/>
      <c r="BD59" s="308"/>
      <c r="BE59" s="308"/>
      <c r="BF59" s="311"/>
      <c r="BG59" s="293" t="s">
        <v>813</v>
      </c>
      <c r="BJ59" s="23" t="s">
        <v>814</v>
      </c>
      <c r="BK59" s="308"/>
      <c r="BL59" s="308"/>
      <c r="BM59" s="308"/>
      <c r="BN59" s="308"/>
      <c r="BO59" s="311"/>
      <c r="BP59" s="308"/>
      <c r="BQ59" s="308"/>
      <c r="BR59" s="308"/>
      <c r="BS59" s="308"/>
      <c r="BT59" s="308"/>
      <c r="BU59" s="308"/>
      <c r="BV59" s="311"/>
      <c r="BW59" s="308"/>
      <c r="BX59" s="308"/>
      <c r="BY59" s="308"/>
      <c r="BZ59" s="311"/>
      <c r="CA59" s="293" t="s">
        <v>815</v>
      </c>
    </row>
    <row r="60" spans="2:79" ht="13.5" customHeight="1">
      <c r="B60" s="24"/>
      <c r="C60" s="315"/>
      <c r="D60" s="315"/>
      <c r="E60" s="315"/>
      <c r="F60" s="315"/>
      <c r="G60" s="315"/>
      <c r="H60" s="316"/>
      <c r="I60" s="315"/>
      <c r="J60" s="315"/>
      <c r="K60" s="315"/>
      <c r="L60" s="315"/>
      <c r="M60" s="315"/>
      <c r="N60" s="315"/>
      <c r="O60" s="316"/>
      <c r="P60" s="315"/>
      <c r="Q60" s="315"/>
      <c r="R60" s="316"/>
      <c r="S60" s="296"/>
      <c r="V60" s="24"/>
      <c r="W60" s="315"/>
      <c r="X60" s="315"/>
      <c r="Y60" s="315"/>
      <c r="Z60" s="315"/>
      <c r="AA60" s="315"/>
      <c r="AB60" s="316"/>
      <c r="AC60" s="315"/>
      <c r="AD60" s="315"/>
      <c r="AE60" s="315"/>
      <c r="AF60" s="315"/>
      <c r="AG60" s="315"/>
      <c r="AH60" s="315"/>
      <c r="AI60" s="316"/>
      <c r="AJ60" s="315"/>
      <c r="AK60" s="315"/>
      <c r="AL60" s="316"/>
      <c r="AM60" s="296"/>
      <c r="AP60" s="24"/>
      <c r="AQ60" s="315"/>
      <c r="AR60" s="315"/>
      <c r="AS60" s="315"/>
      <c r="AT60" s="315"/>
      <c r="AU60" s="316"/>
      <c r="AV60" s="315"/>
      <c r="AW60" s="315"/>
      <c r="AX60" s="315"/>
      <c r="AY60" s="315"/>
      <c r="AZ60" s="315"/>
      <c r="BA60" s="315"/>
      <c r="BB60" s="316"/>
      <c r="BC60" s="315"/>
      <c r="BD60" s="315"/>
      <c r="BE60" s="315"/>
      <c r="BF60" s="316"/>
      <c r="BG60" s="296"/>
      <c r="BJ60" s="24"/>
      <c r="BK60" s="315"/>
      <c r="BL60" s="315"/>
      <c r="BM60" s="315"/>
      <c r="BN60" s="315"/>
      <c r="BO60" s="316"/>
      <c r="BP60" s="315"/>
      <c r="BQ60" s="315"/>
      <c r="BR60" s="315"/>
      <c r="BS60" s="315"/>
      <c r="BT60" s="315"/>
      <c r="BU60" s="315"/>
      <c r="BV60" s="316"/>
      <c r="BW60" s="315"/>
      <c r="BX60" s="315"/>
      <c r="BY60" s="315"/>
      <c r="BZ60" s="316"/>
      <c r="CA60" s="296"/>
    </row>
    <row r="61" spans="2:79" ht="13.5" customHeight="1">
      <c r="B61" s="23" t="s">
        <v>816</v>
      </c>
      <c r="C61" s="308"/>
      <c r="D61" s="308"/>
      <c r="E61" s="308"/>
      <c r="F61" s="308"/>
      <c r="G61" s="308"/>
      <c r="H61" s="311"/>
      <c r="I61" s="308"/>
      <c r="J61" s="308"/>
      <c r="K61" s="308"/>
      <c r="L61" s="308"/>
      <c r="M61" s="308"/>
      <c r="N61" s="308"/>
      <c r="O61" s="311"/>
      <c r="P61" s="308"/>
      <c r="Q61" s="308"/>
      <c r="R61" s="311"/>
      <c r="S61" s="293" t="s">
        <v>817</v>
      </c>
      <c r="V61" s="23" t="s">
        <v>818</v>
      </c>
      <c r="W61" s="308"/>
      <c r="X61" s="308"/>
      <c r="Y61" s="308"/>
      <c r="Z61" s="308"/>
      <c r="AA61" s="308"/>
      <c r="AB61" s="311"/>
      <c r="AC61" s="308"/>
      <c r="AD61" s="308"/>
      <c r="AE61" s="308"/>
      <c r="AF61" s="308"/>
      <c r="AG61" s="308"/>
      <c r="AH61" s="308"/>
      <c r="AI61" s="311"/>
      <c r="AJ61" s="308"/>
      <c r="AK61" s="308"/>
      <c r="AL61" s="311"/>
      <c r="AM61" s="293" t="s">
        <v>819</v>
      </c>
      <c r="AP61" s="23" t="s">
        <v>816</v>
      </c>
      <c r="AQ61" s="308"/>
      <c r="AR61" s="308"/>
      <c r="AS61" s="308"/>
      <c r="AT61" s="308"/>
      <c r="AU61" s="311"/>
      <c r="AV61" s="308"/>
      <c r="AW61" s="308"/>
      <c r="AX61" s="308"/>
      <c r="AY61" s="308"/>
      <c r="AZ61" s="308"/>
      <c r="BA61" s="308"/>
      <c r="BB61" s="311"/>
      <c r="BC61" s="308"/>
      <c r="BD61" s="308"/>
      <c r="BE61" s="308"/>
      <c r="BF61" s="311"/>
      <c r="BG61" s="293" t="s">
        <v>817</v>
      </c>
      <c r="BJ61" s="23" t="s">
        <v>818</v>
      </c>
      <c r="BK61" s="308"/>
      <c r="BL61" s="308"/>
      <c r="BM61" s="308"/>
      <c r="BN61" s="308"/>
      <c r="BO61" s="311"/>
      <c r="BP61" s="308"/>
      <c r="BQ61" s="308"/>
      <c r="BR61" s="308"/>
      <c r="BS61" s="308"/>
      <c r="BT61" s="308"/>
      <c r="BU61" s="308"/>
      <c r="BV61" s="311"/>
      <c r="BW61" s="308"/>
      <c r="BX61" s="308"/>
      <c r="BY61" s="308"/>
      <c r="BZ61" s="311"/>
      <c r="CA61" s="293" t="s">
        <v>819</v>
      </c>
    </row>
    <row r="62" spans="2:79" ht="13.5" customHeight="1">
      <c r="B62" s="24"/>
      <c r="C62" s="315"/>
      <c r="D62" s="315"/>
      <c r="E62" s="315"/>
      <c r="F62" s="315"/>
      <c r="G62" s="315"/>
      <c r="H62" s="316"/>
      <c r="I62" s="315"/>
      <c r="J62" s="315"/>
      <c r="K62" s="315"/>
      <c r="L62" s="315"/>
      <c r="M62" s="315"/>
      <c r="N62" s="315"/>
      <c r="O62" s="316"/>
      <c r="P62" s="315"/>
      <c r="Q62" s="315"/>
      <c r="R62" s="316"/>
      <c r="S62" s="296"/>
      <c r="V62" s="24"/>
      <c r="W62" s="315"/>
      <c r="X62" s="315"/>
      <c r="Y62" s="315"/>
      <c r="Z62" s="315"/>
      <c r="AA62" s="315"/>
      <c r="AB62" s="316"/>
      <c r="AC62" s="315"/>
      <c r="AD62" s="315"/>
      <c r="AE62" s="315"/>
      <c r="AF62" s="315"/>
      <c r="AG62" s="315"/>
      <c r="AH62" s="315"/>
      <c r="AI62" s="316"/>
      <c r="AJ62" s="315"/>
      <c r="AK62" s="315"/>
      <c r="AL62" s="316"/>
      <c r="AM62" s="296"/>
      <c r="AP62" s="24"/>
      <c r="AQ62" s="315"/>
      <c r="AR62" s="315"/>
      <c r="AS62" s="315"/>
      <c r="AT62" s="315"/>
      <c r="AU62" s="316"/>
      <c r="AV62" s="315"/>
      <c r="AW62" s="315"/>
      <c r="AX62" s="315"/>
      <c r="AY62" s="315"/>
      <c r="AZ62" s="315"/>
      <c r="BA62" s="315"/>
      <c r="BB62" s="316"/>
      <c r="BC62" s="315"/>
      <c r="BD62" s="315"/>
      <c r="BE62" s="315"/>
      <c r="BF62" s="316"/>
      <c r="BG62" s="296"/>
      <c r="BJ62" s="24"/>
      <c r="BK62" s="315"/>
      <c r="BL62" s="315"/>
      <c r="BM62" s="315"/>
      <c r="BN62" s="315"/>
      <c r="BO62" s="316"/>
      <c r="BP62" s="315"/>
      <c r="BQ62" s="315"/>
      <c r="BR62" s="315"/>
      <c r="BS62" s="315"/>
      <c r="BT62" s="315"/>
      <c r="BU62" s="315"/>
      <c r="BV62" s="316"/>
      <c r="BW62" s="315"/>
      <c r="BX62" s="315"/>
      <c r="BY62" s="315"/>
      <c r="BZ62" s="316"/>
      <c r="CA62" s="296"/>
    </row>
    <row r="63" spans="2:79" ht="13.5" customHeight="1">
      <c r="B63" s="23" t="s">
        <v>763</v>
      </c>
      <c r="C63" s="308"/>
      <c r="D63" s="308"/>
      <c r="E63" s="308"/>
      <c r="F63" s="308"/>
      <c r="G63" s="308"/>
      <c r="H63" s="311"/>
      <c r="I63" s="308"/>
      <c r="J63" s="308"/>
      <c r="K63" s="308"/>
      <c r="L63" s="308"/>
      <c r="M63" s="308"/>
      <c r="N63" s="308"/>
      <c r="O63" s="311"/>
      <c r="P63" s="308"/>
      <c r="Q63" s="308"/>
      <c r="R63" s="311"/>
      <c r="S63" s="293" t="s">
        <v>500</v>
      </c>
      <c r="V63" s="23" t="s">
        <v>820</v>
      </c>
      <c r="W63" s="308"/>
      <c r="X63" s="308"/>
      <c r="Y63" s="308"/>
      <c r="Z63" s="308"/>
      <c r="AA63" s="308"/>
      <c r="AB63" s="311"/>
      <c r="AC63" s="308"/>
      <c r="AD63" s="308"/>
      <c r="AE63" s="308"/>
      <c r="AF63" s="308"/>
      <c r="AG63" s="308"/>
      <c r="AH63" s="308"/>
      <c r="AI63" s="311"/>
      <c r="AJ63" s="308"/>
      <c r="AK63" s="308"/>
      <c r="AL63" s="311"/>
      <c r="AM63" s="293" t="s">
        <v>821</v>
      </c>
      <c r="AP63" s="23" t="s">
        <v>763</v>
      </c>
      <c r="AQ63" s="308"/>
      <c r="AR63" s="308"/>
      <c r="AS63" s="308"/>
      <c r="AT63" s="308"/>
      <c r="AU63" s="311"/>
      <c r="AV63" s="308"/>
      <c r="AW63" s="308"/>
      <c r="AX63" s="308"/>
      <c r="AY63" s="308"/>
      <c r="AZ63" s="308"/>
      <c r="BA63" s="308"/>
      <c r="BB63" s="311"/>
      <c r="BC63" s="308"/>
      <c r="BD63" s="308"/>
      <c r="BE63" s="308"/>
      <c r="BF63" s="311"/>
      <c r="BG63" s="293" t="s">
        <v>500</v>
      </c>
      <c r="BJ63" s="23" t="s">
        <v>820</v>
      </c>
      <c r="BK63" s="308"/>
      <c r="BL63" s="308"/>
      <c r="BM63" s="308"/>
      <c r="BN63" s="308"/>
      <c r="BO63" s="311"/>
      <c r="BP63" s="308"/>
      <c r="BQ63" s="308"/>
      <c r="BR63" s="308"/>
      <c r="BS63" s="308"/>
      <c r="BT63" s="308"/>
      <c r="BU63" s="308"/>
      <c r="BV63" s="311"/>
      <c r="BW63" s="308"/>
      <c r="BX63" s="308"/>
      <c r="BY63" s="308"/>
      <c r="BZ63" s="311"/>
      <c r="CA63" s="293" t="s">
        <v>821</v>
      </c>
    </row>
    <row r="64" spans="2:79" ht="13.5" customHeight="1">
      <c r="B64" s="24"/>
      <c r="C64" s="315"/>
      <c r="D64" s="315"/>
      <c r="E64" s="315"/>
      <c r="F64" s="315"/>
      <c r="G64" s="315"/>
      <c r="H64" s="316"/>
      <c r="I64" s="315"/>
      <c r="J64" s="315"/>
      <c r="K64" s="315"/>
      <c r="L64" s="315"/>
      <c r="M64" s="315"/>
      <c r="N64" s="315"/>
      <c r="O64" s="316"/>
      <c r="P64" s="315"/>
      <c r="Q64" s="315"/>
      <c r="R64" s="316"/>
      <c r="S64" s="296"/>
      <c r="V64" s="24"/>
      <c r="W64" s="315"/>
      <c r="X64" s="315"/>
      <c r="Y64" s="315"/>
      <c r="Z64" s="315"/>
      <c r="AA64" s="315"/>
      <c r="AB64" s="316"/>
      <c r="AC64" s="315"/>
      <c r="AD64" s="315"/>
      <c r="AE64" s="315"/>
      <c r="AF64" s="315"/>
      <c r="AG64" s="315"/>
      <c r="AH64" s="315"/>
      <c r="AI64" s="316"/>
      <c r="AJ64" s="315"/>
      <c r="AK64" s="315"/>
      <c r="AL64" s="316"/>
      <c r="AM64" s="296"/>
      <c r="AP64" s="24"/>
      <c r="AQ64" s="315"/>
      <c r="AR64" s="315"/>
      <c r="AS64" s="315"/>
      <c r="AT64" s="315"/>
      <c r="AU64" s="316"/>
      <c r="AV64" s="315"/>
      <c r="AW64" s="315"/>
      <c r="AX64" s="315"/>
      <c r="AY64" s="315"/>
      <c r="AZ64" s="315"/>
      <c r="BA64" s="315"/>
      <c r="BB64" s="316"/>
      <c r="BC64" s="315"/>
      <c r="BD64" s="315"/>
      <c r="BE64" s="315"/>
      <c r="BF64" s="316"/>
      <c r="BG64" s="296"/>
      <c r="BJ64" s="24"/>
      <c r="BK64" s="315"/>
      <c r="BL64" s="315"/>
      <c r="BM64" s="315"/>
      <c r="BN64" s="315"/>
      <c r="BO64" s="316"/>
      <c r="BP64" s="315"/>
      <c r="BQ64" s="315"/>
      <c r="BR64" s="315"/>
      <c r="BS64" s="315"/>
      <c r="BT64" s="315"/>
      <c r="BU64" s="315"/>
      <c r="BV64" s="316"/>
      <c r="BW64" s="315"/>
      <c r="BX64" s="315"/>
      <c r="BY64" s="315"/>
      <c r="BZ64" s="316"/>
      <c r="CA64" s="296"/>
    </row>
    <row r="65" spans="2:79" ht="13.5" customHeight="1">
      <c r="B65" s="23" t="s">
        <v>822</v>
      </c>
      <c r="C65" s="308"/>
      <c r="D65" s="308"/>
      <c r="E65" s="308"/>
      <c r="F65" s="308"/>
      <c r="G65" s="308"/>
      <c r="H65" s="311"/>
      <c r="I65" s="308"/>
      <c r="J65" s="308"/>
      <c r="K65" s="308"/>
      <c r="L65" s="308"/>
      <c r="M65" s="308"/>
      <c r="N65" s="308"/>
      <c r="O65" s="311"/>
      <c r="P65" s="308"/>
      <c r="Q65" s="308"/>
      <c r="R65" s="311"/>
      <c r="S65" s="293" t="s">
        <v>504</v>
      </c>
      <c r="V65" s="23" t="s">
        <v>823</v>
      </c>
      <c r="W65" s="308"/>
      <c r="X65" s="308"/>
      <c r="Y65" s="308"/>
      <c r="Z65" s="308"/>
      <c r="AA65" s="308"/>
      <c r="AB65" s="311"/>
      <c r="AC65" s="308"/>
      <c r="AD65" s="308"/>
      <c r="AE65" s="308"/>
      <c r="AF65" s="308"/>
      <c r="AG65" s="308"/>
      <c r="AH65" s="308"/>
      <c r="AI65" s="311"/>
      <c r="AJ65" s="308"/>
      <c r="AK65" s="308"/>
      <c r="AL65" s="311"/>
      <c r="AM65" s="293" t="s">
        <v>824</v>
      </c>
      <c r="AP65" s="23" t="s">
        <v>822</v>
      </c>
      <c r="AQ65" s="308"/>
      <c r="AR65" s="308"/>
      <c r="AS65" s="308"/>
      <c r="AT65" s="308"/>
      <c r="AU65" s="311"/>
      <c r="AV65" s="308"/>
      <c r="AW65" s="308"/>
      <c r="AX65" s="308"/>
      <c r="AY65" s="308"/>
      <c r="AZ65" s="308"/>
      <c r="BA65" s="308"/>
      <c r="BB65" s="311"/>
      <c r="BC65" s="308"/>
      <c r="BD65" s="308"/>
      <c r="BE65" s="308"/>
      <c r="BF65" s="311"/>
      <c r="BG65" s="293" t="s">
        <v>504</v>
      </c>
      <c r="BJ65" s="23" t="s">
        <v>823</v>
      </c>
      <c r="BK65" s="308"/>
      <c r="BL65" s="308"/>
      <c r="BM65" s="308"/>
      <c r="BN65" s="308"/>
      <c r="BO65" s="311"/>
      <c r="BP65" s="308"/>
      <c r="BQ65" s="308"/>
      <c r="BR65" s="308"/>
      <c r="BS65" s="308"/>
      <c r="BT65" s="308"/>
      <c r="BU65" s="308"/>
      <c r="BV65" s="311"/>
      <c r="BW65" s="308"/>
      <c r="BX65" s="308"/>
      <c r="BY65" s="308"/>
      <c r="BZ65" s="311"/>
      <c r="CA65" s="293" t="s">
        <v>824</v>
      </c>
    </row>
    <row r="66" spans="2:79" ht="13.5" customHeight="1">
      <c r="B66" s="24"/>
      <c r="C66" s="315"/>
      <c r="D66" s="315"/>
      <c r="E66" s="315"/>
      <c r="F66" s="315"/>
      <c r="G66" s="315"/>
      <c r="H66" s="316"/>
      <c r="I66" s="315"/>
      <c r="J66" s="315"/>
      <c r="K66" s="315"/>
      <c r="L66" s="315"/>
      <c r="M66" s="315"/>
      <c r="N66" s="315"/>
      <c r="O66" s="316"/>
      <c r="P66" s="315"/>
      <c r="Q66" s="315"/>
      <c r="R66" s="316"/>
      <c r="S66" s="296"/>
      <c r="V66" s="24"/>
      <c r="W66" s="315"/>
      <c r="X66" s="315"/>
      <c r="Y66" s="315"/>
      <c r="Z66" s="315"/>
      <c r="AA66" s="315"/>
      <c r="AB66" s="316"/>
      <c r="AC66" s="315"/>
      <c r="AD66" s="315"/>
      <c r="AE66" s="315"/>
      <c r="AF66" s="315"/>
      <c r="AG66" s="315"/>
      <c r="AH66" s="315"/>
      <c r="AI66" s="316"/>
      <c r="AJ66" s="315"/>
      <c r="AK66" s="315"/>
      <c r="AL66" s="316"/>
      <c r="AM66" s="296"/>
      <c r="AP66" s="24"/>
      <c r="AQ66" s="315"/>
      <c r="AR66" s="315"/>
      <c r="AS66" s="315"/>
      <c r="AT66" s="315"/>
      <c r="AU66" s="316"/>
      <c r="AV66" s="315"/>
      <c r="AW66" s="315"/>
      <c r="AX66" s="315"/>
      <c r="AY66" s="315"/>
      <c r="AZ66" s="315"/>
      <c r="BA66" s="315"/>
      <c r="BB66" s="316"/>
      <c r="BC66" s="315"/>
      <c r="BD66" s="315"/>
      <c r="BE66" s="315"/>
      <c r="BF66" s="316"/>
      <c r="BG66" s="296"/>
      <c r="BJ66" s="24"/>
      <c r="BK66" s="315"/>
      <c r="BL66" s="315"/>
      <c r="BM66" s="315"/>
      <c r="BN66" s="315"/>
      <c r="BO66" s="316"/>
      <c r="BP66" s="315"/>
      <c r="BQ66" s="315"/>
      <c r="BR66" s="315"/>
      <c r="BS66" s="315"/>
      <c r="BT66" s="315"/>
      <c r="BU66" s="315"/>
      <c r="BV66" s="316"/>
      <c r="BW66" s="315"/>
      <c r="BX66" s="315"/>
      <c r="BY66" s="315"/>
      <c r="BZ66" s="316"/>
      <c r="CA66" s="296"/>
    </row>
    <row r="67" spans="2:79" ht="13.5" customHeight="1">
      <c r="B67" s="23" t="s">
        <v>341</v>
      </c>
      <c r="C67" s="308"/>
      <c r="D67" s="308"/>
      <c r="E67" s="308"/>
      <c r="F67" s="308"/>
      <c r="G67" s="308"/>
      <c r="H67" s="311"/>
      <c r="I67" s="308"/>
      <c r="J67" s="308"/>
      <c r="K67" s="308"/>
      <c r="L67" s="308"/>
      <c r="M67" s="308"/>
      <c r="N67" s="308"/>
      <c r="O67" s="311"/>
      <c r="P67" s="308"/>
      <c r="Q67" s="308"/>
      <c r="R67" s="311"/>
      <c r="S67" s="293" t="s">
        <v>556</v>
      </c>
      <c r="V67" s="23" t="s">
        <v>245</v>
      </c>
      <c r="W67" s="308"/>
      <c r="X67" s="308"/>
      <c r="Y67" s="308"/>
      <c r="Z67" s="308"/>
      <c r="AA67" s="308"/>
      <c r="AB67" s="311"/>
      <c r="AC67" s="308"/>
      <c r="AD67" s="308"/>
      <c r="AE67" s="308"/>
      <c r="AF67" s="308"/>
      <c r="AG67" s="308"/>
      <c r="AH67" s="308"/>
      <c r="AI67" s="311"/>
      <c r="AJ67" s="308"/>
      <c r="AK67" s="308"/>
      <c r="AL67" s="311"/>
      <c r="AM67" s="293" t="s">
        <v>497</v>
      </c>
      <c r="AP67" s="23" t="s">
        <v>341</v>
      </c>
      <c r="AQ67" s="308"/>
      <c r="AR67" s="308"/>
      <c r="AS67" s="308"/>
      <c r="AT67" s="308"/>
      <c r="AU67" s="311"/>
      <c r="AV67" s="308"/>
      <c r="AW67" s="308"/>
      <c r="AX67" s="308"/>
      <c r="AY67" s="308"/>
      <c r="AZ67" s="308"/>
      <c r="BA67" s="308"/>
      <c r="BB67" s="311"/>
      <c r="BC67" s="308"/>
      <c r="BD67" s="308"/>
      <c r="BE67" s="308"/>
      <c r="BF67" s="311"/>
      <c r="BG67" s="293" t="s">
        <v>556</v>
      </c>
      <c r="BJ67" s="23" t="s">
        <v>245</v>
      </c>
      <c r="BK67" s="308"/>
      <c r="BL67" s="308"/>
      <c r="BM67" s="308"/>
      <c r="BN67" s="308"/>
      <c r="BO67" s="311"/>
      <c r="BP67" s="308"/>
      <c r="BQ67" s="308"/>
      <c r="BR67" s="308"/>
      <c r="BS67" s="308"/>
      <c r="BT67" s="308"/>
      <c r="BU67" s="308"/>
      <c r="BV67" s="311"/>
      <c r="BW67" s="308"/>
      <c r="BX67" s="308"/>
      <c r="BY67" s="308"/>
      <c r="BZ67" s="311"/>
      <c r="CA67" s="293" t="s">
        <v>497</v>
      </c>
    </row>
    <row r="68" spans="2:79" ht="13.5" customHeight="1">
      <c r="B68" s="24"/>
      <c r="C68" s="315"/>
      <c r="D68" s="315"/>
      <c r="E68" s="315"/>
      <c r="F68" s="315"/>
      <c r="G68" s="315"/>
      <c r="H68" s="316"/>
      <c r="I68" s="315"/>
      <c r="J68" s="315"/>
      <c r="K68" s="315"/>
      <c r="L68" s="315"/>
      <c r="M68" s="315"/>
      <c r="N68" s="315"/>
      <c r="O68" s="316"/>
      <c r="P68" s="315"/>
      <c r="Q68" s="315"/>
      <c r="R68" s="316"/>
      <c r="S68" s="296"/>
      <c r="V68" s="24"/>
      <c r="W68" s="315"/>
      <c r="X68" s="315"/>
      <c r="Y68" s="315"/>
      <c r="Z68" s="315"/>
      <c r="AA68" s="315"/>
      <c r="AB68" s="316"/>
      <c r="AC68" s="315"/>
      <c r="AD68" s="315"/>
      <c r="AE68" s="315"/>
      <c r="AF68" s="315"/>
      <c r="AG68" s="315"/>
      <c r="AH68" s="315"/>
      <c r="AI68" s="316"/>
      <c r="AJ68" s="315"/>
      <c r="AK68" s="315"/>
      <c r="AL68" s="316"/>
      <c r="AM68" s="296"/>
      <c r="AP68" s="24"/>
      <c r="AQ68" s="315"/>
      <c r="AR68" s="315"/>
      <c r="AS68" s="315"/>
      <c r="AT68" s="315"/>
      <c r="AU68" s="316"/>
      <c r="AV68" s="315"/>
      <c r="AW68" s="315"/>
      <c r="AX68" s="315"/>
      <c r="AY68" s="315"/>
      <c r="AZ68" s="315"/>
      <c r="BA68" s="315"/>
      <c r="BB68" s="316"/>
      <c r="BC68" s="315"/>
      <c r="BD68" s="315"/>
      <c r="BE68" s="315"/>
      <c r="BF68" s="316"/>
      <c r="BG68" s="296"/>
      <c r="BJ68" s="24"/>
      <c r="BK68" s="315"/>
      <c r="BL68" s="315"/>
      <c r="BM68" s="315"/>
      <c r="BN68" s="315"/>
      <c r="BO68" s="316"/>
      <c r="BP68" s="315"/>
      <c r="BQ68" s="315"/>
      <c r="BR68" s="315"/>
      <c r="BS68" s="315"/>
      <c r="BT68" s="315"/>
      <c r="BU68" s="315"/>
      <c r="BV68" s="316"/>
      <c r="BW68" s="315"/>
      <c r="BX68" s="315"/>
      <c r="BY68" s="315"/>
      <c r="BZ68" s="316"/>
      <c r="CA68" s="296"/>
    </row>
    <row r="69" spans="2:79" ht="13.5" customHeight="1">
      <c r="B69" s="23" t="s">
        <v>825</v>
      </c>
      <c r="C69" s="308"/>
      <c r="D69" s="308"/>
      <c r="E69" s="308"/>
      <c r="F69" s="308"/>
      <c r="G69" s="308"/>
      <c r="H69" s="311"/>
      <c r="I69" s="308"/>
      <c r="J69" s="308"/>
      <c r="K69" s="308"/>
      <c r="L69" s="308"/>
      <c r="M69" s="308"/>
      <c r="N69" s="308"/>
      <c r="O69" s="311"/>
      <c r="P69" s="308"/>
      <c r="Q69" s="308"/>
      <c r="R69" s="311"/>
      <c r="S69" s="293" t="s">
        <v>826</v>
      </c>
      <c r="V69" s="23" t="s">
        <v>827</v>
      </c>
      <c r="W69" s="308"/>
      <c r="X69" s="308"/>
      <c r="Y69" s="308"/>
      <c r="Z69" s="308"/>
      <c r="AA69" s="308"/>
      <c r="AB69" s="311"/>
      <c r="AC69" s="308"/>
      <c r="AD69" s="308"/>
      <c r="AE69" s="308"/>
      <c r="AF69" s="308"/>
      <c r="AG69" s="308"/>
      <c r="AH69" s="308"/>
      <c r="AI69" s="311"/>
      <c r="AJ69" s="308"/>
      <c r="AK69" s="308"/>
      <c r="AL69" s="311"/>
      <c r="AM69" s="293" t="s">
        <v>828</v>
      </c>
      <c r="AP69" s="23" t="s">
        <v>825</v>
      </c>
      <c r="AQ69" s="308"/>
      <c r="AR69" s="308"/>
      <c r="AS69" s="308"/>
      <c r="AT69" s="308"/>
      <c r="AU69" s="311"/>
      <c r="AV69" s="308"/>
      <c r="AW69" s="308"/>
      <c r="AX69" s="308"/>
      <c r="AY69" s="308"/>
      <c r="AZ69" s="308"/>
      <c r="BA69" s="308"/>
      <c r="BB69" s="311"/>
      <c r="BC69" s="308"/>
      <c r="BD69" s="308"/>
      <c r="BE69" s="308"/>
      <c r="BF69" s="311"/>
      <c r="BG69" s="293" t="s">
        <v>826</v>
      </c>
      <c r="BJ69" s="23" t="s">
        <v>827</v>
      </c>
      <c r="BK69" s="308"/>
      <c r="BL69" s="308"/>
      <c r="BM69" s="308"/>
      <c r="BN69" s="308"/>
      <c r="BO69" s="311"/>
      <c r="BP69" s="308"/>
      <c r="BQ69" s="308"/>
      <c r="BR69" s="308"/>
      <c r="BS69" s="308"/>
      <c r="BT69" s="308"/>
      <c r="BU69" s="308"/>
      <c r="BV69" s="311"/>
      <c r="BW69" s="308"/>
      <c r="BX69" s="308"/>
      <c r="BY69" s="308"/>
      <c r="BZ69" s="311"/>
      <c r="CA69" s="293" t="s">
        <v>828</v>
      </c>
    </row>
    <row r="70" spans="2:79" ht="13.5" customHeight="1">
      <c r="B70" s="24"/>
      <c r="C70" s="315"/>
      <c r="D70" s="315"/>
      <c r="E70" s="315"/>
      <c r="F70" s="315"/>
      <c r="G70" s="315"/>
      <c r="H70" s="316"/>
      <c r="I70" s="315"/>
      <c r="J70" s="315"/>
      <c r="K70" s="315"/>
      <c r="L70" s="315"/>
      <c r="M70" s="315"/>
      <c r="N70" s="315"/>
      <c r="O70" s="316"/>
      <c r="P70" s="315"/>
      <c r="Q70" s="315"/>
      <c r="R70" s="316"/>
      <c r="S70" s="296"/>
      <c r="V70" s="24"/>
      <c r="W70" s="315"/>
      <c r="X70" s="315"/>
      <c r="Y70" s="315"/>
      <c r="Z70" s="315"/>
      <c r="AA70" s="315"/>
      <c r="AB70" s="316"/>
      <c r="AC70" s="315"/>
      <c r="AD70" s="315"/>
      <c r="AE70" s="315"/>
      <c r="AF70" s="315"/>
      <c r="AG70" s="315"/>
      <c r="AH70" s="315"/>
      <c r="AI70" s="316"/>
      <c r="AJ70" s="315"/>
      <c r="AK70" s="315"/>
      <c r="AL70" s="316"/>
      <c r="AM70" s="296"/>
      <c r="AP70" s="24"/>
      <c r="AQ70" s="315"/>
      <c r="AR70" s="315"/>
      <c r="AS70" s="315"/>
      <c r="AT70" s="315"/>
      <c r="AU70" s="316"/>
      <c r="AV70" s="315"/>
      <c r="AW70" s="315"/>
      <c r="AX70" s="315"/>
      <c r="AY70" s="315"/>
      <c r="AZ70" s="315"/>
      <c r="BA70" s="315"/>
      <c r="BB70" s="316"/>
      <c r="BC70" s="315"/>
      <c r="BD70" s="315"/>
      <c r="BE70" s="315"/>
      <c r="BF70" s="316"/>
      <c r="BG70" s="296"/>
      <c r="BJ70" s="24"/>
      <c r="BK70" s="315"/>
      <c r="BL70" s="315"/>
      <c r="BM70" s="315"/>
      <c r="BN70" s="315"/>
      <c r="BO70" s="316"/>
      <c r="BP70" s="315"/>
      <c r="BQ70" s="315"/>
      <c r="BR70" s="315"/>
      <c r="BS70" s="315"/>
      <c r="BT70" s="315"/>
      <c r="BU70" s="315"/>
      <c r="BV70" s="316"/>
      <c r="BW70" s="315"/>
      <c r="BX70" s="315"/>
      <c r="BY70" s="315"/>
      <c r="BZ70" s="316"/>
      <c r="CA70" s="296"/>
    </row>
    <row r="71" spans="2:79" ht="13.5" customHeight="1">
      <c r="B71" s="23" t="s">
        <v>829</v>
      </c>
      <c r="C71" s="308"/>
      <c r="D71" s="308"/>
      <c r="E71" s="308"/>
      <c r="F71" s="308"/>
      <c r="G71" s="308"/>
      <c r="H71" s="311"/>
      <c r="I71" s="308"/>
      <c r="J71" s="308"/>
      <c r="K71" s="308"/>
      <c r="L71" s="308"/>
      <c r="M71" s="308"/>
      <c r="N71" s="308"/>
      <c r="O71" s="311"/>
      <c r="P71" s="308"/>
      <c r="Q71" s="308"/>
      <c r="R71" s="311"/>
      <c r="S71" s="293" t="s">
        <v>502</v>
      </c>
      <c r="V71" s="23" t="s">
        <v>830</v>
      </c>
      <c r="W71" s="308"/>
      <c r="X71" s="308"/>
      <c r="Y71" s="308"/>
      <c r="Z71" s="308"/>
      <c r="AA71" s="308"/>
      <c r="AB71" s="311"/>
      <c r="AC71" s="308"/>
      <c r="AD71" s="308"/>
      <c r="AE71" s="308"/>
      <c r="AF71" s="308"/>
      <c r="AG71" s="308"/>
      <c r="AH71" s="308"/>
      <c r="AI71" s="311"/>
      <c r="AJ71" s="308"/>
      <c r="AK71" s="308"/>
      <c r="AL71" s="311"/>
      <c r="AM71" s="293" t="s">
        <v>831</v>
      </c>
      <c r="AP71" s="23" t="s">
        <v>829</v>
      </c>
      <c r="AQ71" s="308"/>
      <c r="AR71" s="308"/>
      <c r="AS71" s="308"/>
      <c r="AT71" s="308"/>
      <c r="AU71" s="311"/>
      <c r="AV71" s="308"/>
      <c r="AW71" s="308"/>
      <c r="AX71" s="308"/>
      <c r="AY71" s="308"/>
      <c r="AZ71" s="308"/>
      <c r="BA71" s="308"/>
      <c r="BB71" s="311"/>
      <c r="BC71" s="308"/>
      <c r="BD71" s="308"/>
      <c r="BE71" s="308"/>
      <c r="BF71" s="311"/>
      <c r="BG71" s="293" t="s">
        <v>502</v>
      </c>
      <c r="BJ71" s="23" t="s">
        <v>830</v>
      </c>
      <c r="BK71" s="308"/>
      <c r="BL71" s="308"/>
      <c r="BM71" s="308"/>
      <c r="BN71" s="308"/>
      <c r="BO71" s="311"/>
      <c r="BP71" s="308"/>
      <c r="BQ71" s="308"/>
      <c r="BR71" s="308"/>
      <c r="BS71" s="308"/>
      <c r="BT71" s="308"/>
      <c r="BU71" s="308"/>
      <c r="BV71" s="311"/>
      <c r="BW71" s="308"/>
      <c r="BX71" s="308"/>
      <c r="BY71" s="308"/>
      <c r="BZ71" s="311"/>
      <c r="CA71" s="293" t="s">
        <v>831</v>
      </c>
    </row>
    <row r="72" spans="2:79" ht="13.5" customHeight="1">
      <c r="B72" s="24"/>
      <c r="C72" s="315"/>
      <c r="D72" s="315"/>
      <c r="E72" s="315"/>
      <c r="F72" s="315"/>
      <c r="G72" s="315"/>
      <c r="H72" s="316"/>
      <c r="I72" s="315"/>
      <c r="J72" s="315"/>
      <c r="K72" s="315"/>
      <c r="L72" s="315"/>
      <c r="M72" s="315"/>
      <c r="N72" s="315"/>
      <c r="O72" s="316"/>
      <c r="P72" s="315"/>
      <c r="Q72" s="315"/>
      <c r="R72" s="316"/>
      <c r="S72" s="296"/>
      <c r="V72" s="24"/>
      <c r="W72" s="315"/>
      <c r="X72" s="315"/>
      <c r="Y72" s="315"/>
      <c r="Z72" s="315"/>
      <c r="AA72" s="315"/>
      <c r="AB72" s="316"/>
      <c r="AC72" s="315"/>
      <c r="AD72" s="315"/>
      <c r="AE72" s="315"/>
      <c r="AF72" s="315"/>
      <c r="AG72" s="315"/>
      <c r="AH72" s="315"/>
      <c r="AI72" s="316"/>
      <c r="AJ72" s="315"/>
      <c r="AK72" s="315"/>
      <c r="AL72" s="316"/>
      <c r="AM72" s="296"/>
      <c r="AP72" s="24"/>
      <c r="AQ72" s="315"/>
      <c r="AR72" s="315"/>
      <c r="AS72" s="315"/>
      <c r="AT72" s="315"/>
      <c r="AU72" s="316"/>
      <c r="AV72" s="315"/>
      <c r="AW72" s="315"/>
      <c r="AX72" s="315"/>
      <c r="AY72" s="315"/>
      <c r="AZ72" s="315"/>
      <c r="BA72" s="315"/>
      <c r="BB72" s="316"/>
      <c r="BC72" s="315"/>
      <c r="BD72" s="315"/>
      <c r="BE72" s="315"/>
      <c r="BF72" s="316"/>
      <c r="BG72" s="296"/>
      <c r="BJ72" s="24"/>
      <c r="BK72" s="315"/>
      <c r="BL72" s="315"/>
      <c r="BM72" s="315"/>
      <c r="BN72" s="315"/>
      <c r="BO72" s="316"/>
      <c r="BP72" s="315"/>
      <c r="BQ72" s="315"/>
      <c r="BR72" s="315"/>
      <c r="BS72" s="315"/>
      <c r="BT72" s="315"/>
      <c r="BU72" s="315"/>
      <c r="BV72" s="316"/>
      <c r="BW72" s="315"/>
      <c r="BX72" s="315"/>
      <c r="BY72" s="315"/>
      <c r="BZ72" s="316"/>
      <c r="CA72" s="296"/>
    </row>
    <row r="73" spans="2:79" ht="13.5" customHeight="1">
      <c r="B73" s="23" t="s">
        <v>832</v>
      </c>
      <c r="C73" s="308"/>
      <c r="D73" s="308"/>
      <c r="E73" s="308"/>
      <c r="F73" s="308"/>
      <c r="G73" s="308"/>
      <c r="H73" s="311"/>
      <c r="I73" s="308"/>
      <c r="J73" s="308"/>
      <c r="K73" s="308"/>
      <c r="L73" s="308"/>
      <c r="M73" s="308"/>
      <c r="N73" s="308"/>
      <c r="O73" s="311"/>
      <c r="P73" s="308"/>
      <c r="Q73" s="308"/>
      <c r="R73" s="311"/>
      <c r="S73" s="293" t="s">
        <v>553</v>
      </c>
      <c r="V73" s="23"/>
      <c r="W73" s="308"/>
      <c r="X73" s="308"/>
      <c r="Y73" s="308"/>
      <c r="Z73" s="308"/>
      <c r="AA73" s="308"/>
      <c r="AB73" s="311"/>
      <c r="AC73" s="308"/>
      <c r="AD73" s="308"/>
      <c r="AE73" s="308"/>
      <c r="AF73" s="308"/>
      <c r="AG73" s="308"/>
      <c r="AH73" s="308"/>
      <c r="AI73" s="311"/>
      <c r="AJ73" s="308"/>
      <c r="AK73" s="308"/>
      <c r="AL73" s="311"/>
      <c r="AM73" s="293"/>
      <c r="AP73" s="23" t="s">
        <v>832</v>
      </c>
      <c r="AQ73" s="308"/>
      <c r="AR73" s="308"/>
      <c r="AS73" s="308"/>
      <c r="AT73" s="308"/>
      <c r="AU73" s="311"/>
      <c r="AV73" s="308"/>
      <c r="AW73" s="308"/>
      <c r="AX73" s="308"/>
      <c r="AY73" s="308"/>
      <c r="AZ73" s="308"/>
      <c r="BA73" s="308"/>
      <c r="BB73" s="311"/>
      <c r="BC73" s="308"/>
      <c r="BD73" s="308"/>
      <c r="BE73" s="308"/>
      <c r="BF73" s="311"/>
      <c r="BG73" s="293" t="s">
        <v>553</v>
      </c>
      <c r="BJ73" s="23"/>
      <c r="BK73" s="308"/>
      <c r="BL73" s="308"/>
      <c r="BM73" s="308"/>
      <c r="BN73" s="308"/>
      <c r="BO73" s="311"/>
      <c r="BP73" s="308"/>
      <c r="BQ73" s="308"/>
      <c r="BR73" s="308"/>
      <c r="BS73" s="308"/>
      <c r="BT73" s="308"/>
      <c r="BU73" s="308"/>
      <c r="BV73" s="311"/>
      <c r="BW73" s="308"/>
      <c r="BX73" s="308"/>
      <c r="BY73" s="308"/>
      <c r="BZ73" s="311"/>
      <c r="CA73" s="293"/>
    </row>
    <row r="74" spans="2:79" ht="13.5" customHeight="1">
      <c r="B74" s="24"/>
      <c r="C74" s="315"/>
      <c r="D74" s="315"/>
      <c r="E74" s="315"/>
      <c r="F74" s="315"/>
      <c r="G74" s="315"/>
      <c r="H74" s="316"/>
      <c r="I74" s="315"/>
      <c r="J74" s="315"/>
      <c r="K74" s="315"/>
      <c r="L74" s="315"/>
      <c r="M74" s="315"/>
      <c r="N74" s="315"/>
      <c r="O74" s="316"/>
      <c r="P74" s="315"/>
      <c r="Q74" s="315"/>
      <c r="R74" s="316"/>
      <c r="S74" s="296"/>
      <c r="V74" s="24"/>
      <c r="W74" s="315"/>
      <c r="X74" s="315"/>
      <c r="Y74" s="315"/>
      <c r="Z74" s="315"/>
      <c r="AA74" s="315"/>
      <c r="AB74" s="316"/>
      <c r="AC74" s="315"/>
      <c r="AD74" s="315"/>
      <c r="AE74" s="315"/>
      <c r="AF74" s="315"/>
      <c r="AG74" s="315"/>
      <c r="AH74" s="315"/>
      <c r="AI74" s="316"/>
      <c r="AJ74" s="315"/>
      <c r="AK74" s="315"/>
      <c r="AL74" s="316"/>
      <c r="AM74" s="296"/>
      <c r="AP74" s="24"/>
      <c r="AQ74" s="315"/>
      <c r="AR74" s="315"/>
      <c r="AS74" s="315"/>
      <c r="AT74" s="315"/>
      <c r="AU74" s="316"/>
      <c r="AV74" s="315"/>
      <c r="AW74" s="315"/>
      <c r="AX74" s="315"/>
      <c r="AY74" s="315"/>
      <c r="AZ74" s="315"/>
      <c r="BA74" s="315"/>
      <c r="BB74" s="316"/>
      <c r="BC74" s="315"/>
      <c r="BD74" s="315"/>
      <c r="BE74" s="315"/>
      <c r="BF74" s="316"/>
      <c r="BG74" s="296"/>
      <c r="BJ74" s="24"/>
      <c r="BK74" s="315"/>
      <c r="BL74" s="315"/>
      <c r="BM74" s="315"/>
      <c r="BN74" s="315"/>
      <c r="BO74" s="316"/>
      <c r="BP74" s="315"/>
      <c r="BQ74" s="315"/>
      <c r="BR74" s="315"/>
      <c r="BS74" s="315"/>
      <c r="BT74" s="315"/>
      <c r="BU74" s="315"/>
      <c r="BV74" s="316"/>
      <c r="BW74" s="315"/>
      <c r="BX74" s="315"/>
      <c r="BY74" s="315"/>
      <c r="BZ74" s="316"/>
      <c r="CA74" s="296"/>
    </row>
    <row r="75" spans="2:79" ht="13.5" customHeight="1">
      <c r="B75" s="23" t="s">
        <v>164</v>
      </c>
      <c r="C75" s="308"/>
      <c r="D75" s="308"/>
      <c r="E75" s="308"/>
      <c r="F75" s="308"/>
      <c r="G75" s="308"/>
      <c r="H75" s="311"/>
      <c r="I75" s="308"/>
      <c r="J75" s="308"/>
      <c r="K75" s="308"/>
      <c r="L75" s="308"/>
      <c r="M75" s="308"/>
      <c r="N75" s="308"/>
      <c r="O75" s="311"/>
      <c r="P75" s="308"/>
      <c r="Q75" s="308"/>
      <c r="R75" s="311"/>
      <c r="S75" s="293" t="s">
        <v>507</v>
      </c>
      <c r="V75" s="23"/>
      <c r="W75" s="308"/>
      <c r="X75" s="308"/>
      <c r="Y75" s="308"/>
      <c r="Z75" s="308"/>
      <c r="AA75" s="308"/>
      <c r="AB75" s="311"/>
      <c r="AC75" s="308"/>
      <c r="AD75" s="308"/>
      <c r="AE75" s="308"/>
      <c r="AF75" s="308"/>
      <c r="AG75" s="308"/>
      <c r="AH75" s="308"/>
      <c r="AI75" s="311"/>
      <c r="AJ75" s="308"/>
      <c r="AK75" s="308"/>
      <c r="AL75" s="311"/>
      <c r="AM75" s="293"/>
      <c r="AP75" s="23" t="s">
        <v>164</v>
      </c>
      <c r="AQ75" s="308"/>
      <c r="AR75" s="308"/>
      <c r="AS75" s="308"/>
      <c r="AT75" s="308"/>
      <c r="AU75" s="311"/>
      <c r="AV75" s="308"/>
      <c r="AW75" s="308"/>
      <c r="AX75" s="308"/>
      <c r="AY75" s="308"/>
      <c r="AZ75" s="308"/>
      <c r="BA75" s="308"/>
      <c r="BB75" s="311"/>
      <c r="BC75" s="308"/>
      <c r="BD75" s="308"/>
      <c r="BE75" s="308"/>
      <c r="BF75" s="311"/>
      <c r="BG75" s="293" t="s">
        <v>507</v>
      </c>
      <c r="BJ75" s="23"/>
      <c r="BK75" s="308"/>
      <c r="BL75" s="308"/>
      <c r="BM75" s="308"/>
      <c r="BN75" s="308"/>
      <c r="BO75" s="311"/>
      <c r="BP75" s="308"/>
      <c r="BQ75" s="308"/>
      <c r="BR75" s="308"/>
      <c r="BS75" s="308"/>
      <c r="BT75" s="308"/>
      <c r="BU75" s="308"/>
      <c r="BV75" s="311"/>
      <c r="BW75" s="308"/>
      <c r="BX75" s="308"/>
      <c r="BY75" s="308"/>
      <c r="BZ75" s="311"/>
      <c r="CA75" s="293"/>
    </row>
    <row r="76" spans="2:79" ht="13.5" customHeight="1">
      <c r="B76" s="24"/>
      <c r="C76" s="315"/>
      <c r="D76" s="315"/>
      <c r="E76" s="315"/>
      <c r="F76" s="315"/>
      <c r="G76" s="315"/>
      <c r="H76" s="316"/>
      <c r="I76" s="315"/>
      <c r="J76" s="315"/>
      <c r="K76" s="315"/>
      <c r="L76" s="315"/>
      <c r="M76" s="315"/>
      <c r="N76" s="315"/>
      <c r="O76" s="316"/>
      <c r="P76" s="315"/>
      <c r="Q76" s="315"/>
      <c r="R76" s="316"/>
      <c r="S76" s="296"/>
      <c r="V76" s="24"/>
      <c r="W76" s="315"/>
      <c r="X76" s="315"/>
      <c r="Y76" s="315"/>
      <c r="Z76" s="315"/>
      <c r="AA76" s="315"/>
      <c r="AB76" s="316"/>
      <c r="AC76" s="315"/>
      <c r="AD76" s="315"/>
      <c r="AE76" s="315"/>
      <c r="AF76" s="315"/>
      <c r="AG76" s="315"/>
      <c r="AH76" s="315"/>
      <c r="AI76" s="316"/>
      <c r="AJ76" s="315"/>
      <c r="AK76" s="315"/>
      <c r="AL76" s="316"/>
      <c r="AM76" s="296"/>
      <c r="AP76" s="24"/>
      <c r="AQ76" s="315"/>
      <c r="AR76" s="315"/>
      <c r="AS76" s="315"/>
      <c r="AT76" s="315"/>
      <c r="AU76" s="316"/>
      <c r="AV76" s="315"/>
      <c r="AW76" s="315"/>
      <c r="AX76" s="315"/>
      <c r="AY76" s="315"/>
      <c r="AZ76" s="315"/>
      <c r="BA76" s="315"/>
      <c r="BB76" s="316"/>
      <c r="BC76" s="315"/>
      <c r="BD76" s="315"/>
      <c r="BE76" s="315"/>
      <c r="BF76" s="316"/>
      <c r="BG76" s="296"/>
      <c r="BJ76" s="24"/>
      <c r="BK76" s="315"/>
      <c r="BL76" s="315"/>
      <c r="BM76" s="315"/>
      <c r="BN76" s="315"/>
      <c r="BO76" s="316"/>
      <c r="BP76" s="315"/>
      <c r="BQ76" s="315"/>
      <c r="BR76" s="315"/>
      <c r="BS76" s="315"/>
      <c r="BT76" s="315"/>
      <c r="BU76" s="315"/>
      <c r="BV76" s="316"/>
      <c r="BW76" s="315"/>
      <c r="BX76" s="315"/>
      <c r="BY76" s="315"/>
      <c r="BZ76" s="316"/>
      <c r="CA76" s="296"/>
    </row>
    <row r="77" spans="2:79" ht="13.5" customHeight="1">
      <c r="B77" s="518" t="s">
        <v>833</v>
      </c>
      <c r="C77" s="308"/>
      <c r="D77" s="308"/>
      <c r="E77" s="308"/>
      <c r="F77" s="308"/>
      <c r="G77" s="308"/>
      <c r="H77" s="311"/>
      <c r="I77" s="308"/>
      <c r="J77" s="308"/>
      <c r="K77" s="308"/>
      <c r="L77" s="308"/>
      <c r="M77" s="308"/>
      <c r="N77" s="308"/>
      <c r="O77" s="311"/>
      <c r="P77" s="308"/>
      <c r="Q77" s="308"/>
      <c r="R77" s="311"/>
      <c r="S77" s="519" t="s">
        <v>834</v>
      </c>
      <c r="V77" s="23"/>
      <c r="W77" s="308"/>
      <c r="X77" s="308"/>
      <c r="Y77" s="308"/>
      <c r="Z77" s="308"/>
      <c r="AA77" s="308"/>
      <c r="AB77" s="311"/>
      <c r="AC77" s="308"/>
      <c r="AD77" s="308"/>
      <c r="AE77" s="308"/>
      <c r="AF77" s="308"/>
      <c r="AG77" s="308"/>
      <c r="AH77" s="308"/>
      <c r="AI77" s="311"/>
      <c r="AJ77" s="308"/>
      <c r="AK77" s="308"/>
      <c r="AL77" s="311"/>
      <c r="AM77" s="293"/>
      <c r="AP77" s="518" t="s">
        <v>833</v>
      </c>
      <c r="AQ77" s="308"/>
      <c r="AR77" s="308"/>
      <c r="AS77" s="308"/>
      <c r="AT77" s="308"/>
      <c r="AU77" s="311"/>
      <c r="AV77" s="308"/>
      <c r="AW77" s="308"/>
      <c r="AX77" s="308"/>
      <c r="AY77" s="308"/>
      <c r="AZ77" s="308"/>
      <c r="BA77" s="308"/>
      <c r="BB77" s="311"/>
      <c r="BC77" s="308"/>
      <c r="BD77" s="308"/>
      <c r="BE77" s="308"/>
      <c r="BF77" s="311"/>
      <c r="BG77" s="519" t="s">
        <v>834</v>
      </c>
      <c r="BJ77" s="23"/>
      <c r="BK77" s="308"/>
      <c r="BL77" s="308"/>
      <c r="BM77" s="308"/>
      <c r="BN77" s="308"/>
      <c r="BO77" s="311"/>
      <c r="BP77" s="308"/>
      <c r="BQ77" s="308"/>
      <c r="BR77" s="308"/>
      <c r="BS77" s="308"/>
      <c r="BT77" s="308"/>
      <c r="BU77" s="308"/>
      <c r="BV77" s="311"/>
      <c r="BW77" s="308"/>
      <c r="BX77" s="308"/>
      <c r="BY77" s="308"/>
      <c r="BZ77" s="311"/>
      <c r="CA77" s="293"/>
    </row>
    <row r="78" spans="2:79" ht="13.5" customHeight="1">
      <c r="B78" s="303"/>
      <c r="C78" s="315"/>
      <c r="D78" s="315"/>
      <c r="E78" s="315"/>
      <c r="F78" s="315"/>
      <c r="G78" s="315"/>
      <c r="H78" s="316"/>
      <c r="I78" s="315"/>
      <c r="J78" s="315"/>
      <c r="K78" s="315"/>
      <c r="L78" s="315"/>
      <c r="M78" s="315"/>
      <c r="N78" s="315"/>
      <c r="O78" s="316"/>
      <c r="P78" s="315"/>
      <c r="Q78" s="315"/>
      <c r="R78" s="316"/>
      <c r="S78" s="304"/>
      <c r="V78" s="24"/>
      <c r="W78" s="315"/>
      <c r="X78" s="315"/>
      <c r="Y78" s="315"/>
      <c r="Z78" s="315"/>
      <c r="AA78" s="315"/>
      <c r="AB78" s="316"/>
      <c r="AC78" s="315"/>
      <c r="AD78" s="315"/>
      <c r="AE78" s="315"/>
      <c r="AF78" s="315"/>
      <c r="AG78" s="315"/>
      <c r="AH78" s="315"/>
      <c r="AI78" s="316"/>
      <c r="AJ78" s="315"/>
      <c r="AK78" s="315"/>
      <c r="AL78" s="316"/>
      <c r="AM78" s="296"/>
      <c r="AP78" s="303"/>
      <c r="AQ78" s="315"/>
      <c r="AR78" s="315"/>
      <c r="AS78" s="315"/>
      <c r="AT78" s="315"/>
      <c r="AU78" s="316"/>
      <c r="AV78" s="315"/>
      <c r="AW78" s="315"/>
      <c r="AX78" s="315"/>
      <c r="AY78" s="315"/>
      <c r="AZ78" s="315"/>
      <c r="BA78" s="315"/>
      <c r="BB78" s="316"/>
      <c r="BC78" s="315"/>
      <c r="BD78" s="315"/>
      <c r="BE78" s="315"/>
      <c r="BF78" s="316"/>
      <c r="BG78" s="304"/>
      <c r="BJ78" s="24"/>
      <c r="BK78" s="315"/>
      <c r="BL78" s="315"/>
      <c r="BM78" s="315"/>
      <c r="BN78" s="315"/>
      <c r="BO78" s="316"/>
      <c r="BP78" s="315"/>
      <c r="BQ78" s="315"/>
      <c r="BR78" s="315"/>
      <c r="BS78" s="315"/>
      <c r="BT78" s="315"/>
      <c r="BU78" s="315"/>
      <c r="BV78" s="316"/>
      <c r="BW78" s="315"/>
      <c r="BX78" s="315"/>
      <c r="BY78" s="315"/>
      <c r="BZ78" s="316"/>
      <c r="CA78" s="296"/>
    </row>
    <row r="79" spans="2:79" ht="13.5" customHeight="1">
      <c r="B79" s="23" t="s">
        <v>835</v>
      </c>
      <c r="C79" s="308"/>
      <c r="D79" s="308"/>
      <c r="E79" s="308"/>
      <c r="F79" s="308"/>
      <c r="G79" s="308"/>
      <c r="H79" s="311"/>
      <c r="I79" s="308"/>
      <c r="J79" s="308"/>
      <c r="K79" s="308"/>
      <c r="L79" s="308"/>
      <c r="M79" s="308"/>
      <c r="N79" s="308"/>
      <c r="O79" s="311"/>
      <c r="P79" s="308"/>
      <c r="Q79" s="308"/>
      <c r="R79" s="311"/>
      <c r="S79" s="293" t="s">
        <v>836</v>
      </c>
      <c r="V79" s="23"/>
      <c r="W79" s="308"/>
      <c r="X79" s="308"/>
      <c r="Y79" s="308"/>
      <c r="Z79" s="308"/>
      <c r="AA79" s="308"/>
      <c r="AB79" s="311"/>
      <c r="AC79" s="308"/>
      <c r="AD79" s="308"/>
      <c r="AE79" s="308"/>
      <c r="AF79" s="308"/>
      <c r="AG79" s="308"/>
      <c r="AH79" s="308"/>
      <c r="AI79" s="311"/>
      <c r="AJ79" s="308"/>
      <c r="AK79" s="308"/>
      <c r="AL79" s="311"/>
      <c r="AM79" s="293"/>
      <c r="AP79" s="23" t="s">
        <v>835</v>
      </c>
      <c r="AQ79" s="308"/>
      <c r="AR79" s="308"/>
      <c r="AS79" s="308"/>
      <c r="AT79" s="308"/>
      <c r="AU79" s="311"/>
      <c r="AV79" s="308"/>
      <c r="AW79" s="308"/>
      <c r="AX79" s="308"/>
      <c r="AY79" s="308"/>
      <c r="AZ79" s="308"/>
      <c r="BA79" s="308"/>
      <c r="BB79" s="311"/>
      <c r="BC79" s="308"/>
      <c r="BD79" s="308"/>
      <c r="BE79" s="308"/>
      <c r="BF79" s="311"/>
      <c r="BG79" s="293" t="s">
        <v>836</v>
      </c>
      <c r="BJ79" s="23"/>
      <c r="BK79" s="308"/>
      <c r="BL79" s="308"/>
      <c r="BM79" s="308"/>
      <c r="BN79" s="308"/>
      <c r="BO79" s="311"/>
      <c r="BP79" s="308"/>
      <c r="BQ79" s="308"/>
      <c r="BR79" s="308"/>
      <c r="BS79" s="308"/>
      <c r="BT79" s="308"/>
      <c r="BU79" s="308"/>
      <c r="BV79" s="311"/>
      <c r="BW79" s="308"/>
      <c r="BX79" s="308"/>
      <c r="BY79" s="308"/>
      <c r="BZ79" s="311"/>
      <c r="CA79" s="293"/>
    </row>
    <row r="80" spans="2:79" ht="13.5" customHeight="1">
      <c r="B80" s="24"/>
      <c r="C80" s="315"/>
      <c r="D80" s="315"/>
      <c r="E80" s="315"/>
      <c r="F80" s="315"/>
      <c r="G80" s="315"/>
      <c r="H80" s="316"/>
      <c r="I80" s="315"/>
      <c r="J80" s="315"/>
      <c r="K80" s="315"/>
      <c r="L80" s="315"/>
      <c r="M80" s="315"/>
      <c r="N80" s="315"/>
      <c r="O80" s="316"/>
      <c r="P80" s="315"/>
      <c r="Q80" s="315"/>
      <c r="R80" s="316"/>
      <c r="S80" s="296"/>
      <c r="V80" s="24"/>
      <c r="W80" s="315"/>
      <c r="X80" s="315"/>
      <c r="Y80" s="315"/>
      <c r="Z80" s="315"/>
      <c r="AA80" s="315"/>
      <c r="AB80" s="316"/>
      <c r="AC80" s="315"/>
      <c r="AD80" s="315"/>
      <c r="AE80" s="315"/>
      <c r="AF80" s="315"/>
      <c r="AG80" s="315"/>
      <c r="AH80" s="315"/>
      <c r="AI80" s="316"/>
      <c r="AJ80" s="315"/>
      <c r="AK80" s="315"/>
      <c r="AL80" s="316"/>
      <c r="AM80" s="296"/>
      <c r="AP80" s="24"/>
      <c r="AQ80" s="315"/>
      <c r="AR80" s="315"/>
      <c r="AS80" s="315"/>
      <c r="AT80" s="315"/>
      <c r="AU80" s="316"/>
      <c r="AV80" s="315"/>
      <c r="AW80" s="315"/>
      <c r="AX80" s="315"/>
      <c r="AY80" s="315"/>
      <c r="AZ80" s="315"/>
      <c r="BA80" s="315"/>
      <c r="BB80" s="316"/>
      <c r="BC80" s="315"/>
      <c r="BD80" s="315"/>
      <c r="BE80" s="315"/>
      <c r="BF80" s="316"/>
      <c r="BG80" s="296"/>
      <c r="BJ80" s="24"/>
      <c r="BK80" s="315"/>
      <c r="BL80" s="315"/>
      <c r="BM80" s="315"/>
      <c r="BN80" s="315"/>
      <c r="BO80" s="316"/>
      <c r="BP80" s="315"/>
      <c r="BQ80" s="315"/>
      <c r="BR80" s="315"/>
      <c r="BS80" s="315"/>
      <c r="BT80" s="315"/>
      <c r="BU80" s="315"/>
      <c r="BV80" s="316"/>
      <c r="BW80" s="315"/>
      <c r="BX80" s="315"/>
      <c r="BY80" s="315"/>
      <c r="BZ80" s="316"/>
      <c r="CA80" s="296"/>
    </row>
    <row r="81" spans="2:79" ht="13.5" customHeight="1">
      <c r="B81" s="23" t="s">
        <v>128</v>
      </c>
      <c r="C81" s="308"/>
      <c r="D81" s="308"/>
      <c r="E81" s="308"/>
      <c r="F81" s="308"/>
      <c r="G81" s="308"/>
      <c r="H81" s="311"/>
      <c r="I81" s="308"/>
      <c r="J81" s="308"/>
      <c r="K81" s="308"/>
      <c r="L81" s="308"/>
      <c r="M81" s="308"/>
      <c r="N81" s="308"/>
      <c r="O81" s="311"/>
      <c r="P81" s="308"/>
      <c r="Q81" s="308"/>
      <c r="R81" s="311"/>
      <c r="S81" s="293" t="s">
        <v>505</v>
      </c>
      <c r="V81" s="23"/>
      <c r="W81" s="308"/>
      <c r="X81" s="308"/>
      <c r="Y81" s="308"/>
      <c r="Z81" s="308"/>
      <c r="AA81" s="308"/>
      <c r="AB81" s="311"/>
      <c r="AC81" s="308"/>
      <c r="AD81" s="308"/>
      <c r="AE81" s="308"/>
      <c r="AF81" s="308"/>
      <c r="AG81" s="308"/>
      <c r="AH81" s="308"/>
      <c r="AI81" s="311"/>
      <c r="AJ81" s="308"/>
      <c r="AK81" s="308"/>
      <c r="AL81" s="311"/>
      <c r="AM81" s="293"/>
      <c r="AP81" s="23" t="s">
        <v>128</v>
      </c>
      <c r="AQ81" s="308"/>
      <c r="AR81" s="308"/>
      <c r="AS81" s="308"/>
      <c r="AT81" s="308"/>
      <c r="AU81" s="311"/>
      <c r="AV81" s="308"/>
      <c r="AW81" s="308"/>
      <c r="AX81" s="308"/>
      <c r="AY81" s="308"/>
      <c r="AZ81" s="308"/>
      <c r="BA81" s="308"/>
      <c r="BB81" s="311"/>
      <c r="BC81" s="308"/>
      <c r="BD81" s="308"/>
      <c r="BE81" s="308"/>
      <c r="BF81" s="311"/>
      <c r="BG81" s="293" t="s">
        <v>505</v>
      </c>
      <c r="BJ81" s="23"/>
      <c r="BK81" s="308"/>
      <c r="BL81" s="308"/>
      <c r="BM81" s="308"/>
      <c r="BN81" s="308"/>
      <c r="BO81" s="311"/>
      <c r="BP81" s="308"/>
      <c r="BQ81" s="308"/>
      <c r="BR81" s="308"/>
      <c r="BS81" s="308"/>
      <c r="BT81" s="308"/>
      <c r="BU81" s="308"/>
      <c r="BV81" s="311"/>
      <c r="BW81" s="308"/>
      <c r="BX81" s="308"/>
      <c r="BY81" s="308"/>
      <c r="BZ81" s="311"/>
      <c r="CA81" s="293"/>
    </row>
    <row r="82" spans="2:79" ht="13.5" customHeight="1">
      <c r="B82" s="24"/>
      <c r="C82" s="315"/>
      <c r="D82" s="315"/>
      <c r="E82" s="315"/>
      <c r="F82" s="315"/>
      <c r="G82" s="315"/>
      <c r="H82" s="316"/>
      <c r="I82" s="315"/>
      <c r="J82" s="315"/>
      <c r="K82" s="315"/>
      <c r="L82" s="315"/>
      <c r="M82" s="315"/>
      <c r="N82" s="315"/>
      <c r="O82" s="316"/>
      <c r="P82" s="315"/>
      <c r="Q82" s="315"/>
      <c r="R82" s="316"/>
      <c r="S82" s="296"/>
      <c r="V82" s="24"/>
      <c r="W82" s="315"/>
      <c r="X82" s="315"/>
      <c r="Y82" s="315"/>
      <c r="Z82" s="315"/>
      <c r="AA82" s="315"/>
      <c r="AB82" s="316"/>
      <c r="AC82" s="315"/>
      <c r="AD82" s="315"/>
      <c r="AE82" s="315"/>
      <c r="AF82" s="315"/>
      <c r="AG82" s="315"/>
      <c r="AH82" s="315"/>
      <c r="AI82" s="316"/>
      <c r="AJ82" s="315"/>
      <c r="AK82" s="315"/>
      <c r="AL82" s="316"/>
      <c r="AM82" s="296"/>
      <c r="AP82" s="24"/>
      <c r="AQ82" s="315"/>
      <c r="AR82" s="315"/>
      <c r="AS82" s="315"/>
      <c r="AT82" s="315"/>
      <c r="AU82" s="316"/>
      <c r="AV82" s="315"/>
      <c r="AW82" s="315"/>
      <c r="AX82" s="315"/>
      <c r="AY82" s="315"/>
      <c r="AZ82" s="315"/>
      <c r="BA82" s="315"/>
      <c r="BB82" s="316"/>
      <c r="BC82" s="315"/>
      <c r="BD82" s="315"/>
      <c r="BE82" s="315"/>
      <c r="BF82" s="316"/>
      <c r="BG82" s="296"/>
      <c r="BJ82" s="24"/>
      <c r="BK82" s="315"/>
      <c r="BL82" s="315"/>
      <c r="BM82" s="315"/>
      <c r="BN82" s="315"/>
      <c r="BO82" s="316"/>
      <c r="BP82" s="315"/>
      <c r="BQ82" s="315"/>
      <c r="BR82" s="315"/>
      <c r="BS82" s="315"/>
      <c r="BT82" s="315"/>
      <c r="BU82" s="315"/>
      <c r="BV82" s="316"/>
      <c r="BW82" s="315"/>
      <c r="BX82" s="315"/>
      <c r="BY82" s="315"/>
      <c r="BZ82" s="316"/>
      <c r="CA82" s="296"/>
    </row>
    <row r="83" spans="2:79" ht="13.5" customHeight="1">
      <c r="B83" s="23" t="s">
        <v>837</v>
      </c>
      <c r="C83" s="308"/>
      <c r="D83" s="308"/>
      <c r="E83" s="308"/>
      <c r="F83" s="308"/>
      <c r="G83" s="308"/>
      <c r="H83" s="311"/>
      <c r="I83" s="308"/>
      <c r="J83" s="308"/>
      <c r="K83" s="308"/>
      <c r="L83" s="308"/>
      <c r="M83" s="308"/>
      <c r="N83" s="308"/>
      <c r="O83" s="311"/>
      <c r="P83" s="308"/>
      <c r="Q83" s="308"/>
      <c r="R83" s="311"/>
      <c r="S83" s="293" t="s">
        <v>838</v>
      </c>
      <c r="V83" s="518"/>
      <c r="W83" s="308"/>
      <c r="X83" s="308"/>
      <c r="Y83" s="308"/>
      <c r="Z83" s="308"/>
      <c r="AA83" s="308"/>
      <c r="AB83" s="311"/>
      <c r="AC83" s="308"/>
      <c r="AD83" s="308"/>
      <c r="AE83" s="308"/>
      <c r="AF83" s="308"/>
      <c r="AG83" s="308"/>
      <c r="AH83" s="308"/>
      <c r="AI83" s="311"/>
      <c r="AJ83" s="308"/>
      <c r="AK83" s="308"/>
      <c r="AL83" s="311"/>
      <c r="AM83" s="519"/>
      <c r="AP83" s="23" t="s">
        <v>837</v>
      </c>
      <c r="AQ83" s="308"/>
      <c r="AR83" s="308"/>
      <c r="AS83" s="308"/>
      <c r="AT83" s="308"/>
      <c r="AU83" s="311"/>
      <c r="AV83" s="308"/>
      <c r="AW83" s="308"/>
      <c r="AX83" s="308"/>
      <c r="AY83" s="308"/>
      <c r="AZ83" s="308"/>
      <c r="BA83" s="308"/>
      <c r="BB83" s="311"/>
      <c r="BC83" s="308"/>
      <c r="BD83" s="308"/>
      <c r="BE83" s="308"/>
      <c r="BF83" s="311"/>
      <c r="BG83" s="293" t="s">
        <v>838</v>
      </c>
      <c r="BJ83" s="518"/>
      <c r="BK83" s="308"/>
      <c r="BL83" s="308"/>
      <c r="BM83" s="308"/>
      <c r="BN83" s="308"/>
      <c r="BO83" s="311"/>
      <c r="BP83" s="308"/>
      <c r="BQ83" s="308"/>
      <c r="BR83" s="308"/>
      <c r="BS83" s="308"/>
      <c r="BT83" s="308"/>
      <c r="BU83" s="308"/>
      <c r="BV83" s="311"/>
      <c r="BW83" s="308"/>
      <c r="BX83" s="308"/>
      <c r="BY83" s="308"/>
      <c r="BZ83" s="311"/>
      <c r="CA83" s="519"/>
    </row>
    <row r="84" spans="2:79" ht="13.5" customHeight="1">
      <c r="B84" s="24"/>
      <c r="C84" s="315"/>
      <c r="D84" s="315"/>
      <c r="E84" s="315"/>
      <c r="F84" s="315"/>
      <c r="G84" s="315"/>
      <c r="H84" s="316"/>
      <c r="I84" s="315"/>
      <c r="J84" s="315"/>
      <c r="K84" s="315"/>
      <c r="L84" s="315"/>
      <c r="M84" s="315"/>
      <c r="N84" s="315"/>
      <c r="O84" s="316"/>
      <c r="P84" s="315"/>
      <c r="Q84" s="315"/>
      <c r="R84" s="316"/>
      <c r="S84" s="296"/>
      <c r="V84" s="303"/>
      <c r="W84" s="315"/>
      <c r="X84" s="315"/>
      <c r="Y84" s="315"/>
      <c r="Z84" s="315"/>
      <c r="AA84" s="315"/>
      <c r="AB84" s="316"/>
      <c r="AC84" s="315"/>
      <c r="AD84" s="315"/>
      <c r="AE84" s="315"/>
      <c r="AF84" s="315"/>
      <c r="AG84" s="315"/>
      <c r="AH84" s="315"/>
      <c r="AI84" s="316"/>
      <c r="AJ84" s="315"/>
      <c r="AK84" s="315"/>
      <c r="AL84" s="316"/>
      <c r="AM84" s="304"/>
      <c r="AP84" s="24"/>
      <c r="AQ84" s="315"/>
      <c r="AR84" s="315"/>
      <c r="AS84" s="315"/>
      <c r="AT84" s="315"/>
      <c r="AU84" s="316"/>
      <c r="AV84" s="315"/>
      <c r="AW84" s="315"/>
      <c r="AX84" s="315"/>
      <c r="AY84" s="315"/>
      <c r="AZ84" s="315"/>
      <c r="BA84" s="315"/>
      <c r="BB84" s="316"/>
      <c r="BC84" s="315"/>
      <c r="BD84" s="315"/>
      <c r="BE84" s="315"/>
      <c r="BF84" s="316"/>
      <c r="BG84" s="296"/>
      <c r="BJ84" s="303"/>
      <c r="BK84" s="315"/>
      <c r="BL84" s="315"/>
      <c r="BM84" s="315"/>
      <c r="BN84" s="315"/>
      <c r="BO84" s="316"/>
      <c r="BP84" s="315"/>
      <c r="BQ84" s="315"/>
      <c r="BR84" s="315"/>
      <c r="BS84" s="315"/>
      <c r="BT84" s="315"/>
      <c r="BU84" s="315"/>
      <c r="BV84" s="316"/>
      <c r="BW84" s="315"/>
      <c r="BX84" s="315"/>
      <c r="BY84" s="315"/>
      <c r="BZ84" s="316"/>
      <c r="CA84" s="304"/>
    </row>
    <row r="85" spans="2:79" ht="13.5" customHeight="1">
      <c r="B85" s="23" t="s">
        <v>839</v>
      </c>
      <c r="C85" s="308"/>
      <c r="D85" s="308"/>
      <c r="E85" s="308"/>
      <c r="F85" s="308"/>
      <c r="G85" s="308"/>
      <c r="H85" s="311"/>
      <c r="I85" s="308"/>
      <c r="J85" s="308"/>
      <c r="K85" s="308"/>
      <c r="L85" s="308"/>
      <c r="M85" s="308"/>
      <c r="N85" s="308"/>
      <c r="O85" s="311"/>
      <c r="P85" s="308"/>
      <c r="Q85" s="308"/>
      <c r="R85" s="311"/>
      <c r="S85" s="293" t="s">
        <v>555</v>
      </c>
      <c r="V85" s="518"/>
      <c r="W85" s="308"/>
      <c r="X85" s="308"/>
      <c r="Y85" s="308"/>
      <c r="Z85" s="308"/>
      <c r="AA85" s="308"/>
      <c r="AB85" s="311"/>
      <c r="AC85" s="308"/>
      <c r="AD85" s="308"/>
      <c r="AE85" s="308"/>
      <c r="AF85" s="308"/>
      <c r="AG85" s="308"/>
      <c r="AH85" s="308"/>
      <c r="AI85" s="311"/>
      <c r="AJ85" s="308"/>
      <c r="AK85" s="308"/>
      <c r="AL85" s="311"/>
      <c r="AM85" s="519"/>
      <c r="AP85" s="23" t="s">
        <v>839</v>
      </c>
      <c r="AQ85" s="308"/>
      <c r="AR85" s="308"/>
      <c r="AS85" s="308"/>
      <c r="AT85" s="308"/>
      <c r="AU85" s="311"/>
      <c r="AV85" s="308"/>
      <c r="AW85" s="308"/>
      <c r="AX85" s="308"/>
      <c r="AY85" s="308"/>
      <c r="AZ85" s="308"/>
      <c r="BA85" s="308"/>
      <c r="BB85" s="311"/>
      <c r="BC85" s="308"/>
      <c r="BD85" s="308"/>
      <c r="BE85" s="308"/>
      <c r="BF85" s="311"/>
      <c r="BG85" s="293" t="s">
        <v>555</v>
      </c>
      <c r="BJ85" s="518"/>
      <c r="BK85" s="308"/>
      <c r="BL85" s="308"/>
      <c r="BM85" s="308"/>
      <c r="BN85" s="308"/>
      <c r="BO85" s="311"/>
      <c r="BP85" s="308"/>
      <c r="BQ85" s="308"/>
      <c r="BR85" s="308"/>
      <c r="BS85" s="308"/>
      <c r="BT85" s="308"/>
      <c r="BU85" s="308"/>
      <c r="BV85" s="311"/>
      <c r="BW85" s="308"/>
      <c r="BX85" s="308"/>
      <c r="BY85" s="308"/>
      <c r="BZ85" s="311"/>
      <c r="CA85" s="519"/>
    </row>
    <row r="86" spans="2:79" ht="13.5" customHeight="1">
      <c r="B86" s="24"/>
      <c r="C86" s="315"/>
      <c r="D86" s="315"/>
      <c r="E86" s="315"/>
      <c r="F86" s="315"/>
      <c r="G86" s="315"/>
      <c r="H86" s="316"/>
      <c r="I86" s="315"/>
      <c r="J86" s="315"/>
      <c r="K86" s="315"/>
      <c r="L86" s="315"/>
      <c r="M86" s="315"/>
      <c r="N86" s="315"/>
      <c r="O86" s="316"/>
      <c r="P86" s="315"/>
      <c r="Q86" s="315"/>
      <c r="R86" s="316"/>
      <c r="S86" s="296"/>
      <c r="V86" s="303"/>
      <c r="W86" s="315"/>
      <c r="X86" s="315"/>
      <c r="Y86" s="315"/>
      <c r="Z86" s="315"/>
      <c r="AA86" s="315"/>
      <c r="AB86" s="316"/>
      <c r="AC86" s="315"/>
      <c r="AD86" s="315"/>
      <c r="AE86" s="315"/>
      <c r="AF86" s="315"/>
      <c r="AG86" s="315"/>
      <c r="AH86" s="315"/>
      <c r="AI86" s="316"/>
      <c r="AJ86" s="315"/>
      <c r="AK86" s="315"/>
      <c r="AL86" s="316"/>
      <c r="AM86" s="304"/>
      <c r="AP86" s="24"/>
      <c r="AQ86" s="315"/>
      <c r="AR86" s="315"/>
      <c r="AS86" s="315"/>
      <c r="AT86" s="315"/>
      <c r="AU86" s="316"/>
      <c r="AV86" s="315"/>
      <c r="AW86" s="315"/>
      <c r="AX86" s="315"/>
      <c r="AY86" s="315"/>
      <c r="AZ86" s="315"/>
      <c r="BA86" s="315"/>
      <c r="BB86" s="316"/>
      <c r="BC86" s="315"/>
      <c r="BD86" s="315"/>
      <c r="BE86" s="315"/>
      <c r="BF86" s="316"/>
      <c r="BG86" s="296"/>
      <c r="BJ86" s="303"/>
      <c r="BK86" s="315"/>
      <c r="BL86" s="315"/>
      <c r="BM86" s="315"/>
      <c r="BN86" s="315"/>
      <c r="BO86" s="316"/>
      <c r="BP86" s="315"/>
      <c r="BQ86" s="315"/>
      <c r="BR86" s="315"/>
      <c r="BS86" s="315"/>
      <c r="BT86" s="315"/>
      <c r="BU86" s="315"/>
      <c r="BV86" s="316"/>
      <c r="BW86" s="315"/>
      <c r="BX86" s="315"/>
      <c r="BY86" s="315"/>
      <c r="BZ86" s="316"/>
      <c r="CA86" s="304"/>
    </row>
    <row r="87" spans="2:79" ht="13.5" customHeight="1">
      <c r="B87" s="23"/>
      <c r="C87" s="308"/>
      <c r="D87" s="308"/>
      <c r="E87" s="308"/>
      <c r="F87" s="308"/>
      <c r="G87" s="308"/>
      <c r="H87" s="311"/>
      <c r="I87" s="308"/>
      <c r="J87" s="308"/>
      <c r="K87" s="308"/>
      <c r="L87" s="308"/>
      <c r="M87" s="308"/>
      <c r="N87" s="308"/>
      <c r="O87" s="311"/>
      <c r="P87" s="308"/>
      <c r="Q87" s="308"/>
      <c r="R87" s="311"/>
      <c r="S87" s="293"/>
      <c r="V87" s="23"/>
      <c r="W87" s="308"/>
      <c r="X87" s="308"/>
      <c r="Y87" s="308"/>
      <c r="Z87" s="308"/>
      <c r="AA87" s="308"/>
      <c r="AB87" s="311"/>
      <c r="AC87" s="308"/>
      <c r="AD87" s="308"/>
      <c r="AE87" s="308"/>
      <c r="AF87" s="308"/>
      <c r="AG87" s="308"/>
      <c r="AH87" s="308"/>
      <c r="AI87" s="311"/>
      <c r="AJ87" s="308"/>
      <c r="AK87" s="308"/>
      <c r="AL87" s="311"/>
      <c r="AM87" s="293"/>
      <c r="AP87" s="23"/>
      <c r="AQ87" s="308"/>
      <c r="AR87" s="308"/>
      <c r="AS87" s="308"/>
      <c r="AT87" s="308"/>
      <c r="AU87" s="311"/>
      <c r="AV87" s="308"/>
      <c r="AW87" s="308"/>
      <c r="AX87" s="308"/>
      <c r="AY87" s="308"/>
      <c r="AZ87" s="308"/>
      <c r="BA87" s="308"/>
      <c r="BB87" s="311"/>
      <c r="BC87" s="308"/>
      <c r="BD87" s="308"/>
      <c r="BE87" s="308"/>
      <c r="BF87" s="311"/>
      <c r="BG87" s="293"/>
      <c r="BJ87" s="23"/>
      <c r="BK87" s="308"/>
      <c r="BL87" s="308"/>
      <c r="BM87" s="308"/>
      <c r="BN87" s="308"/>
      <c r="BO87" s="311"/>
      <c r="BP87" s="308"/>
      <c r="BQ87" s="308"/>
      <c r="BR87" s="308"/>
      <c r="BS87" s="308"/>
      <c r="BT87" s="308"/>
      <c r="BU87" s="308"/>
      <c r="BV87" s="311"/>
      <c r="BW87" s="308"/>
      <c r="BX87" s="308"/>
      <c r="BY87" s="308"/>
      <c r="BZ87" s="311"/>
      <c r="CA87" s="293"/>
    </row>
    <row r="88" spans="2:79" ht="13.5" customHeight="1" thickBot="1">
      <c r="B88" s="430"/>
      <c r="C88" s="502"/>
      <c r="D88" s="502"/>
      <c r="E88" s="502"/>
      <c r="F88" s="502"/>
      <c r="G88" s="502"/>
      <c r="H88" s="503"/>
      <c r="I88" s="502"/>
      <c r="J88" s="502"/>
      <c r="K88" s="502"/>
      <c r="L88" s="502"/>
      <c r="M88" s="502"/>
      <c r="N88" s="502"/>
      <c r="O88" s="503"/>
      <c r="P88" s="502"/>
      <c r="Q88" s="502"/>
      <c r="R88" s="503"/>
      <c r="S88" s="437"/>
      <c r="V88" s="430"/>
      <c r="W88" s="502"/>
      <c r="X88" s="502"/>
      <c r="Y88" s="502"/>
      <c r="Z88" s="502"/>
      <c r="AA88" s="502"/>
      <c r="AB88" s="503"/>
      <c r="AC88" s="502"/>
      <c r="AD88" s="502"/>
      <c r="AE88" s="502"/>
      <c r="AF88" s="502"/>
      <c r="AG88" s="502"/>
      <c r="AH88" s="502"/>
      <c r="AI88" s="503"/>
      <c r="AJ88" s="502"/>
      <c r="AK88" s="502"/>
      <c r="AL88" s="503"/>
      <c r="AM88" s="437"/>
      <c r="AP88" s="430"/>
      <c r="AQ88" s="502"/>
      <c r="AR88" s="502"/>
      <c r="AS88" s="502"/>
      <c r="AT88" s="502"/>
      <c r="AU88" s="503"/>
      <c r="AV88" s="502"/>
      <c r="AW88" s="502"/>
      <c r="AX88" s="502"/>
      <c r="AY88" s="502"/>
      <c r="AZ88" s="502"/>
      <c r="BA88" s="502"/>
      <c r="BB88" s="503"/>
      <c r="BC88" s="502"/>
      <c r="BD88" s="502"/>
      <c r="BE88" s="502"/>
      <c r="BF88" s="503"/>
      <c r="BG88" s="437"/>
      <c r="BJ88" s="430"/>
      <c r="BK88" s="502"/>
      <c r="BL88" s="502"/>
      <c r="BM88" s="502"/>
      <c r="BN88" s="502"/>
      <c r="BO88" s="503"/>
      <c r="BP88" s="502"/>
      <c r="BQ88" s="502"/>
      <c r="BR88" s="502"/>
      <c r="BS88" s="502"/>
      <c r="BT88" s="502"/>
      <c r="BU88" s="502"/>
      <c r="BV88" s="503"/>
      <c r="BW88" s="502"/>
      <c r="BX88" s="502"/>
      <c r="BY88" s="502"/>
      <c r="BZ88" s="503"/>
      <c r="CA88" s="437"/>
    </row>
    <row r="89" spans="2:79" ht="13.5" customHeight="1">
      <c r="B89" s="299" t="str">
        <f>B3</f>
        <v>2026年</v>
      </c>
      <c r="C89" s="319">
        <v>1</v>
      </c>
      <c r="D89" s="319">
        <v>2</v>
      </c>
      <c r="E89" s="319">
        <v>3</v>
      </c>
      <c r="F89" s="319">
        <v>4</v>
      </c>
      <c r="G89" s="319">
        <v>5</v>
      </c>
      <c r="H89" s="320">
        <v>6</v>
      </c>
      <c r="I89" s="319">
        <v>7</v>
      </c>
      <c r="J89" s="319">
        <v>8</v>
      </c>
      <c r="K89" s="319">
        <v>9</v>
      </c>
      <c r="L89" s="319">
        <v>10</v>
      </c>
      <c r="M89" s="319">
        <v>11</v>
      </c>
      <c r="N89" s="319">
        <v>12</v>
      </c>
      <c r="O89" s="320">
        <v>13</v>
      </c>
      <c r="P89" s="319">
        <v>14</v>
      </c>
      <c r="Q89" s="319">
        <v>15</v>
      </c>
      <c r="R89" s="320"/>
      <c r="S89" s="297" t="s">
        <v>17</v>
      </c>
      <c r="V89" s="299" t="str">
        <f>B3</f>
        <v>2026年</v>
      </c>
      <c r="W89" s="319">
        <v>1</v>
      </c>
      <c r="X89" s="319">
        <v>2</v>
      </c>
      <c r="Y89" s="319">
        <v>3</v>
      </c>
      <c r="Z89" s="319">
        <v>4</v>
      </c>
      <c r="AA89" s="319">
        <v>5</v>
      </c>
      <c r="AB89" s="320">
        <v>6</v>
      </c>
      <c r="AC89" s="319">
        <v>7</v>
      </c>
      <c r="AD89" s="319">
        <v>8</v>
      </c>
      <c r="AE89" s="319">
        <v>9</v>
      </c>
      <c r="AF89" s="319">
        <v>10</v>
      </c>
      <c r="AG89" s="319">
        <v>11</v>
      </c>
      <c r="AH89" s="319">
        <v>12</v>
      </c>
      <c r="AI89" s="320">
        <v>13</v>
      </c>
      <c r="AJ89" s="319">
        <v>14</v>
      </c>
      <c r="AK89" s="319">
        <v>15</v>
      </c>
      <c r="AL89" s="314"/>
      <c r="AM89" s="297" t="s">
        <v>17</v>
      </c>
      <c r="AP89" s="299" t="str">
        <f>B3</f>
        <v>2026年</v>
      </c>
      <c r="AQ89" s="319">
        <v>16</v>
      </c>
      <c r="AR89" s="319">
        <v>17</v>
      </c>
      <c r="AS89" s="319">
        <v>18</v>
      </c>
      <c r="AT89" s="319">
        <v>19</v>
      </c>
      <c r="AU89" s="320">
        <v>20</v>
      </c>
      <c r="AV89" s="319">
        <v>21</v>
      </c>
      <c r="AW89" s="319">
        <v>22</v>
      </c>
      <c r="AX89" s="319">
        <v>23</v>
      </c>
      <c r="AY89" s="319">
        <v>24</v>
      </c>
      <c r="AZ89" s="319">
        <v>25</v>
      </c>
      <c r="BA89" s="319">
        <v>26</v>
      </c>
      <c r="BB89" s="320">
        <v>27</v>
      </c>
      <c r="BC89" s="319">
        <v>28</v>
      </c>
      <c r="BD89" s="319">
        <f>月間設定!AE3</f>
        <v>29</v>
      </c>
      <c r="BE89" s="319">
        <f>月間設定!AF3</f>
        <v>30</v>
      </c>
      <c r="BF89" s="320" t="str">
        <f>月間設定!AG3</f>
        <v/>
      </c>
      <c r="BG89" s="297" t="s">
        <v>17</v>
      </c>
      <c r="BJ89" s="299" t="str">
        <f>B3</f>
        <v>2026年</v>
      </c>
      <c r="BK89" s="319">
        <v>16</v>
      </c>
      <c r="BL89" s="319">
        <v>17</v>
      </c>
      <c r="BM89" s="319">
        <v>18</v>
      </c>
      <c r="BN89" s="319">
        <v>19</v>
      </c>
      <c r="BO89" s="320">
        <v>20</v>
      </c>
      <c r="BP89" s="319">
        <v>21</v>
      </c>
      <c r="BQ89" s="319">
        <v>22</v>
      </c>
      <c r="BR89" s="319">
        <v>23</v>
      </c>
      <c r="BS89" s="319">
        <v>24</v>
      </c>
      <c r="BT89" s="319">
        <v>25</v>
      </c>
      <c r="BU89" s="319">
        <v>26</v>
      </c>
      <c r="BV89" s="320">
        <v>27</v>
      </c>
      <c r="BW89" s="319">
        <v>28</v>
      </c>
      <c r="BX89" s="319">
        <f>月間設定!AE3</f>
        <v>29</v>
      </c>
      <c r="BY89" s="319">
        <f>月間設定!AF3</f>
        <v>30</v>
      </c>
      <c r="BZ89" s="320" t="str">
        <f>月間設定!AG3</f>
        <v/>
      </c>
      <c r="CA89" s="297" t="s">
        <v>17</v>
      </c>
    </row>
    <row r="90" spans="2:79" ht="13.5" customHeight="1" thickBot="1">
      <c r="B90" s="300" t="str">
        <f>B4</f>
        <v>6月</v>
      </c>
      <c r="C90" s="301">
        <f>月間設定!C4</f>
        <v>2</v>
      </c>
      <c r="D90" s="301">
        <f>月間設定!D4</f>
        <v>3</v>
      </c>
      <c r="E90" s="301">
        <f>月間設定!E4</f>
        <v>4</v>
      </c>
      <c r="F90" s="301">
        <f>月間設定!F4</f>
        <v>5</v>
      </c>
      <c r="G90" s="301">
        <f>月間設定!G4</f>
        <v>6</v>
      </c>
      <c r="H90" s="302">
        <f>月間設定!H4</f>
        <v>7</v>
      </c>
      <c r="I90" s="301">
        <f>月間設定!I4</f>
        <v>1</v>
      </c>
      <c r="J90" s="301">
        <f>月間設定!J4</f>
        <v>2</v>
      </c>
      <c r="K90" s="301">
        <f>月間設定!K4</f>
        <v>3</v>
      </c>
      <c r="L90" s="301">
        <f>月間設定!L4</f>
        <v>4</v>
      </c>
      <c r="M90" s="301">
        <f>月間設定!M4</f>
        <v>5</v>
      </c>
      <c r="N90" s="301">
        <f>月間設定!N4</f>
        <v>6</v>
      </c>
      <c r="O90" s="302">
        <f>月間設定!O4</f>
        <v>7</v>
      </c>
      <c r="P90" s="301">
        <f>月間設定!P4</f>
        <v>1</v>
      </c>
      <c r="Q90" s="301">
        <f>月間設定!Q4</f>
        <v>2</v>
      </c>
      <c r="R90" s="302"/>
      <c r="S90" s="298" t="str">
        <f>S4</f>
        <v>8日</v>
      </c>
      <c r="V90" s="300" t="str">
        <f>B4</f>
        <v>6月</v>
      </c>
      <c r="W90" s="301">
        <f>月間設定!C4</f>
        <v>2</v>
      </c>
      <c r="X90" s="301">
        <f>月間設定!D4</f>
        <v>3</v>
      </c>
      <c r="Y90" s="301">
        <f>月間設定!E4</f>
        <v>4</v>
      </c>
      <c r="Z90" s="301">
        <f>月間設定!F4</f>
        <v>5</v>
      </c>
      <c r="AA90" s="301">
        <f>月間設定!G4</f>
        <v>6</v>
      </c>
      <c r="AB90" s="302">
        <f>月間設定!H4</f>
        <v>7</v>
      </c>
      <c r="AC90" s="301">
        <f>月間設定!I4</f>
        <v>1</v>
      </c>
      <c r="AD90" s="301">
        <f>月間設定!J4</f>
        <v>2</v>
      </c>
      <c r="AE90" s="301">
        <f>月間設定!K4</f>
        <v>3</v>
      </c>
      <c r="AF90" s="301">
        <f>月間設定!L4</f>
        <v>4</v>
      </c>
      <c r="AG90" s="301">
        <f>月間設定!M4</f>
        <v>5</v>
      </c>
      <c r="AH90" s="301">
        <f>月間設定!N4</f>
        <v>6</v>
      </c>
      <c r="AI90" s="302">
        <f>月間設定!O4</f>
        <v>7</v>
      </c>
      <c r="AJ90" s="301">
        <f>月間設定!P4</f>
        <v>1</v>
      </c>
      <c r="AK90" s="301">
        <f>月間設定!Q4</f>
        <v>2</v>
      </c>
      <c r="AL90" s="321"/>
      <c r="AM90" s="298" t="str">
        <f>S4</f>
        <v>8日</v>
      </c>
      <c r="AP90" s="300" t="str">
        <f>B4</f>
        <v>6月</v>
      </c>
      <c r="AQ90" s="301">
        <f>月間設定!R4</f>
        <v>3</v>
      </c>
      <c r="AR90" s="301">
        <f>月間設定!S4</f>
        <v>4</v>
      </c>
      <c r="AS90" s="301">
        <f>月間設定!T4</f>
        <v>5</v>
      </c>
      <c r="AT90" s="301">
        <f>月間設定!U4</f>
        <v>6</v>
      </c>
      <c r="AU90" s="302">
        <f>月間設定!V4</f>
        <v>7</v>
      </c>
      <c r="AV90" s="301">
        <f>月間設定!W4</f>
        <v>1</v>
      </c>
      <c r="AW90" s="301">
        <f>月間設定!X4</f>
        <v>2</v>
      </c>
      <c r="AX90" s="301">
        <f>月間設定!Y4</f>
        <v>3</v>
      </c>
      <c r="AY90" s="301">
        <f>月間設定!Z4</f>
        <v>4</v>
      </c>
      <c r="AZ90" s="301">
        <f>月間設定!AA4</f>
        <v>5</v>
      </c>
      <c r="BA90" s="301">
        <f>月間設定!AB4</f>
        <v>6</v>
      </c>
      <c r="BB90" s="302">
        <f>月間設定!AC4</f>
        <v>7</v>
      </c>
      <c r="BC90" s="301">
        <f>月間設定!AD4</f>
        <v>1</v>
      </c>
      <c r="BD90" s="301">
        <f>月間設定!AE4</f>
        <v>2</v>
      </c>
      <c r="BE90" s="301">
        <f>月間設定!AF4</f>
        <v>3</v>
      </c>
      <c r="BF90" s="302" t="str">
        <f>月間設定!AG4</f>
        <v/>
      </c>
      <c r="BG90" s="298" t="str">
        <f>S4</f>
        <v>8日</v>
      </c>
      <c r="BJ90" s="300" t="str">
        <f>B4</f>
        <v>6月</v>
      </c>
      <c r="BK90" s="301">
        <f>月間設定!R4</f>
        <v>3</v>
      </c>
      <c r="BL90" s="301">
        <f>月間設定!S4</f>
        <v>4</v>
      </c>
      <c r="BM90" s="301">
        <f>月間設定!T4</f>
        <v>5</v>
      </c>
      <c r="BN90" s="301">
        <f>月間設定!U4</f>
        <v>6</v>
      </c>
      <c r="BO90" s="302">
        <f>月間設定!V4</f>
        <v>7</v>
      </c>
      <c r="BP90" s="301">
        <f>月間設定!W4</f>
        <v>1</v>
      </c>
      <c r="BQ90" s="301">
        <f>月間設定!X4</f>
        <v>2</v>
      </c>
      <c r="BR90" s="301">
        <f>月間設定!Y4</f>
        <v>3</v>
      </c>
      <c r="BS90" s="301">
        <f>月間設定!Z4</f>
        <v>4</v>
      </c>
      <c r="BT90" s="301">
        <f>月間設定!AA4</f>
        <v>5</v>
      </c>
      <c r="BU90" s="301">
        <f>月間設定!AB4</f>
        <v>6</v>
      </c>
      <c r="BV90" s="302">
        <f>月間設定!AC4</f>
        <v>7</v>
      </c>
      <c r="BW90" s="301">
        <f>月間設定!AD4</f>
        <v>1</v>
      </c>
      <c r="BX90" s="301">
        <f>月間設定!AE4</f>
        <v>2</v>
      </c>
      <c r="BY90" s="301">
        <f>月間設定!AF4</f>
        <v>3</v>
      </c>
      <c r="BZ90" s="302" t="str">
        <f>月間設定!AG4</f>
        <v/>
      </c>
      <c r="CA90" s="298" t="str">
        <f>S4</f>
        <v>8日</v>
      </c>
    </row>
    <row r="91" spans="2:79" ht="13.5" customHeight="1" thickTop="1">
      <c r="B91" s="4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41"/>
      <c r="V91" s="41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41"/>
      <c r="AP91" s="41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41"/>
    </row>
    <row r="92" spans="2:79" ht="13.5" customHeight="1">
      <c r="B92" s="42"/>
      <c r="C92" s="291"/>
      <c r="D92" s="291"/>
      <c r="E92" s="291"/>
      <c r="F92" s="291"/>
      <c r="G92" s="291"/>
      <c r="H92" s="291"/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42"/>
      <c r="V92" s="42"/>
      <c r="W92" s="291"/>
      <c r="X92" s="291"/>
      <c r="Y92" s="291"/>
      <c r="Z92" s="291"/>
      <c r="AA92" s="291"/>
      <c r="AB92" s="291"/>
      <c r="AC92" s="291"/>
      <c r="AD92" s="291"/>
      <c r="AE92" s="291"/>
      <c r="AF92" s="291"/>
      <c r="AG92" s="291"/>
      <c r="AH92" s="291"/>
      <c r="AI92" s="291"/>
      <c r="AJ92" s="291"/>
      <c r="AK92" s="291"/>
      <c r="AL92" s="291"/>
      <c r="AM92" s="42"/>
      <c r="AP92" s="42"/>
      <c r="BG92" s="42"/>
    </row>
  </sheetData>
  <sheetProtection sheet="1" objects="1" scenarios="1"/>
  <customSheetViews>
    <customSheetView guid="{48D17560-CF9A-4AC4-87A5-512F1C94B1E6}" scale="75" showRuler="0">
      <pageMargins left="0" right="0" top="0" bottom="0" header="0" footer="0"/>
      <pageSetup paperSize="8" fitToWidth="4" orientation="portrait" blackAndWhite="1" horizontalDpi="4294967292" verticalDpi="4294967292" r:id="rId1"/>
      <headerFooter alignWithMargins="0">
        <oddHeader>&amp;R&amp;"Osaka,標準"&amp;D　&amp;T</oddHeader>
      </headerFooter>
    </customSheetView>
  </customSheetViews>
  <phoneticPr fontId="6"/>
  <pageMargins left="0.39370078740157483" right="0.39370078740157483" top="0.39370078740157483" bottom="0.39370078740157483" header="0.39370078740157483" footer="0.39370078740157483"/>
  <pageSetup paperSize="8" fitToWidth="4" orientation="portrait" blackAndWhite="1" horizontalDpi="4294967292" verticalDpi="4294967292" r:id="rId2"/>
  <headerFooter alignWithMargins="0">
    <oddHeader>&amp;R&amp;"Osaka,標準"&amp;D　&amp;T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Button 1">
              <controlPr defaultSize="0" print="0" autoFill="0" autoLine="0" autoPict="0" macro="[0]!印刷罫線">
                <anchor moveWithCells="1" sizeWithCells="1">
                  <from>
                    <xdr:col>1</xdr:col>
                    <xdr:colOff>107950</xdr:colOff>
                    <xdr:row>0</xdr:row>
                    <xdr:rowOff>31750</xdr:rowOff>
                  </from>
                  <to>
                    <xdr:col>1</xdr:col>
                    <xdr:colOff>603250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Button 2">
              <controlPr defaultSize="0" print="0" autoFill="0" autoLine="0" autoPict="0" macro="[0]!最新">
                <anchor moveWithCells="1" sizeWithCells="1">
                  <from>
                    <xdr:col>4</xdr:col>
                    <xdr:colOff>298450</xdr:colOff>
                    <xdr:row>0</xdr:row>
                    <xdr:rowOff>38100</xdr:rowOff>
                  </from>
                  <to>
                    <xdr:col>9</xdr:col>
                    <xdr:colOff>260350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/>
  <dimension ref="A1:T32"/>
  <sheetViews>
    <sheetView workbookViewId="0">
      <selection activeCell="R8" sqref="R8"/>
    </sheetView>
  </sheetViews>
  <sheetFormatPr defaultColWidth="10.453125" defaultRowHeight="14"/>
  <cols>
    <col min="1" max="1" width="2.453125" style="12" customWidth="1"/>
    <col min="2" max="2" width="7.453125" style="12" customWidth="1"/>
    <col min="3" max="11" width="5.453125" style="12" customWidth="1"/>
    <col min="12" max="12" width="10.453125" style="25" customWidth="1"/>
    <col min="13" max="13" width="3.453125" style="58" customWidth="1"/>
    <col min="14" max="14" width="10.453125" style="58" customWidth="1"/>
    <col min="15" max="15" width="3.453125" style="58" customWidth="1"/>
    <col min="16" max="16" width="10.453125" bestFit="1" customWidth="1"/>
    <col min="17" max="17" width="10.453125" style="58" customWidth="1"/>
    <col min="18" max="16384" width="10.453125" style="58"/>
  </cols>
  <sheetData>
    <row r="1" spans="1:20" ht="21">
      <c r="A1" s="76"/>
      <c r="B1" s="76"/>
      <c r="C1" s="29">
        <f>月間設定!C1</f>
        <v>2026</v>
      </c>
      <c r="D1" s="76" t="s">
        <v>0</v>
      </c>
      <c r="E1" s="29">
        <f>月間設定!E1</f>
        <v>6</v>
      </c>
      <c r="F1" s="76" t="s">
        <v>1</v>
      </c>
      <c r="G1" s="76"/>
      <c r="H1" s="76" t="s">
        <v>17</v>
      </c>
      <c r="I1" s="77">
        <f>月間設定!I1</f>
        <v>8</v>
      </c>
      <c r="J1" s="76" t="s">
        <v>18</v>
      </c>
      <c r="K1" s="78">
        <f>IF(AND(E1=2,MOD(C1,4)&lt;&gt;0),28,IF(AND(E1=2,MOD(C1,4)=0),29,IF(OR(E1=4,E1=6,E1=9,E1=11),30,31)))</f>
        <v>30</v>
      </c>
      <c r="L1" s="97"/>
      <c r="M1" s="97"/>
      <c r="N1" s="97"/>
    </row>
    <row r="2" spans="1:20">
      <c r="L2" s="97" t="s">
        <v>840</v>
      </c>
      <c r="M2" s="97"/>
      <c r="N2" s="97" t="s">
        <v>765</v>
      </c>
      <c r="O2" s="97"/>
      <c r="P2" s="97" t="s">
        <v>771</v>
      </c>
    </row>
    <row r="3" spans="1:20">
      <c r="L3" s="97" t="s">
        <v>841</v>
      </c>
      <c r="M3" s="97"/>
      <c r="N3" s="97" t="s">
        <v>766</v>
      </c>
      <c r="O3" s="97"/>
      <c r="P3" s="97" t="s">
        <v>734</v>
      </c>
    </row>
    <row r="4" spans="1:20">
      <c r="L4" s="97" t="s">
        <v>749</v>
      </c>
      <c r="M4" s="97"/>
      <c r="N4" s="97" t="s">
        <v>733</v>
      </c>
      <c r="O4" s="97"/>
      <c r="P4" s="97" t="s">
        <v>736</v>
      </c>
    </row>
    <row r="5" spans="1:20">
      <c r="L5" s="97" t="s">
        <v>737</v>
      </c>
      <c r="M5" s="97"/>
      <c r="N5" s="97" t="s">
        <v>164</v>
      </c>
      <c r="O5" s="97"/>
      <c r="P5" s="97" t="s">
        <v>739</v>
      </c>
    </row>
    <row r="6" spans="1:20">
      <c r="L6" s="97" t="s">
        <v>751</v>
      </c>
      <c r="M6" s="97"/>
      <c r="N6" s="97" t="s">
        <v>738</v>
      </c>
      <c r="O6" s="97"/>
      <c r="P6" s="97" t="s">
        <v>742</v>
      </c>
    </row>
    <row r="7" spans="1:20">
      <c r="L7" s="97" t="s">
        <v>745</v>
      </c>
      <c r="M7" s="97"/>
      <c r="N7" s="97" t="s">
        <v>741</v>
      </c>
      <c r="O7" s="97"/>
      <c r="P7" s="222" t="s">
        <v>842</v>
      </c>
    </row>
    <row r="8" spans="1:20">
      <c r="L8" s="97" t="s">
        <v>732</v>
      </c>
      <c r="M8" s="97"/>
      <c r="N8" s="97" t="s">
        <v>128</v>
      </c>
      <c r="O8" s="97"/>
      <c r="P8" s="222" t="s">
        <v>843</v>
      </c>
    </row>
    <row r="9" spans="1:20">
      <c r="L9" s="97" t="s">
        <v>743</v>
      </c>
      <c r="M9" s="97"/>
      <c r="N9" s="97" t="s">
        <v>748</v>
      </c>
      <c r="O9" s="97"/>
      <c r="P9" s="222" t="s">
        <v>844</v>
      </c>
      <c r="T9" s="22"/>
    </row>
    <row r="10" spans="1:20">
      <c r="L10" s="97" t="s">
        <v>747</v>
      </c>
      <c r="M10" s="97"/>
      <c r="N10" s="97" t="s">
        <v>750</v>
      </c>
      <c r="O10" s="97"/>
      <c r="P10" s="222" t="s">
        <v>845</v>
      </c>
      <c r="T10" s="22"/>
    </row>
    <row r="11" spans="1:20">
      <c r="L11" s="97" t="s">
        <v>846</v>
      </c>
      <c r="M11" s="97"/>
      <c r="N11" s="97" t="s">
        <v>753</v>
      </c>
      <c r="O11" s="97"/>
      <c r="T11" s="22"/>
    </row>
    <row r="12" spans="1:20">
      <c r="L12" s="97" t="s">
        <v>847</v>
      </c>
      <c r="M12" s="97"/>
      <c r="N12" s="97" t="s">
        <v>117</v>
      </c>
      <c r="O12" s="97"/>
      <c r="P12" s="97"/>
      <c r="S12" s="22"/>
      <c r="T12" s="22"/>
    </row>
    <row r="13" spans="1:20">
      <c r="L13" s="97" t="s">
        <v>754</v>
      </c>
      <c r="M13" s="97"/>
      <c r="N13" s="97" t="s">
        <v>756</v>
      </c>
      <c r="O13" s="97"/>
      <c r="S13" s="22"/>
      <c r="T13" s="22"/>
    </row>
    <row r="14" spans="1:20">
      <c r="L14" s="97" t="s">
        <v>193</v>
      </c>
      <c r="M14" s="97"/>
      <c r="N14" s="97" t="s">
        <v>758</v>
      </c>
      <c r="O14" s="97"/>
      <c r="P14" s="97"/>
      <c r="T14" s="22"/>
    </row>
    <row r="15" spans="1:20">
      <c r="L15" s="97" t="s">
        <v>755</v>
      </c>
      <c r="M15" s="97"/>
      <c r="N15" s="97" t="s">
        <v>760</v>
      </c>
      <c r="O15" s="97"/>
      <c r="P15" s="97"/>
      <c r="T15" s="22"/>
    </row>
    <row r="16" spans="1:20">
      <c r="L16" s="97" t="s">
        <v>757</v>
      </c>
      <c r="M16" s="97"/>
      <c r="N16" s="97" t="s">
        <v>762</v>
      </c>
      <c r="O16" s="97"/>
      <c r="P16" s="97"/>
      <c r="T16" s="22"/>
    </row>
    <row r="17" spans="12:20">
      <c r="L17" s="97" t="s">
        <v>759</v>
      </c>
      <c r="M17" s="97"/>
      <c r="N17" s="97" t="s">
        <v>764</v>
      </c>
      <c r="O17" s="97"/>
      <c r="P17" s="97"/>
      <c r="T17" s="22"/>
    </row>
    <row r="18" spans="12:20">
      <c r="L18" s="97" t="s">
        <v>761</v>
      </c>
      <c r="M18" s="97"/>
      <c r="N18" s="97" t="s">
        <v>181</v>
      </c>
      <c r="O18" s="97"/>
      <c r="P18" s="97"/>
      <c r="T18" s="22"/>
    </row>
    <row r="19" spans="12:20">
      <c r="L19" s="97" t="s">
        <v>752</v>
      </c>
      <c r="M19" s="22"/>
      <c r="N19" s="97" t="s">
        <v>767</v>
      </c>
      <c r="O19" s="22"/>
      <c r="P19" s="22"/>
      <c r="T19" s="22"/>
    </row>
    <row r="20" spans="12:20">
      <c r="L20" s="97" t="s">
        <v>763</v>
      </c>
      <c r="M20" s="22"/>
      <c r="N20" s="97" t="s">
        <v>769</v>
      </c>
      <c r="O20" s="97"/>
      <c r="P20" s="22"/>
      <c r="S20" s="22"/>
      <c r="T20" s="22"/>
    </row>
    <row r="21" spans="12:20">
      <c r="P21" s="22"/>
      <c r="R21" s="22"/>
      <c r="S21" s="22"/>
      <c r="T21" s="22"/>
    </row>
    <row r="22" spans="12:20">
      <c r="P22" s="22"/>
      <c r="R22" s="22"/>
      <c r="S22" s="22"/>
      <c r="T22" s="22"/>
    </row>
    <row r="23" spans="12:20">
      <c r="P23" s="22"/>
      <c r="R23" s="22"/>
      <c r="T23" s="22"/>
    </row>
    <row r="24" spans="12:20">
      <c r="P24" s="22"/>
      <c r="R24" s="22"/>
      <c r="S24" s="22"/>
      <c r="T24" s="22"/>
    </row>
    <row r="25" spans="12:20">
      <c r="P25" s="22"/>
      <c r="R25" s="22"/>
      <c r="T25" s="22"/>
    </row>
    <row r="26" spans="12:20">
      <c r="P26" s="22"/>
      <c r="R26" s="22"/>
      <c r="T26" s="22"/>
    </row>
    <row r="27" spans="12:20">
      <c r="P27" s="22"/>
      <c r="R27" s="22"/>
      <c r="S27" s="44"/>
      <c r="T27" s="22"/>
    </row>
    <row r="28" spans="12:20">
      <c r="P28" s="22"/>
      <c r="R28" s="22"/>
      <c r="S28" s="22"/>
      <c r="T28" s="22"/>
    </row>
    <row r="29" spans="12:20">
      <c r="P29" s="22"/>
      <c r="Q29" s="22"/>
      <c r="R29" s="22"/>
      <c r="S29" s="22"/>
      <c r="T29" s="22"/>
    </row>
    <row r="30" spans="12:20">
      <c r="P30" s="22"/>
      <c r="Q30" s="22"/>
      <c r="R30" s="22"/>
      <c r="S30" s="22"/>
      <c r="T30" s="22"/>
    </row>
    <row r="31" spans="12:20">
      <c r="P31" s="22"/>
      <c r="Q31" s="22"/>
      <c r="R31" s="97"/>
      <c r="S31" s="22"/>
      <c r="T31" s="97"/>
    </row>
    <row r="32" spans="12:20">
      <c r="P32" s="22"/>
      <c r="Q32" s="22"/>
      <c r="R32" s="97"/>
      <c r="S32" s="97"/>
      <c r="T32" s="97"/>
    </row>
  </sheetData>
  <customSheetViews>
    <customSheetView guid="{48D17560-CF9A-4AC4-87A5-512F1C94B1E6}" showRuler="0">
      <pageMargins left="0" right="0" top="0" bottom="0" header="0" footer="0"/>
      <headerFooter alignWithMargins="0">
        <oddHeader>&amp;A</oddHeader>
        <oddFooter>- &amp;P -</oddFooter>
      </headerFooter>
    </customSheetView>
  </customSheetViews>
  <phoneticPr fontId="8"/>
  <printOptions gridLinesSet="0"/>
  <pageMargins left="0.75" right="0.75" top="1" bottom="1" header="0.51200000000000001" footer="0.51200000000000001"/>
  <headerFooter alignWithMargins="0">
    <oddHeader>&amp;A</oddHeader>
    <oddFooter>- &amp;P -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Line="0" autoPict="0" macro="[0]!calendar">
                <anchor moveWithCells="1" sizeWithCells="1">
                  <from>
                    <xdr:col>2</xdr:col>
                    <xdr:colOff>31750</xdr:colOff>
                    <xdr:row>2</xdr:row>
                    <xdr:rowOff>31750</xdr:rowOff>
                  </from>
                  <to>
                    <xdr:col>7</xdr:col>
                    <xdr:colOff>31750</xdr:colOff>
                    <xdr:row>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B1:H24"/>
  <sheetViews>
    <sheetView workbookViewId="0">
      <selection activeCell="G2" sqref="G2"/>
    </sheetView>
  </sheetViews>
  <sheetFormatPr defaultColWidth="11" defaultRowHeight="20.149999999999999" customHeight="1"/>
  <cols>
    <col min="1" max="1" width="6.453125" style="59" customWidth="1"/>
    <col min="2" max="8" width="12.453125" style="59" customWidth="1"/>
    <col min="9" max="9" width="6.453125" style="59" customWidth="1"/>
    <col min="10" max="16384" width="11" style="59"/>
  </cols>
  <sheetData>
    <row r="1" spans="2:8" ht="20.149999999999999" customHeight="1">
      <c r="C1" s="59" t="str">
        <f>月間設定!C1&amp;"年"</f>
        <v>2026年</v>
      </c>
      <c r="D1" s="59" t="str">
        <f>月間設定!E1&amp;"月分"</f>
        <v>6月分</v>
      </c>
      <c r="E1" s="59" t="str">
        <f>"公休 "&amp;月間設定!I1&amp;"日"</f>
        <v>公休 8日</v>
      </c>
    </row>
    <row r="2" spans="2:8" ht="20.149999999999999" customHeight="1">
      <c r="F2" s="60" t="s">
        <v>848</v>
      </c>
      <c r="G2" s="61"/>
    </row>
    <row r="4" spans="2:8" ht="20.149999999999999" customHeight="1" thickBot="1"/>
    <row r="5" spans="2:8" s="65" customFormat="1" ht="20.149999999999999" customHeight="1" thickTop="1" thickBot="1">
      <c r="B5" s="62" t="s">
        <v>849</v>
      </c>
      <c r="C5" s="63" t="s">
        <v>850</v>
      </c>
      <c r="D5" s="63" t="s">
        <v>851</v>
      </c>
      <c r="E5" s="63" t="s">
        <v>852</v>
      </c>
      <c r="F5" s="63" t="s">
        <v>853</v>
      </c>
      <c r="G5" s="63" t="s">
        <v>854</v>
      </c>
      <c r="H5" s="64" t="s">
        <v>855</v>
      </c>
    </row>
    <row r="6" spans="2:8" s="68" customFormat="1" ht="20.149999999999999" customHeight="1">
      <c r="B6" s="99"/>
      <c r="C6" s="101"/>
      <c r="D6" s="66">
        <v>1</v>
      </c>
      <c r="E6" s="66">
        <v>2</v>
      </c>
      <c r="F6" s="66">
        <v>3</v>
      </c>
      <c r="G6" s="66">
        <v>4</v>
      </c>
      <c r="H6" s="67">
        <v>5</v>
      </c>
    </row>
    <row r="7" spans="2:8" s="65" customFormat="1" ht="20.149999999999999" customHeight="1">
      <c r="B7" s="100"/>
      <c r="C7" s="102"/>
      <c r="D7" s="69"/>
      <c r="E7" s="69"/>
      <c r="F7" s="69"/>
      <c r="G7" s="69"/>
      <c r="H7" s="70"/>
    </row>
    <row r="8" spans="2:8" s="65" customFormat="1" ht="20.149999999999999" customHeight="1" thickBot="1">
      <c r="B8" s="504"/>
      <c r="C8" s="505"/>
      <c r="D8" s="506"/>
      <c r="E8" s="506"/>
      <c r="F8" s="506"/>
      <c r="G8" s="506"/>
      <c r="H8" s="507"/>
    </row>
    <row r="9" spans="2:8" s="68" customFormat="1" ht="20.149999999999999" customHeight="1">
      <c r="B9" s="71">
        <v>6</v>
      </c>
      <c r="C9" s="66">
        <v>7</v>
      </c>
      <c r="D9" s="66">
        <v>8</v>
      </c>
      <c r="E9" s="66">
        <v>9</v>
      </c>
      <c r="F9" s="66">
        <v>10</v>
      </c>
      <c r="G9" s="66">
        <v>11</v>
      </c>
      <c r="H9" s="67">
        <v>12</v>
      </c>
    </row>
    <row r="10" spans="2:8" s="65" customFormat="1" ht="20.149999999999999" customHeight="1">
      <c r="B10" s="72"/>
      <c r="C10" s="69"/>
      <c r="D10" s="69"/>
      <c r="E10" s="69"/>
      <c r="F10" s="69"/>
      <c r="G10" s="69"/>
      <c r="H10" s="70"/>
    </row>
    <row r="11" spans="2:8" s="65" customFormat="1" ht="20.149999999999999" customHeight="1" thickBot="1">
      <c r="B11" s="508"/>
      <c r="C11" s="506"/>
      <c r="D11" s="506"/>
      <c r="E11" s="506"/>
      <c r="F11" s="506"/>
      <c r="G11" s="506"/>
      <c r="H11" s="507"/>
    </row>
    <row r="12" spans="2:8" s="68" customFormat="1" ht="20.149999999999999" customHeight="1">
      <c r="B12" s="71">
        <v>13</v>
      </c>
      <c r="C12" s="66">
        <v>14</v>
      </c>
      <c r="D12" s="66">
        <v>15</v>
      </c>
      <c r="E12" s="66">
        <v>16</v>
      </c>
      <c r="F12" s="66">
        <v>17</v>
      </c>
      <c r="G12" s="66">
        <v>18</v>
      </c>
      <c r="H12" s="67">
        <v>19</v>
      </c>
    </row>
    <row r="13" spans="2:8" s="65" customFormat="1" ht="20.149999999999999" customHeight="1">
      <c r="B13" s="72"/>
      <c r="C13" s="69"/>
      <c r="D13" s="69"/>
      <c r="E13" s="69"/>
      <c r="F13" s="69"/>
      <c r="G13" s="69"/>
      <c r="H13" s="70"/>
    </row>
    <row r="14" spans="2:8" s="65" customFormat="1" ht="20.149999999999999" customHeight="1" thickBot="1">
      <c r="B14" s="508"/>
      <c r="C14" s="506"/>
      <c r="D14" s="506"/>
      <c r="E14" s="509"/>
      <c r="F14" s="506"/>
      <c r="G14" s="506"/>
      <c r="H14" s="507"/>
    </row>
    <row r="15" spans="2:8" s="68" customFormat="1" ht="20.149999999999999" customHeight="1">
      <c r="B15" s="71">
        <v>20</v>
      </c>
      <c r="C15" s="66">
        <v>21</v>
      </c>
      <c r="D15" s="66">
        <v>22</v>
      </c>
      <c r="E15" s="66">
        <v>23</v>
      </c>
      <c r="F15" s="66">
        <v>24</v>
      </c>
      <c r="G15" s="66">
        <v>25</v>
      </c>
      <c r="H15" s="67">
        <v>26</v>
      </c>
    </row>
    <row r="16" spans="2:8" s="65" customFormat="1" ht="20.149999999999999" customHeight="1">
      <c r="B16" s="72"/>
      <c r="C16" s="69"/>
      <c r="D16" s="69"/>
      <c r="E16" s="69"/>
      <c r="F16" s="69"/>
      <c r="G16" s="69"/>
      <c r="H16" s="70"/>
    </row>
    <row r="17" spans="2:8" s="65" customFormat="1" ht="20.149999999999999" customHeight="1" thickBot="1">
      <c r="B17" s="508"/>
      <c r="C17" s="506"/>
      <c r="D17" s="506"/>
      <c r="E17" s="506"/>
      <c r="F17" s="506"/>
      <c r="G17" s="506"/>
      <c r="H17" s="507"/>
    </row>
    <row r="18" spans="2:8" s="68" customFormat="1" ht="20.149999999999999" customHeight="1">
      <c r="B18" s="71">
        <v>27</v>
      </c>
      <c r="C18" s="66">
        <v>28</v>
      </c>
      <c r="D18" s="66">
        <v>29</v>
      </c>
      <c r="E18" s="66">
        <v>30</v>
      </c>
      <c r="F18" s="66">
        <v>31</v>
      </c>
      <c r="G18" s="101"/>
      <c r="H18" s="104"/>
    </row>
    <row r="19" spans="2:8" s="65" customFormat="1" ht="20.149999999999999" customHeight="1">
      <c r="B19" s="72"/>
      <c r="C19" s="69"/>
      <c r="D19" s="69"/>
      <c r="E19" s="69"/>
      <c r="F19" s="69"/>
      <c r="G19" s="102"/>
      <c r="H19" s="105"/>
    </row>
    <row r="20" spans="2:8" s="65" customFormat="1" ht="20.149999999999999" customHeight="1" thickBot="1">
      <c r="B20" s="508"/>
      <c r="C20" s="506"/>
      <c r="D20" s="506"/>
      <c r="E20" s="506"/>
      <c r="F20" s="506"/>
      <c r="G20" s="505"/>
      <c r="H20" s="510"/>
    </row>
    <row r="21" spans="2:8" s="68" customFormat="1" ht="20.149999999999999" customHeight="1">
      <c r="B21" s="99"/>
      <c r="C21" s="101"/>
      <c r="D21" s="101"/>
      <c r="E21" s="101"/>
      <c r="F21" s="101"/>
      <c r="G21" s="101"/>
      <c r="H21" s="104"/>
    </row>
    <row r="22" spans="2:8" ht="20.149999999999999" customHeight="1">
      <c r="B22" s="100"/>
      <c r="C22" s="102"/>
      <c r="D22" s="102"/>
      <c r="E22" s="102"/>
      <c r="F22" s="102"/>
      <c r="G22" s="102"/>
      <c r="H22" s="105"/>
    </row>
    <row r="23" spans="2:8" ht="20.149999999999999" customHeight="1" thickBot="1">
      <c r="B23" s="147"/>
      <c r="C23" s="103"/>
      <c r="D23" s="103"/>
      <c r="E23" s="103"/>
      <c r="F23" s="103"/>
      <c r="G23" s="103"/>
      <c r="H23" s="106"/>
    </row>
    <row r="24" spans="2:8" s="73" customFormat="1" ht="20.149999999999999" customHeight="1" thickTop="1"/>
  </sheetData>
  <sheetProtection sheet="1" objects="1" scenarios="1"/>
  <customSheetViews>
    <customSheetView guid="{48D17560-CF9A-4AC4-87A5-512F1C94B1E6}" showRuler="0">
      <pageMargins left="0" right="0" top="0" bottom="0" header="0" footer="0"/>
      <pageSetup paperSize="9" orientation="landscape" horizontalDpi="4294967292" verticalDpi="4294967292"/>
      <headerFooter alignWithMargins="0"/>
    </customSheetView>
  </customSheetViews>
  <phoneticPr fontId="4"/>
  <printOptions gridLinesSet="0"/>
  <pageMargins left="0.78740157480314965" right="0.78740157480314965" top="0.78740157480314965" bottom="0.78740157480314965" header="0" footer="0"/>
  <pageSetup paperSize="9" orientation="landscape" horizontalDpi="4294967292" verticalDpi="4294967292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229C4-9FF9-4AA4-9A71-842D4F1DEAB6}">
  <sheetPr codeName="Sheet6"/>
  <dimension ref="B1:T22"/>
  <sheetViews>
    <sheetView zoomScaleNormal="100" workbookViewId="0">
      <selection activeCell="T3" sqref="T3"/>
    </sheetView>
  </sheetViews>
  <sheetFormatPr defaultColWidth="9" defaultRowHeight="13"/>
  <cols>
    <col min="1" max="1" width="9" style="181"/>
    <col min="2" max="2" width="11.453125" style="181" customWidth="1"/>
    <col min="3" max="12" width="7.453125" style="181" customWidth="1"/>
    <col min="13" max="16384" width="9" style="181"/>
  </cols>
  <sheetData>
    <row r="1" spans="2:20" ht="13.5" thickBot="1"/>
    <row r="2" spans="2:20" ht="18.75" customHeight="1" thickBot="1">
      <c r="B2" s="182"/>
      <c r="C2" s="183" t="s">
        <v>856</v>
      </c>
      <c r="D2" s="183" t="s">
        <v>857</v>
      </c>
      <c r="E2" s="183" t="s">
        <v>858</v>
      </c>
      <c r="F2" s="183" t="s">
        <v>859</v>
      </c>
      <c r="G2" s="183" t="s">
        <v>860</v>
      </c>
      <c r="H2" s="183" t="s">
        <v>861</v>
      </c>
      <c r="I2" s="183" t="s">
        <v>862</v>
      </c>
      <c r="J2" s="183" t="s">
        <v>863</v>
      </c>
      <c r="K2" s="183" t="s">
        <v>864</v>
      </c>
      <c r="L2" s="184" t="s">
        <v>865</v>
      </c>
      <c r="M2" s="181" t="s">
        <v>866</v>
      </c>
      <c r="N2" s="181" t="s">
        <v>867</v>
      </c>
      <c r="O2" s="182" t="s">
        <v>868</v>
      </c>
      <c r="P2" s="183">
        <v>2</v>
      </c>
      <c r="Q2" s="183">
        <v>3</v>
      </c>
      <c r="R2" s="183">
        <v>4</v>
      </c>
      <c r="S2" s="183">
        <v>5</v>
      </c>
      <c r="T2" s="184">
        <v>6</v>
      </c>
    </row>
    <row r="3" spans="2:20" ht="18.75" customHeight="1" thickTop="1">
      <c r="B3" s="185" t="s">
        <v>869</v>
      </c>
      <c r="C3" s="186">
        <v>1</v>
      </c>
      <c r="D3" s="186">
        <v>1</v>
      </c>
      <c r="E3" s="186">
        <v>5</v>
      </c>
      <c r="F3" s="186">
        <v>3</v>
      </c>
      <c r="G3" s="186">
        <v>1</v>
      </c>
      <c r="H3" s="186">
        <v>1</v>
      </c>
      <c r="I3" s="186">
        <v>2</v>
      </c>
      <c r="J3" s="186"/>
      <c r="K3" s="186"/>
      <c r="L3" s="187"/>
      <c r="N3" s="181">
        <v>3</v>
      </c>
      <c r="O3" s="188" t="s">
        <v>869</v>
      </c>
      <c r="P3" s="189" t="s">
        <v>870</v>
      </c>
      <c r="Q3" s="189" t="s">
        <v>871</v>
      </c>
      <c r="R3" s="189" t="s">
        <v>872</v>
      </c>
      <c r="S3" s="189" t="s">
        <v>870</v>
      </c>
      <c r="T3" s="190" t="s">
        <v>870</v>
      </c>
    </row>
    <row r="4" spans="2:20" ht="18.75" customHeight="1">
      <c r="B4" s="191" t="s">
        <v>873</v>
      </c>
      <c r="C4" s="192">
        <v>1</v>
      </c>
      <c r="D4" s="192">
        <v>1</v>
      </c>
      <c r="E4" s="192">
        <v>4</v>
      </c>
      <c r="F4" s="322">
        <v>3</v>
      </c>
      <c r="G4" s="192">
        <v>1</v>
      </c>
      <c r="H4" s="192">
        <v>1</v>
      </c>
      <c r="I4" s="192">
        <v>2</v>
      </c>
      <c r="J4" s="192"/>
      <c r="K4" s="192"/>
      <c r="L4" s="193"/>
      <c r="N4" s="181">
        <v>3</v>
      </c>
      <c r="O4" s="194" t="s">
        <v>874</v>
      </c>
      <c r="P4" s="195" t="s">
        <v>871</v>
      </c>
      <c r="Q4" s="195" t="s">
        <v>870</v>
      </c>
      <c r="R4" s="195" t="s">
        <v>870</v>
      </c>
      <c r="S4" s="195" t="s">
        <v>872</v>
      </c>
      <c r="T4" s="196" t="s">
        <v>871</v>
      </c>
    </row>
    <row r="5" spans="2:20" ht="18.75" customHeight="1" thickBot="1">
      <c r="B5" s="191" t="s">
        <v>875</v>
      </c>
      <c r="C5" s="192">
        <v>1</v>
      </c>
      <c r="D5" s="192">
        <v>1</v>
      </c>
      <c r="E5" s="192">
        <v>4</v>
      </c>
      <c r="F5" s="192">
        <v>2</v>
      </c>
      <c r="G5" s="192">
        <v>1</v>
      </c>
      <c r="H5" s="192">
        <v>1</v>
      </c>
      <c r="I5" s="322">
        <v>2</v>
      </c>
      <c r="J5" s="192"/>
      <c r="K5" s="192"/>
      <c r="L5" s="193"/>
      <c r="N5" s="181">
        <v>2</v>
      </c>
      <c r="O5" s="197" t="s">
        <v>16</v>
      </c>
      <c r="P5" s="198" t="s">
        <v>870</v>
      </c>
      <c r="Q5" s="198" t="s">
        <v>871</v>
      </c>
      <c r="R5" s="198" t="s">
        <v>872</v>
      </c>
      <c r="S5" s="198" t="s">
        <v>870</v>
      </c>
      <c r="T5" s="199" t="s">
        <v>870</v>
      </c>
    </row>
    <row r="6" spans="2:20" ht="18.75" customHeight="1">
      <c r="B6" s="191" t="s">
        <v>876</v>
      </c>
      <c r="C6" s="192">
        <v>1</v>
      </c>
      <c r="D6" s="192">
        <v>1</v>
      </c>
      <c r="E6" s="192">
        <v>5</v>
      </c>
      <c r="F6" s="192">
        <v>4</v>
      </c>
      <c r="G6" s="192">
        <v>1</v>
      </c>
      <c r="H6" s="192">
        <v>1</v>
      </c>
      <c r="I6" s="192">
        <v>2</v>
      </c>
      <c r="J6" s="192"/>
      <c r="K6" s="192"/>
      <c r="L6" s="193"/>
      <c r="M6" s="181" t="s">
        <v>871</v>
      </c>
      <c r="N6" s="181">
        <v>4</v>
      </c>
    </row>
    <row r="7" spans="2:20" ht="18.75" customHeight="1">
      <c r="B7" s="191"/>
      <c r="C7" s="192"/>
      <c r="D7" s="192"/>
      <c r="E7" s="192"/>
      <c r="F7" s="192"/>
      <c r="G7" s="192"/>
      <c r="H7" s="192"/>
      <c r="I7" s="192"/>
      <c r="J7" s="192"/>
      <c r="K7" s="192"/>
      <c r="L7" s="193"/>
    </row>
    <row r="8" spans="2:20" ht="18.75" customHeight="1">
      <c r="B8" s="191" t="s">
        <v>877</v>
      </c>
      <c r="C8" s="192">
        <v>1</v>
      </c>
      <c r="D8" s="192">
        <v>1</v>
      </c>
      <c r="E8" s="192">
        <v>5</v>
      </c>
      <c r="F8" s="192">
        <v>4</v>
      </c>
      <c r="G8" s="192">
        <v>1</v>
      </c>
      <c r="H8" s="192">
        <v>1</v>
      </c>
      <c r="I8" s="192">
        <v>2</v>
      </c>
      <c r="J8" s="192"/>
      <c r="K8" s="192"/>
      <c r="L8" s="193"/>
      <c r="M8" s="181" t="s">
        <v>870</v>
      </c>
      <c r="N8" s="181">
        <v>4</v>
      </c>
    </row>
    <row r="9" spans="2:20" ht="18.75" customHeight="1">
      <c r="B9" s="191" t="s">
        <v>878</v>
      </c>
      <c r="C9" s="192">
        <v>1</v>
      </c>
      <c r="D9" s="192">
        <v>1</v>
      </c>
      <c r="E9" s="192">
        <v>5</v>
      </c>
      <c r="F9" s="322">
        <v>4</v>
      </c>
      <c r="G9" s="192">
        <v>1</v>
      </c>
      <c r="H9" s="192">
        <v>2</v>
      </c>
      <c r="I9" s="192">
        <v>1</v>
      </c>
      <c r="J9" s="192">
        <v>1</v>
      </c>
      <c r="K9" s="192"/>
      <c r="L9" s="193"/>
      <c r="M9" s="181" t="s">
        <v>870</v>
      </c>
      <c r="N9" s="181">
        <v>4</v>
      </c>
    </row>
    <row r="10" spans="2:20" ht="18.75" customHeight="1">
      <c r="B10" s="191" t="s">
        <v>879</v>
      </c>
      <c r="C10" s="192">
        <v>1</v>
      </c>
      <c r="D10" s="192">
        <v>1</v>
      </c>
      <c r="E10" s="192">
        <v>4</v>
      </c>
      <c r="F10" s="192">
        <v>3</v>
      </c>
      <c r="G10" s="192">
        <v>1</v>
      </c>
      <c r="H10" s="192">
        <v>1</v>
      </c>
      <c r="I10" s="192">
        <v>2</v>
      </c>
      <c r="J10" s="192"/>
      <c r="K10" s="192"/>
      <c r="L10" s="193"/>
    </row>
    <row r="11" spans="2:20" ht="18.75" customHeight="1">
      <c r="B11" s="191" t="s">
        <v>880</v>
      </c>
      <c r="C11" s="192">
        <v>1</v>
      </c>
      <c r="D11" s="192">
        <v>1</v>
      </c>
      <c r="E11" s="192">
        <v>5</v>
      </c>
      <c r="F11" s="192">
        <v>4</v>
      </c>
      <c r="G11" s="192">
        <v>1</v>
      </c>
      <c r="H11" s="192">
        <v>1</v>
      </c>
      <c r="I11" s="192">
        <v>1</v>
      </c>
      <c r="J11" s="192"/>
      <c r="K11" s="192"/>
      <c r="L11" s="193"/>
      <c r="M11" s="181" t="s">
        <v>870</v>
      </c>
      <c r="N11" s="181">
        <v>4</v>
      </c>
    </row>
    <row r="12" spans="2:20" ht="18.75" customHeight="1">
      <c r="B12" s="191"/>
      <c r="C12" s="192"/>
      <c r="D12" s="192"/>
      <c r="E12" s="192"/>
      <c r="F12" s="192"/>
      <c r="G12" s="192"/>
      <c r="H12" s="192"/>
      <c r="I12" s="192"/>
      <c r="J12" s="192"/>
      <c r="K12" s="192"/>
      <c r="L12" s="193"/>
    </row>
    <row r="13" spans="2:20" ht="18.75" customHeight="1">
      <c r="B13" s="191" t="s">
        <v>881</v>
      </c>
      <c r="C13" s="192">
        <v>1</v>
      </c>
      <c r="D13" s="192">
        <v>1</v>
      </c>
      <c r="E13" s="192">
        <v>5</v>
      </c>
      <c r="F13" s="192">
        <v>4</v>
      </c>
      <c r="G13" s="192">
        <v>1</v>
      </c>
      <c r="H13" s="192">
        <v>1</v>
      </c>
      <c r="I13" s="192">
        <v>2</v>
      </c>
      <c r="J13" s="192"/>
      <c r="K13" s="192"/>
      <c r="L13" s="193"/>
      <c r="M13" s="181" t="s">
        <v>872</v>
      </c>
      <c r="N13" s="181">
        <v>4</v>
      </c>
    </row>
    <row r="14" spans="2:20" ht="18.75" customHeight="1">
      <c r="B14" s="191" t="s">
        <v>882</v>
      </c>
      <c r="C14" s="192">
        <v>1</v>
      </c>
      <c r="D14" s="192">
        <v>1</v>
      </c>
      <c r="E14" s="192">
        <v>2</v>
      </c>
      <c r="F14" s="192">
        <v>2</v>
      </c>
      <c r="G14" s="192">
        <v>1</v>
      </c>
      <c r="H14" s="192">
        <v>1</v>
      </c>
      <c r="I14" s="192"/>
      <c r="J14" s="192"/>
      <c r="K14" s="192"/>
      <c r="L14" s="193"/>
      <c r="M14" s="181" t="s">
        <v>870</v>
      </c>
      <c r="N14" s="181">
        <v>2</v>
      </c>
    </row>
    <row r="15" spans="2:20" ht="18.75" customHeight="1">
      <c r="B15" s="191" t="s">
        <v>883</v>
      </c>
      <c r="C15" s="192"/>
      <c r="D15" s="192"/>
      <c r="E15" s="192">
        <v>2</v>
      </c>
      <c r="F15" s="192">
        <v>1</v>
      </c>
      <c r="G15" s="192"/>
      <c r="H15" s="192">
        <v>1</v>
      </c>
      <c r="I15" s="192"/>
      <c r="J15" s="192"/>
      <c r="K15" s="192"/>
      <c r="L15" s="193"/>
      <c r="M15" s="181" t="s">
        <v>870</v>
      </c>
    </row>
    <row r="16" spans="2:20" ht="18.75" customHeight="1">
      <c r="B16" s="191"/>
      <c r="C16" s="192"/>
      <c r="D16" s="192"/>
      <c r="E16" s="192"/>
      <c r="F16" s="192"/>
      <c r="G16" s="192"/>
      <c r="H16" s="192"/>
      <c r="I16" s="192"/>
      <c r="J16" s="192"/>
      <c r="K16" s="192"/>
      <c r="L16" s="193"/>
    </row>
    <row r="17" spans="2:14" ht="18.75" customHeight="1">
      <c r="B17" s="191" t="s">
        <v>884</v>
      </c>
      <c r="C17" s="192">
        <v>1</v>
      </c>
      <c r="D17" s="192">
        <v>1</v>
      </c>
      <c r="E17" s="192">
        <v>5</v>
      </c>
      <c r="F17" s="192">
        <v>4</v>
      </c>
      <c r="G17" s="192">
        <v>1</v>
      </c>
      <c r="H17" s="192">
        <v>1</v>
      </c>
      <c r="I17" s="192">
        <v>1</v>
      </c>
      <c r="J17" s="192">
        <v>1</v>
      </c>
      <c r="K17" s="192"/>
      <c r="L17" s="193"/>
      <c r="M17" s="181" t="s">
        <v>870</v>
      </c>
      <c r="N17" s="181">
        <v>4</v>
      </c>
    </row>
    <row r="18" spans="2:14" ht="18.75" customHeight="1">
      <c r="B18" s="191" t="s">
        <v>251</v>
      </c>
      <c r="C18" s="192">
        <v>1</v>
      </c>
      <c r="D18" s="192"/>
      <c r="E18" s="192">
        <v>2</v>
      </c>
      <c r="F18" s="192">
        <v>2</v>
      </c>
      <c r="G18" s="192">
        <v>1</v>
      </c>
      <c r="H18" s="192">
        <v>1</v>
      </c>
      <c r="I18" s="192">
        <v>1</v>
      </c>
      <c r="J18" s="192"/>
      <c r="K18" s="192"/>
      <c r="L18" s="193"/>
      <c r="N18" s="181">
        <v>2</v>
      </c>
    </row>
    <row r="19" spans="2:14" ht="18.75" customHeight="1">
      <c r="B19" s="191"/>
      <c r="C19" s="192"/>
      <c r="D19" s="192"/>
      <c r="E19" s="192"/>
      <c r="F19" s="192"/>
      <c r="G19" s="192"/>
      <c r="H19" s="192"/>
      <c r="I19" s="192"/>
      <c r="J19" s="192"/>
      <c r="K19" s="192"/>
      <c r="L19" s="193"/>
    </row>
    <row r="20" spans="2:14" ht="18.75" customHeight="1">
      <c r="B20" s="191"/>
      <c r="C20" s="192"/>
      <c r="D20" s="192"/>
      <c r="E20" s="192"/>
      <c r="F20" s="192"/>
      <c r="G20" s="192"/>
      <c r="H20" s="192"/>
      <c r="I20" s="192"/>
      <c r="J20" s="192"/>
      <c r="K20" s="192"/>
      <c r="L20" s="193"/>
    </row>
    <row r="21" spans="2:14" ht="18.75" customHeight="1">
      <c r="B21" s="191"/>
      <c r="C21" s="192"/>
      <c r="D21" s="192"/>
      <c r="E21" s="192"/>
      <c r="F21" s="192"/>
      <c r="G21" s="192"/>
      <c r="H21" s="192"/>
      <c r="I21" s="192"/>
      <c r="J21" s="192"/>
      <c r="K21" s="192"/>
      <c r="L21" s="193"/>
    </row>
    <row r="22" spans="2:14" ht="18.75" customHeight="1" thickBot="1">
      <c r="B22" s="200"/>
      <c r="C22" s="201"/>
      <c r="D22" s="201"/>
      <c r="E22" s="201"/>
      <c r="F22" s="201"/>
      <c r="G22" s="201"/>
      <c r="H22" s="201"/>
      <c r="I22" s="201"/>
      <c r="J22" s="201"/>
      <c r="K22" s="201"/>
      <c r="L22" s="202"/>
    </row>
  </sheetData>
  <phoneticPr fontId="27"/>
  <pageMargins left="0.75" right="0.75" top="1" bottom="1" header="0.51200000000000001" footer="0.51200000000000001"/>
  <pageSetup paperSize="13" scale="74" orientation="portrait" horizontalDpi="300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0"/>
  <dimension ref="A1:I42"/>
  <sheetViews>
    <sheetView workbookViewId="0">
      <selection activeCell="C31" sqref="C31:H31"/>
    </sheetView>
  </sheetViews>
  <sheetFormatPr defaultColWidth="10.453125" defaultRowHeight="20.149999999999999" customHeight="1"/>
  <cols>
    <col min="1" max="1" width="4.453125" style="31" customWidth="1"/>
    <col min="2" max="2" width="2.453125" style="31" customWidth="1"/>
    <col min="3" max="3" width="11.453125" style="82" customWidth="1"/>
    <col min="4" max="4" width="4.453125" style="31" customWidth="1"/>
    <col min="5" max="8" width="18.453125" style="31" customWidth="1"/>
    <col min="9" max="10" width="2.453125" style="31" customWidth="1"/>
    <col min="11" max="11" width="10.453125" style="31" customWidth="1"/>
    <col min="12" max="16384" width="10.453125" style="31"/>
  </cols>
  <sheetData>
    <row r="1" spans="1:9" ht="20.149999999999999" customHeight="1">
      <c r="C1" s="82">
        <f>月間設定!C1</f>
        <v>2026</v>
      </c>
      <c r="D1" s="31">
        <f>月間設定!E1</f>
        <v>6</v>
      </c>
      <c r="F1" s="37"/>
      <c r="G1" s="74"/>
      <c r="H1" s="82"/>
    </row>
    <row r="2" spans="1:9" ht="45" customHeight="1">
      <c r="F2" s="37"/>
      <c r="G2" s="74"/>
      <c r="H2" s="94" t="s">
        <v>885</v>
      </c>
    </row>
    <row r="3" spans="1:9" ht="24" customHeight="1">
      <c r="C3" s="90" t="str">
        <f>C1&amp;"年　"&amp;D1&amp;"月度　社内宿泊連絡表"</f>
        <v>2026年　6月度　社内宿泊連絡表</v>
      </c>
      <c r="D3" s="84"/>
      <c r="F3" s="38"/>
      <c r="H3" s="82" t="s">
        <v>886</v>
      </c>
    </row>
    <row r="4" spans="1:9" ht="77.25" customHeight="1" thickBot="1">
      <c r="C4" s="92" t="s">
        <v>887</v>
      </c>
      <c r="D4" s="91"/>
      <c r="I4" s="38"/>
    </row>
    <row r="5" spans="1:9" s="35" customFormat="1" ht="20.149999999999999" customHeight="1" thickBot="1">
      <c r="C5" s="93" t="s">
        <v>888</v>
      </c>
      <c r="D5" s="33" t="s">
        <v>490</v>
      </c>
      <c r="E5" s="34" t="s">
        <v>492</v>
      </c>
      <c r="F5" s="89"/>
      <c r="G5" s="79" t="s">
        <v>889</v>
      </c>
      <c r="H5" s="33"/>
    </row>
    <row r="6" spans="1:9" ht="20.149999999999999" customHeight="1">
      <c r="A6" s="31">
        <v>1</v>
      </c>
      <c r="C6" s="83" t="str">
        <f>D$1&amp;"月1日"</f>
        <v>6月1日</v>
      </c>
      <c r="D6" s="95">
        <f>WEEKDAY(DATE(C$1,D$1,A6))</f>
        <v>2</v>
      </c>
      <c r="E6" s="85"/>
      <c r="F6" s="87"/>
      <c r="G6" s="86"/>
      <c r="H6" s="36"/>
    </row>
    <row r="7" spans="1:9" ht="20.149999999999999" customHeight="1">
      <c r="A7" s="31">
        <v>2</v>
      </c>
      <c r="C7" s="83" t="str">
        <f>D$1&amp;"月2日"</f>
        <v>6月2日</v>
      </c>
      <c r="D7" s="95">
        <f t="shared" ref="D7:D33" si="0">WEEKDAY(DATE(C$1,D$1,A7))</f>
        <v>3</v>
      </c>
      <c r="E7" s="85"/>
      <c r="F7" s="87"/>
      <c r="G7" s="86"/>
      <c r="H7" s="36"/>
    </row>
    <row r="8" spans="1:9" ht="20.149999999999999" customHeight="1">
      <c r="A8" s="31">
        <v>3</v>
      </c>
      <c r="C8" s="83" t="str">
        <f>D$1&amp;"月3日"</f>
        <v>6月3日</v>
      </c>
      <c r="D8" s="95">
        <f t="shared" si="0"/>
        <v>4</v>
      </c>
      <c r="E8" s="85"/>
      <c r="F8" s="87"/>
      <c r="G8" s="86"/>
      <c r="H8" s="36"/>
    </row>
    <row r="9" spans="1:9" ht="20.149999999999999" customHeight="1">
      <c r="A9" s="31">
        <v>4</v>
      </c>
      <c r="C9" s="83" t="str">
        <f>D$1&amp;"月4日"</f>
        <v>6月4日</v>
      </c>
      <c r="D9" s="95">
        <f t="shared" si="0"/>
        <v>5</v>
      </c>
      <c r="E9" s="85"/>
      <c r="F9" s="87"/>
      <c r="G9" s="86"/>
      <c r="H9" s="36"/>
    </row>
    <row r="10" spans="1:9" ht="20.149999999999999" customHeight="1">
      <c r="A10" s="31">
        <v>5</v>
      </c>
      <c r="C10" s="176" t="str">
        <f>D$1&amp;"月5日"</f>
        <v>6月5日</v>
      </c>
      <c r="D10" s="177">
        <f t="shared" si="0"/>
        <v>6</v>
      </c>
      <c r="E10" s="178"/>
      <c r="F10" s="179"/>
      <c r="G10" s="180"/>
      <c r="H10" s="148"/>
    </row>
    <row r="11" spans="1:9" ht="20.149999999999999" customHeight="1">
      <c r="A11" s="31">
        <v>6</v>
      </c>
      <c r="C11" s="83" t="str">
        <f>D$1&amp;"月6日"</f>
        <v>6月6日</v>
      </c>
      <c r="D11" s="95">
        <f t="shared" si="0"/>
        <v>7</v>
      </c>
      <c r="E11" s="85"/>
      <c r="F11" s="87"/>
      <c r="G11" s="86"/>
      <c r="H11" s="36"/>
    </row>
    <row r="12" spans="1:9" ht="20.149999999999999" customHeight="1">
      <c r="A12" s="31">
        <v>7</v>
      </c>
      <c r="C12" s="83" t="str">
        <f>D$1&amp;"月7日"</f>
        <v>6月7日</v>
      </c>
      <c r="D12" s="95">
        <f t="shared" si="0"/>
        <v>1</v>
      </c>
      <c r="E12" s="85"/>
      <c r="F12" s="87"/>
      <c r="G12" s="86"/>
      <c r="H12" s="36"/>
    </row>
    <row r="13" spans="1:9" ht="20.149999999999999" customHeight="1">
      <c r="A13" s="31">
        <v>8</v>
      </c>
      <c r="C13" s="83" t="str">
        <f>D$1&amp;"月8日"</f>
        <v>6月8日</v>
      </c>
      <c r="D13" s="95">
        <f t="shared" si="0"/>
        <v>2</v>
      </c>
      <c r="E13" s="85"/>
      <c r="F13" s="87"/>
      <c r="G13" s="86"/>
      <c r="H13" s="36"/>
    </row>
    <row r="14" spans="1:9" ht="20.149999999999999" customHeight="1">
      <c r="A14" s="31">
        <v>9</v>
      </c>
      <c r="C14" s="83" t="str">
        <f>D$1&amp;"月9日"</f>
        <v>6月9日</v>
      </c>
      <c r="D14" s="95">
        <f t="shared" si="0"/>
        <v>3</v>
      </c>
      <c r="E14" s="85"/>
      <c r="F14" s="87"/>
      <c r="G14" s="86"/>
      <c r="H14" s="36"/>
    </row>
    <row r="15" spans="1:9" ht="20.149999999999999" customHeight="1">
      <c r="A15" s="31">
        <v>10</v>
      </c>
      <c r="C15" s="83" t="str">
        <f>D$1&amp;"月10日"</f>
        <v>6月10日</v>
      </c>
      <c r="D15" s="95">
        <f t="shared" si="0"/>
        <v>4</v>
      </c>
      <c r="E15" s="85"/>
      <c r="F15" s="87"/>
      <c r="G15" s="86"/>
      <c r="H15" s="36"/>
    </row>
    <row r="16" spans="1:9" ht="20.149999999999999" customHeight="1">
      <c r="A16" s="31">
        <v>11</v>
      </c>
      <c r="C16" s="83" t="str">
        <f>D$1&amp;"月11日"</f>
        <v>6月11日</v>
      </c>
      <c r="D16" s="95">
        <f t="shared" si="0"/>
        <v>5</v>
      </c>
      <c r="E16" s="85"/>
      <c r="F16" s="87"/>
      <c r="G16" s="86"/>
      <c r="H16" s="36"/>
    </row>
    <row r="17" spans="1:8" ht="20.149999999999999" customHeight="1">
      <c r="A17" s="31">
        <v>12</v>
      </c>
      <c r="C17" s="176" t="str">
        <f>D$1&amp;"月12日"</f>
        <v>6月12日</v>
      </c>
      <c r="D17" s="177">
        <f t="shared" si="0"/>
        <v>6</v>
      </c>
      <c r="E17" s="178"/>
      <c r="F17" s="179"/>
      <c r="G17" s="180"/>
      <c r="H17" s="148"/>
    </row>
    <row r="18" spans="1:8" ht="20.149999999999999" customHeight="1">
      <c r="A18" s="31">
        <v>13</v>
      </c>
      <c r="C18" s="83" t="str">
        <f>D$1&amp;"月13日"</f>
        <v>6月13日</v>
      </c>
      <c r="D18" s="95">
        <f t="shared" si="0"/>
        <v>7</v>
      </c>
      <c r="E18" s="85"/>
      <c r="F18" s="87"/>
      <c r="G18" s="86"/>
      <c r="H18" s="36"/>
    </row>
    <row r="19" spans="1:8" ht="20.149999999999999" customHeight="1">
      <c r="A19" s="31">
        <v>14</v>
      </c>
      <c r="C19" s="83" t="str">
        <f>D$1&amp;"月14日"</f>
        <v>6月14日</v>
      </c>
      <c r="D19" s="95">
        <f t="shared" si="0"/>
        <v>1</v>
      </c>
      <c r="E19" s="85"/>
      <c r="F19" s="87"/>
      <c r="G19" s="86"/>
      <c r="H19" s="36"/>
    </row>
    <row r="20" spans="1:8" ht="20.149999999999999" customHeight="1">
      <c r="A20" s="31">
        <v>15</v>
      </c>
      <c r="C20" s="83" t="str">
        <f>D$1&amp;"月15日"</f>
        <v>6月15日</v>
      </c>
      <c r="D20" s="95">
        <f t="shared" si="0"/>
        <v>2</v>
      </c>
      <c r="E20" s="85"/>
      <c r="F20" s="87"/>
      <c r="G20" s="86"/>
      <c r="H20" s="36"/>
    </row>
    <row r="21" spans="1:8" ht="20.149999999999999" customHeight="1">
      <c r="A21" s="31">
        <v>16</v>
      </c>
      <c r="C21" s="83" t="str">
        <f>D$1&amp;"月16日"</f>
        <v>6月16日</v>
      </c>
      <c r="D21" s="95">
        <f t="shared" si="0"/>
        <v>3</v>
      </c>
      <c r="E21" s="85"/>
      <c r="F21" s="87"/>
      <c r="G21" s="86"/>
      <c r="H21" s="36"/>
    </row>
    <row r="22" spans="1:8" ht="20.149999999999999" customHeight="1">
      <c r="A22" s="31">
        <v>17</v>
      </c>
      <c r="C22" s="83" t="str">
        <f>D$1&amp;"月17日"</f>
        <v>6月17日</v>
      </c>
      <c r="D22" s="95">
        <f t="shared" si="0"/>
        <v>4</v>
      </c>
      <c r="E22" s="85"/>
      <c r="F22" s="87"/>
      <c r="G22" s="86"/>
      <c r="H22" s="36"/>
    </row>
    <row r="23" spans="1:8" ht="20.149999999999999" customHeight="1">
      <c r="A23" s="31">
        <v>18</v>
      </c>
      <c r="C23" s="83" t="str">
        <f>D$1&amp;"月18日"</f>
        <v>6月18日</v>
      </c>
      <c r="D23" s="95">
        <f t="shared" si="0"/>
        <v>5</v>
      </c>
      <c r="E23" s="85"/>
      <c r="F23" s="87"/>
      <c r="G23" s="86"/>
      <c r="H23" s="36"/>
    </row>
    <row r="24" spans="1:8" ht="20.149999999999999" customHeight="1">
      <c r="A24" s="31">
        <v>19</v>
      </c>
      <c r="C24" s="176" t="str">
        <f>D$1&amp;"月19日"</f>
        <v>6月19日</v>
      </c>
      <c r="D24" s="177">
        <f t="shared" si="0"/>
        <v>6</v>
      </c>
      <c r="E24" s="178"/>
      <c r="F24" s="179"/>
      <c r="G24" s="180"/>
      <c r="H24" s="148"/>
    </row>
    <row r="25" spans="1:8" ht="20.149999999999999" customHeight="1">
      <c r="A25" s="31">
        <v>20</v>
      </c>
      <c r="C25" s="83" t="str">
        <f>D$1&amp;"月20日"</f>
        <v>6月20日</v>
      </c>
      <c r="D25" s="95">
        <f t="shared" si="0"/>
        <v>7</v>
      </c>
      <c r="E25" s="85"/>
      <c r="F25" s="87"/>
      <c r="G25" s="86"/>
      <c r="H25" s="36"/>
    </row>
    <row r="26" spans="1:8" ht="20.149999999999999" customHeight="1">
      <c r="A26" s="31">
        <v>21</v>
      </c>
      <c r="C26" s="83" t="str">
        <f>D$1&amp;"月21日"</f>
        <v>6月21日</v>
      </c>
      <c r="D26" s="95">
        <f t="shared" si="0"/>
        <v>1</v>
      </c>
      <c r="E26" s="85"/>
      <c r="F26" s="87"/>
      <c r="G26" s="86"/>
      <c r="H26" s="36"/>
    </row>
    <row r="27" spans="1:8" ht="20.149999999999999" customHeight="1">
      <c r="A27" s="31">
        <v>22</v>
      </c>
      <c r="C27" s="83" t="str">
        <f>D$1&amp;"月22日"</f>
        <v>6月22日</v>
      </c>
      <c r="D27" s="95">
        <f t="shared" si="0"/>
        <v>2</v>
      </c>
      <c r="E27" s="85"/>
      <c r="F27" s="87"/>
      <c r="G27" s="86"/>
      <c r="H27" s="36"/>
    </row>
    <row r="28" spans="1:8" ht="20.149999999999999" customHeight="1">
      <c r="A28" s="31">
        <v>23</v>
      </c>
      <c r="C28" s="83" t="str">
        <f>D$1&amp;"月23日"</f>
        <v>6月23日</v>
      </c>
      <c r="D28" s="95">
        <f t="shared" si="0"/>
        <v>3</v>
      </c>
      <c r="E28" s="85"/>
      <c r="F28" s="87"/>
      <c r="G28" s="86"/>
      <c r="H28" s="36"/>
    </row>
    <row r="29" spans="1:8" ht="20.149999999999999" customHeight="1">
      <c r="A29" s="31">
        <v>24</v>
      </c>
      <c r="C29" s="83" t="str">
        <f>D$1&amp;"月24日"</f>
        <v>6月24日</v>
      </c>
      <c r="D29" s="95">
        <f t="shared" si="0"/>
        <v>4</v>
      </c>
      <c r="E29" s="85"/>
      <c r="F29" s="87"/>
      <c r="G29" s="86"/>
      <c r="H29" s="36"/>
    </row>
    <row r="30" spans="1:8" ht="20.149999999999999" customHeight="1">
      <c r="A30" s="31">
        <v>25</v>
      </c>
      <c r="C30" s="83" t="str">
        <f>D$1&amp;"月25日"</f>
        <v>6月25日</v>
      </c>
      <c r="D30" s="95">
        <f t="shared" si="0"/>
        <v>5</v>
      </c>
      <c r="E30" s="85"/>
      <c r="F30" s="87"/>
      <c r="G30" s="86"/>
      <c r="H30" s="36"/>
    </row>
    <row r="31" spans="1:8" ht="20.149999999999999" customHeight="1">
      <c r="A31" s="31">
        <v>26</v>
      </c>
      <c r="C31" s="176" t="str">
        <f>D$1&amp;"月26日"</f>
        <v>6月26日</v>
      </c>
      <c r="D31" s="177">
        <f t="shared" si="0"/>
        <v>6</v>
      </c>
      <c r="E31" s="178"/>
      <c r="F31" s="179"/>
      <c r="G31" s="180"/>
      <c r="H31" s="148"/>
    </row>
    <row r="32" spans="1:8" ht="20.149999999999999" customHeight="1">
      <c r="A32" s="31">
        <v>27</v>
      </c>
      <c r="C32" s="83" t="str">
        <f>D$1&amp;"月27日"</f>
        <v>6月27日</v>
      </c>
      <c r="D32" s="95">
        <f>WEEKDAY(DATE(C$1,D$1,A32))</f>
        <v>7</v>
      </c>
      <c r="E32" s="85"/>
      <c r="F32" s="87"/>
      <c r="G32" s="86"/>
      <c r="H32" s="36"/>
    </row>
    <row r="33" spans="1:8" ht="20.149999999999999" customHeight="1">
      <c r="A33" s="31">
        <v>28</v>
      </c>
      <c r="C33" s="83" t="str">
        <f>D$1&amp;"月28日"</f>
        <v>6月28日</v>
      </c>
      <c r="D33" s="95">
        <f t="shared" si="0"/>
        <v>1</v>
      </c>
      <c r="E33" s="85"/>
      <c r="F33" s="87"/>
      <c r="G33" s="86"/>
      <c r="H33" s="36"/>
    </row>
    <row r="34" spans="1:8" ht="20.149999999999999" customHeight="1">
      <c r="A34" s="31">
        <v>29</v>
      </c>
      <c r="C34" s="83" t="str">
        <f>IF(AND(D$1=2,MOD(C$1,4)&lt;&gt;0),"",D$1&amp;"月"&amp;29&amp;"日")</f>
        <v>6月29日</v>
      </c>
      <c r="D34" s="95">
        <f>IF(C34="","",WEEKDAY(DATE(C$1,D$1,A34)))</f>
        <v>2</v>
      </c>
      <c r="E34" s="85"/>
      <c r="F34" s="87"/>
      <c r="G34" s="86"/>
      <c r="H34" s="36"/>
    </row>
    <row r="35" spans="1:8" ht="20.149999999999999" customHeight="1">
      <c r="A35" s="31">
        <v>30</v>
      </c>
      <c r="C35" s="83" t="str">
        <f>IF(D$1=2,"",D$1&amp;"月30日")</f>
        <v>6月30日</v>
      </c>
      <c r="D35" s="95">
        <f>IF(C35="","",WEEKDAY(DATE(C$1,D$1,A35)))</f>
        <v>3</v>
      </c>
      <c r="E35" s="85"/>
      <c r="F35" s="87"/>
      <c r="G35" s="86"/>
      <c r="H35" s="36"/>
    </row>
    <row r="36" spans="1:8" ht="20.149999999999999" customHeight="1" thickBot="1">
      <c r="A36" s="31">
        <v>31</v>
      </c>
      <c r="C36" s="511" t="str">
        <f>IF(OR(D$1=2,D$1=4,D$1=6,D$1=9,D$1=11),"",D$1&amp;"月31日")</f>
        <v/>
      </c>
      <c r="D36" s="512" t="str">
        <f>IF(C36="","",WEEKDAY(DATE(C$1,D$1,A36)))</f>
        <v/>
      </c>
      <c r="E36" s="513"/>
      <c r="F36" s="88"/>
      <c r="G36" s="514"/>
      <c r="H36" s="491"/>
    </row>
    <row r="37" spans="1:8" ht="20.149999999999999" customHeight="1">
      <c r="E37" s="81"/>
    </row>
    <row r="38" spans="1:8" ht="20.149999999999999" customHeight="1">
      <c r="E38" s="81"/>
    </row>
    <row r="39" spans="1:8" ht="20.149999999999999" customHeight="1">
      <c r="E39" s="81"/>
    </row>
    <row r="40" spans="1:8" ht="20.149999999999999" customHeight="1">
      <c r="E40" s="81"/>
    </row>
    <row r="41" spans="1:8" ht="20.149999999999999" customHeight="1">
      <c r="E41" s="81"/>
    </row>
    <row r="42" spans="1:8" ht="20.149999999999999" customHeight="1">
      <c r="E42" s="81"/>
    </row>
  </sheetData>
  <phoneticPr fontId="7"/>
  <printOptions gridLinesSet="0"/>
  <pageMargins left="0.39370078740157483" right="0.39370078740157483" top="0.39370078740157483" bottom="0.39370078740157483" header="0" footer="0"/>
  <pageSetup paperSize="9" orientation="portrait" blackAndWhite="1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omari">
                <anchor moveWithCells="1" sizeWithCells="1">
                  <from>
                    <xdr:col>2</xdr:col>
                    <xdr:colOff>184150</xdr:colOff>
                    <xdr:row>3</xdr:row>
                    <xdr:rowOff>419100</xdr:rowOff>
                  </from>
                  <to>
                    <xdr:col>3</xdr:col>
                    <xdr:colOff>222250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4</vt:i4>
      </vt:variant>
    </vt:vector>
  </HeadingPairs>
  <TitlesOfParts>
    <vt:vector size="29" baseType="lpstr">
      <vt:lpstr>レギュラー</vt:lpstr>
      <vt:lpstr>月間設定</vt:lpstr>
      <vt:lpstr>一覧</vt:lpstr>
      <vt:lpstr>映像確認</vt:lpstr>
      <vt:lpstr>音声確認</vt:lpstr>
      <vt:lpstr>調整確認</vt:lpstr>
      <vt:lpstr>照明確認</vt:lpstr>
      <vt:lpstr>編集確認</vt:lpstr>
      <vt:lpstr>回線確認</vt:lpstr>
      <vt:lpstr>報道関係</vt:lpstr>
      <vt:lpstr>サイネージ用</vt:lpstr>
      <vt:lpstr>ｽﾀｯﾌﾁｪｯｸ</vt:lpstr>
      <vt:lpstr>新スタッフ表</vt:lpstr>
      <vt:lpstr>予定表・カレンダーの作成</vt:lpstr>
      <vt:lpstr>Outlook予定表CSV</vt:lpstr>
      <vt:lpstr>Sheet1</vt:lpstr>
      <vt:lpstr>スタッフ表</vt:lpstr>
      <vt:lpstr>GoogleカレンダーCSV</vt:lpstr>
      <vt:lpstr>勤務報告書</vt:lpstr>
      <vt:lpstr>勤務報告書作成</vt:lpstr>
      <vt:lpstr>印刷用</vt:lpstr>
      <vt:lpstr>カレンダー作成</vt:lpstr>
      <vt:lpstr>カレンダー</vt:lpstr>
      <vt:lpstr>レギュラー人数</vt:lpstr>
      <vt:lpstr>報道宿泊</vt:lpstr>
      <vt:lpstr>一覧!Print_Area</vt:lpstr>
      <vt:lpstr>回線確認!Print_Area</vt:lpstr>
      <vt:lpstr>勤務報告書!Print_Area</vt:lpstr>
      <vt:lpstr>報道宿泊!Print_Area</vt:lpstr>
    </vt:vector>
  </TitlesOfParts>
  <Manager/>
  <Company>読売テレビ放送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坂口 裕一</dc:creator>
  <cp:keywords/>
  <dc:description/>
  <cp:lastModifiedBy>野口 忠繁</cp:lastModifiedBy>
  <cp:revision/>
  <cp:lastPrinted>2026-05-25T08:15:01Z</cp:lastPrinted>
  <dcterms:created xsi:type="dcterms:W3CDTF">2000-07-12T05:11:46Z</dcterms:created>
  <dcterms:modified xsi:type="dcterms:W3CDTF">2026-05-25T11:31:53Z</dcterms:modified>
  <cp:category/>
  <cp:contentStatus/>
</cp:coreProperties>
</file>